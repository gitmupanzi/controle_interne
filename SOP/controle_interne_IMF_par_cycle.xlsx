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njamin MUPANZI\Documents\controle_interne\SOP\"/>
    </mc:Choice>
  </mc:AlternateContent>
  <xr:revisionPtr revIDLastSave="0" documentId="13_ncr:1_{0C59D30A-E85F-4913-8C71-4200F247EC6A}" xr6:coauthVersionLast="47" xr6:coauthVersionMax="47" xr10:uidLastSave="{00000000-0000-0000-0000-000000000000}"/>
  <bookViews>
    <workbookView xWindow="-28920" yWindow="-120" windowWidth="29040" windowHeight="15840" firstSheet="1" activeTab="1" xr2:uid="{00000000-000D-0000-FFFF-FFFF00000000}"/>
  </bookViews>
  <sheets>
    <sheet name="ACCUEIL" sheetId="1" state="hidden" r:id="rId1"/>
    <sheet name="PARAMETRES" sheetId="2" r:id="rId2"/>
    <sheet name="MODELE_BD" sheetId="3" state="hidden" r:id="rId3"/>
    <sheet name="DASHBOARD" sheetId="4" state="hidden" r:id="rId4"/>
    <sheet name="CREDIT(CRE)" sheetId="5" r:id="rId5"/>
    <sheet name="PLAN_CONTROLE" sheetId="6" state="hidden" r:id="rId6"/>
    <sheet name="CARTHOGRAPHIE_EVALUATION" sheetId="7" state="hidden" r:id="rId7"/>
    <sheet name="INCIDENTS_FRAUDES" sheetId="8" state="hidden" r:id="rId8"/>
    <sheet name="SUIVI_RECOMMANDATION" sheetId="9" state="hidden" r:id="rId9"/>
    <sheet name="EPARGNE(EPA)" sheetId="10" state="hidden" r:id="rId10"/>
    <sheet name="CAISSE_GUICHET(CAI)" sheetId="11" state="hidden" r:id="rId11"/>
    <sheet name="TRESOR_BANQUE (TRE)" sheetId="12" state="hidden" r:id="rId12"/>
    <sheet name="COMPTABLE_FINANCE(COM)" sheetId="13" state="hidden" r:id="rId13"/>
    <sheet name="RH" sheetId="14" state="hidden" r:id="rId14"/>
    <sheet name="ACHAT_PATRIMOINE (ACH)" sheetId="15" state="hidden" r:id="rId15"/>
    <sheet name="SI_SECURITE(SI)" sheetId="16" state="hidden" r:id="rId16"/>
    <sheet name="REPORTING_CONTROLE(REP)" sheetId="17" state="hidden" r:id="rId17"/>
  </sheets>
  <definedNames>
    <definedName name="REF_AGENCES">OFFSET(PARAMETRES!$A$2,0,0,COUNTA(PARAMETRES!$A:$A)-1,1)</definedName>
    <definedName name="REF_CYCLES">OFFSET(PARAMETRES!$B$2,0,0,COUNTA(PARAMETRES!$B:$B)-1,1)</definedName>
    <definedName name="REF_FREQUENCES">OFFSET(PARAMETRES!$D$2,0,0,COUNTA(PARAMETRES!$D:$D)-1,1)</definedName>
    <definedName name="REF_GRAVITES_ANOMALIE">OFFSET(PARAMETRES!$G$2,0,0,COUNTA(PARAMETRES!$G:$G)-1,1)</definedName>
    <definedName name="REF_NIVEAUX_RISQUE">OFFSET(PARAMETRES!$E$2,0,0,COUNTA(PARAMETRES!$E:$E)-1,1)</definedName>
    <definedName name="REF_OUINON">OFFSET(PARAMETRES!$N$2,0,0,COUNTA(PARAMETRES!$N:$N)-1,1)</definedName>
    <definedName name="REF_PRIORITES">OFFSET(PARAMETRES!$K$2,0,0,COUNTA(PARAMETRES!$K:$K)-1,1)</definedName>
    <definedName name="REF_RESPONSABLES">OFFSET(PARAMETRES!$J$2,0,0,COUNTA(PARAMETRES!$J:$J)-1,1)</definedName>
    <definedName name="REF_RESULTATS_CONTROLE">OFFSET(PARAMETRES!$F$2,0,0,COUNTA(PARAMETRES!$F:$F)-1,1)</definedName>
    <definedName name="REF_SOURCES_RECO">OFFSET(PARAMETRES!$L$2,0,0,COUNTA(PARAMETRES!$L:$L)-1,1)</definedName>
    <definedName name="REF_STATUTS_ACTION">OFFSET(PARAMETRES!$H$3,0,0,COUNTA(PARAMETRES!$H:$H)-1,1)</definedName>
    <definedName name="REF_TRIMESTRES">OFFSET(PARAMETRES!$M$2,0,0,COUNTA(PARAMETRES!$M:$M)-1,1)</definedName>
    <definedName name="REF_TYPES_INCIDENT">OFFSET(PARAMETRES!$I$2,0,0,COUNTA(PARAMETRES!$I:$I)-1,1)</definedName>
    <definedName name="REF_TYPES_MISSION">OFFSET(PARAMETRES!$C$2,0,0,COUNTA(PARAMETRES!$C:$C)-1,1)</definedName>
  </definedNames>
  <calcPr calcId="191029"/>
</workbook>
</file>

<file path=xl/calcChain.xml><?xml version="1.0" encoding="utf-8"?>
<calcChain xmlns="http://schemas.openxmlformats.org/spreadsheetml/2006/main">
  <c r="U297" i="17" l="1"/>
  <c r="T297" i="17"/>
  <c r="U296" i="17"/>
  <c r="T296" i="17"/>
  <c r="U295" i="17"/>
  <c r="T295" i="17"/>
  <c r="U294" i="17"/>
  <c r="T294" i="17"/>
  <c r="U293" i="17"/>
  <c r="T293" i="17"/>
  <c r="U292" i="17"/>
  <c r="T292" i="17"/>
  <c r="U291" i="17"/>
  <c r="T291" i="17"/>
  <c r="U290" i="17"/>
  <c r="T290" i="17"/>
  <c r="U289" i="17"/>
  <c r="T289" i="17"/>
  <c r="U288" i="17"/>
  <c r="T288" i="17"/>
  <c r="U287" i="17"/>
  <c r="T287" i="17"/>
  <c r="U286" i="17"/>
  <c r="T286" i="17"/>
  <c r="U285" i="17"/>
  <c r="T285" i="17"/>
  <c r="U284" i="17"/>
  <c r="T284" i="17"/>
  <c r="U283" i="17"/>
  <c r="T283" i="17"/>
  <c r="U282" i="17"/>
  <c r="T282" i="17"/>
  <c r="U281" i="17"/>
  <c r="T281" i="17"/>
  <c r="U280" i="17"/>
  <c r="T280" i="17"/>
  <c r="U279" i="17"/>
  <c r="T279" i="17"/>
  <c r="U278" i="17"/>
  <c r="T278" i="17"/>
  <c r="U277" i="17"/>
  <c r="T277" i="17"/>
  <c r="U276" i="17"/>
  <c r="T276" i="17"/>
  <c r="U275" i="17"/>
  <c r="T275" i="17"/>
  <c r="U274" i="17"/>
  <c r="T274" i="17"/>
  <c r="U273" i="17"/>
  <c r="T273" i="17"/>
  <c r="U272" i="17"/>
  <c r="T272" i="17"/>
  <c r="U271" i="17"/>
  <c r="T271" i="17"/>
  <c r="U270" i="17"/>
  <c r="T270" i="17"/>
  <c r="U269" i="17"/>
  <c r="T269" i="17"/>
  <c r="U268" i="17"/>
  <c r="T268" i="17"/>
  <c r="U267" i="17"/>
  <c r="T267" i="17"/>
  <c r="U266" i="17"/>
  <c r="T266" i="17"/>
  <c r="U265" i="17"/>
  <c r="T265" i="17"/>
  <c r="U264" i="17"/>
  <c r="T264" i="17"/>
  <c r="U263" i="17"/>
  <c r="T263" i="17"/>
  <c r="U262" i="17"/>
  <c r="T262" i="17"/>
  <c r="U261" i="17"/>
  <c r="T261" i="17"/>
  <c r="U260" i="17"/>
  <c r="T260" i="17"/>
  <c r="U259" i="17"/>
  <c r="T259" i="17"/>
  <c r="U258" i="17"/>
  <c r="T258" i="17"/>
  <c r="U257" i="17"/>
  <c r="T257" i="17"/>
  <c r="U256" i="17"/>
  <c r="T256" i="17"/>
  <c r="U255" i="17"/>
  <c r="T255" i="17"/>
  <c r="U254" i="17"/>
  <c r="T254" i="17"/>
  <c r="U253" i="17"/>
  <c r="T253" i="17"/>
  <c r="U252" i="17"/>
  <c r="T252" i="17"/>
  <c r="U251" i="17"/>
  <c r="T251" i="17"/>
  <c r="U250" i="17"/>
  <c r="T250" i="17"/>
  <c r="U249" i="17"/>
  <c r="T249" i="17"/>
  <c r="U248" i="17"/>
  <c r="T248" i="17"/>
  <c r="U247" i="17"/>
  <c r="T247" i="17"/>
  <c r="U246" i="17"/>
  <c r="T246" i="17"/>
  <c r="U245" i="17"/>
  <c r="T245" i="17"/>
  <c r="U244" i="17"/>
  <c r="T244" i="17"/>
  <c r="U243" i="17"/>
  <c r="T243" i="17"/>
  <c r="U242" i="17"/>
  <c r="T242" i="17"/>
  <c r="U241" i="17"/>
  <c r="T241" i="17"/>
  <c r="U240" i="17"/>
  <c r="T240" i="17"/>
  <c r="U239" i="17"/>
  <c r="T239" i="17"/>
  <c r="U238" i="17"/>
  <c r="T238" i="17"/>
  <c r="U237" i="17"/>
  <c r="T237" i="17"/>
  <c r="U236" i="17"/>
  <c r="T236" i="17"/>
  <c r="U235" i="17"/>
  <c r="T235" i="17"/>
  <c r="U234" i="17"/>
  <c r="T234" i="17"/>
  <c r="U233" i="17"/>
  <c r="T233" i="17"/>
  <c r="U232" i="17"/>
  <c r="T232" i="17"/>
  <c r="U231" i="17"/>
  <c r="T231" i="17"/>
  <c r="U230" i="17"/>
  <c r="T230" i="17"/>
  <c r="U229" i="17"/>
  <c r="T229" i="17"/>
  <c r="U228" i="17"/>
  <c r="T228" i="17"/>
  <c r="U227" i="17"/>
  <c r="T227" i="17"/>
  <c r="U226" i="17"/>
  <c r="T226" i="17"/>
  <c r="U225" i="17"/>
  <c r="T225" i="17"/>
  <c r="U224" i="17"/>
  <c r="T224" i="17"/>
  <c r="U223" i="17"/>
  <c r="T223" i="17"/>
  <c r="U222" i="17"/>
  <c r="T222" i="17"/>
  <c r="U221" i="17"/>
  <c r="T221" i="17"/>
  <c r="U220" i="17"/>
  <c r="T220" i="17"/>
  <c r="U219" i="17"/>
  <c r="T219" i="17"/>
  <c r="U218" i="17"/>
  <c r="T218" i="17"/>
  <c r="U217" i="17"/>
  <c r="T217" i="17"/>
  <c r="U216" i="17"/>
  <c r="T216" i="17"/>
  <c r="U215" i="17"/>
  <c r="T215" i="17"/>
  <c r="U214" i="17"/>
  <c r="T214" i="17"/>
  <c r="U213" i="17"/>
  <c r="T213" i="17"/>
  <c r="U212" i="17"/>
  <c r="T212" i="17"/>
  <c r="U211" i="17"/>
  <c r="T211" i="17"/>
  <c r="U210" i="17"/>
  <c r="T210" i="17"/>
  <c r="U209" i="17"/>
  <c r="T209" i="17"/>
  <c r="U208" i="17"/>
  <c r="T208" i="17"/>
  <c r="U207" i="17"/>
  <c r="T207" i="17"/>
  <c r="U206" i="17"/>
  <c r="T206" i="17"/>
  <c r="U205" i="17"/>
  <c r="T205" i="17"/>
  <c r="U204" i="17"/>
  <c r="T204" i="17"/>
  <c r="U203" i="17"/>
  <c r="T203" i="17"/>
  <c r="U202" i="17"/>
  <c r="T202" i="17"/>
  <c r="U201" i="17"/>
  <c r="T201" i="17"/>
  <c r="U200" i="17"/>
  <c r="T200" i="17"/>
  <c r="U199" i="17"/>
  <c r="T199" i="17"/>
  <c r="U198" i="17"/>
  <c r="T198" i="17"/>
  <c r="U197" i="17"/>
  <c r="T197" i="17"/>
  <c r="U196" i="17"/>
  <c r="T196" i="17"/>
  <c r="U195" i="17"/>
  <c r="T195" i="17"/>
  <c r="U194" i="17"/>
  <c r="T194" i="17"/>
  <c r="U193" i="17"/>
  <c r="T193" i="17"/>
  <c r="U192" i="17"/>
  <c r="T192" i="17"/>
  <c r="U191" i="17"/>
  <c r="T191" i="17"/>
  <c r="U190" i="17"/>
  <c r="T190" i="17"/>
  <c r="U189" i="17"/>
  <c r="T189" i="17"/>
  <c r="U188" i="17"/>
  <c r="T188" i="17"/>
  <c r="U187" i="17"/>
  <c r="T187" i="17"/>
  <c r="U186" i="17"/>
  <c r="T186" i="17"/>
  <c r="U185" i="17"/>
  <c r="T185" i="17"/>
  <c r="U184" i="17"/>
  <c r="T184" i="17"/>
  <c r="U183" i="17"/>
  <c r="T183" i="17"/>
  <c r="U182" i="17"/>
  <c r="T182" i="17"/>
  <c r="U181" i="17"/>
  <c r="T181" i="17"/>
  <c r="U180" i="17"/>
  <c r="T180" i="17"/>
  <c r="U179" i="17"/>
  <c r="T179" i="17"/>
  <c r="U178" i="17"/>
  <c r="T178" i="17"/>
  <c r="U177" i="17"/>
  <c r="T177" i="17"/>
  <c r="U176" i="17"/>
  <c r="T176" i="17"/>
  <c r="U175" i="17"/>
  <c r="T175" i="17"/>
  <c r="U174" i="17"/>
  <c r="T174" i="17"/>
  <c r="U173" i="17"/>
  <c r="T173" i="17"/>
  <c r="U172" i="17"/>
  <c r="T172" i="17"/>
  <c r="U171" i="17"/>
  <c r="T171" i="17"/>
  <c r="U170" i="17"/>
  <c r="T170" i="17"/>
  <c r="U169" i="17"/>
  <c r="T169" i="17"/>
  <c r="U168" i="17"/>
  <c r="T168" i="17"/>
  <c r="U167" i="17"/>
  <c r="T167" i="17"/>
  <c r="U166" i="17"/>
  <c r="T166" i="17"/>
  <c r="U165" i="17"/>
  <c r="T165" i="17"/>
  <c r="U164" i="17"/>
  <c r="T164" i="17"/>
  <c r="U163" i="17"/>
  <c r="T163" i="17"/>
  <c r="U162" i="17"/>
  <c r="T162" i="17"/>
  <c r="U161" i="17"/>
  <c r="T161" i="17"/>
  <c r="U160" i="17"/>
  <c r="T160" i="17"/>
  <c r="U159" i="17"/>
  <c r="T159" i="17"/>
  <c r="U158" i="17"/>
  <c r="T158" i="17"/>
  <c r="U157" i="17"/>
  <c r="T157" i="17"/>
  <c r="U156" i="17"/>
  <c r="T156" i="17"/>
  <c r="U155" i="17"/>
  <c r="T155" i="17"/>
  <c r="U154" i="17"/>
  <c r="T154" i="17"/>
  <c r="U153" i="17"/>
  <c r="T153" i="17"/>
  <c r="U152" i="17"/>
  <c r="T152" i="17"/>
  <c r="U151" i="17"/>
  <c r="T151" i="17"/>
  <c r="U150" i="17"/>
  <c r="T150" i="17"/>
  <c r="U149" i="17"/>
  <c r="T149" i="17"/>
  <c r="U148" i="17"/>
  <c r="T148" i="17"/>
  <c r="U147" i="17"/>
  <c r="T147" i="17"/>
  <c r="U146" i="17"/>
  <c r="T146" i="17"/>
  <c r="U145" i="17"/>
  <c r="T145" i="17"/>
  <c r="U144" i="17"/>
  <c r="T144" i="17"/>
  <c r="U143" i="17"/>
  <c r="T143" i="17"/>
  <c r="U142" i="17"/>
  <c r="T142" i="17"/>
  <c r="U141" i="17"/>
  <c r="T141" i="17"/>
  <c r="U140" i="17"/>
  <c r="T140" i="17"/>
  <c r="U139" i="17"/>
  <c r="T139" i="17"/>
  <c r="U138" i="17"/>
  <c r="T138" i="17"/>
  <c r="U137" i="17"/>
  <c r="T137" i="17"/>
  <c r="U136" i="17"/>
  <c r="T136" i="17"/>
  <c r="U135" i="17"/>
  <c r="T135" i="17"/>
  <c r="U134" i="17"/>
  <c r="T134" i="17"/>
  <c r="U133" i="17"/>
  <c r="T133" i="17"/>
  <c r="U132" i="17"/>
  <c r="T132" i="17"/>
  <c r="U131" i="17"/>
  <c r="T131" i="17"/>
  <c r="U130" i="17"/>
  <c r="T130" i="17"/>
  <c r="U129" i="17"/>
  <c r="T129" i="17"/>
  <c r="U128" i="17"/>
  <c r="T128" i="17"/>
  <c r="U127" i="17"/>
  <c r="T127" i="17"/>
  <c r="U126" i="17"/>
  <c r="T126" i="17"/>
  <c r="U125" i="17"/>
  <c r="T125" i="17"/>
  <c r="U124" i="17"/>
  <c r="T124" i="17"/>
  <c r="U123" i="17"/>
  <c r="T123" i="17"/>
  <c r="U122" i="17"/>
  <c r="T122" i="17"/>
  <c r="U121" i="17"/>
  <c r="T121" i="17"/>
  <c r="U120" i="17"/>
  <c r="T120" i="17"/>
  <c r="U119" i="17"/>
  <c r="T119" i="17"/>
  <c r="U118" i="17"/>
  <c r="T118" i="17"/>
  <c r="U117" i="17"/>
  <c r="T117" i="17"/>
  <c r="U116" i="17"/>
  <c r="T116" i="17"/>
  <c r="U115" i="17"/>
  <c r="T115" i="17"/>
  <c r="U114" i="17"/>
  <c r="T114" i="17"/>
  <c r="U113" i="17"/>
  <c r="T113" i="17"/>
  <c r="U112" i="17"/>
  <c r="T112" i="17"/>
  <c r="U111" i="17"/>
  <c r="T111" i="17"/>
  <c r="U110" i="17"/>
  <c r="T110" i="17"/>
  <c r="U109" i="17"/>
  <c r="T109" i="17"/>
  <c r="U108" i="17"/>
  <c r="T108" i="17"/>
  <c r="U107" i="17"/>
  <c r="T107" i="17"/>
  <c r="U106" i="17"/>
  <c r="T106" i="17"/>
  <c r="U105" i="17"/>
  <c r="T105" i="17"/>
  <c r="U104" i="17"/>
  <c r="T104" i="17"/>
  <c r="U103" i="17"/>
  <c r="T103" i="17"/>
  <c r="U102" i="17"/>
  <c r="T102" i="17"/>
  <c r="U101" i="17"/>
  <c r="T101" i="17"/>
  <c r="U100" i="17"/>
  <c r="T100" i="17"/>
  <c r="U99" i="17"/>
  <c r="T99" i="17"/>
  <c r="U98" i="17"/>
  <c r="T98" i="17"/>
  <c r="U97" i="17"/>
  <c r="T97" i="17"/>
  <c r="U96" i="17"/>
  <c r="T96" i="17"/>
  <c r="U95" i="17"/>
  <c r="T95" i="17"/>
  <c r="U94" i="17"/>
  <c r="T94" i="17"/>
  <c r="U93" i="17"/>
  <c r="T93" i="17"/>
  <c r="U92" i="17"/>
  <c r="T92" i="17"/>
  <c r="U91" i="17"/>
  <c r="T91" i="17"/>
  <c r="U90" i="17"/>
  <c r="T90" i="17"/>
  <c r="U89" i="17"/>
  <c r="T89" i="17"/>
  <c r="U88" i="17"/>
  <c r="T88" i="17"/>
  <c r="U87" i="17"/>
  <c r="T87" i="17"/>
  <c r="U86" i="17"/>
  <c r="T86" i="17"/>
  <c r="U85" i="17"/>
  <c r="T85" i="17"/>
  <c r="U84" i="17"/>
  <c r="T84" i="17"/>
  <c r="U83" i="17"/>
  <c r="T83" i="17"/>
  <c r="U82" i="17"/>
  <c r="T82" i="17"/>
  <c r="U81" i="17"/>
  <c r="T81" i="17"/>
  <c r="U80" i="17"/>
  <c r="T80" i="17"/>
  <c r="U79" i="17"/>
  <c r="T79" i="17"/>
  <c r="U78" i="17"/>
  <c r="T78" i="17"/>
  <c r="U77" i="17"/>
  <c r="T77" i="17"/>
  <c r="U76" i="17"/>
  <c r="T76" i="17"/>
  <c r="U75" i="17"/>
  <c r="T75" i="17"/>
  <c r="U74" i="17"/>
  <c r="T74" i="17"/>
  <c r="U73" i="17"/>
  <c r="T73" i="17"/>
  <c r="U72" i="17"/>
  <c r="T72" i="17"/>
  <c r="U71" i="17"/>
  <c r="T71" i="17"/>
  <c r="U70" i="17"/>
  <c r="T70" i="17"/>
  <c r="U69" i="17"/>
  <c r="T69" i="17"/>
  <c r="U68" i="17"/>
  <c r="T68" i="17"/>
  <c r="U67" i="17"/>
  <c r="T67" i="17"/>
  <c r="U66" i="17"/>
  <c r="T66" i="17"/>
  <c r="U65" i="17"/>
  <c r="T65" i="17"/>
  <c r="U64" i="17"/>
  <c r="T64" i="17"/>
  <c r="U63" i="17"/>
  <c r="T63" i="17"/>
  <c r="U62" i="17"/>
  <c r="T62" i="17"/>
  <c r="U61" i="17"/>
  <c r="T61" i="17"/>
  <c r="U60" i="17"/>
  <c r="T60" i="17"/>
  <c r="U59" i="17"/>
  <c r="T59" i="17"/>
  <c r="U58" i="17"/>
  <c r="T58" i="17"/>
  <c r="U57" i="17"/>
  <c r="T57" i="17"/>
  <c r="U56" i="17"/>
  <c r="T56" i="17"/>
  <c r="U55" i="17"/>
  <c r="T55" i="17"/>
  <c r="U54" i="17"/>
  <c r="T54" i="17"/>
  <c r="U53" i="17"/>
  <c r="T53" i="17"/>
  <c r="U52" i="17"/>
  <c r="T52" i="17"/>
  <c r="U51" i="17"/>
  <c r="T51" i="17"/>
  <c r="U50" i="17"/>
  <c r="T50" i="17"/>
  <c r="U49" i="17"/>
  <c r="T49" i="17"/>
  <c r="U48" i="17"/>
  <c r="T48" i="17"/>
  <c r="U47" i="17"/>
  <c r="T47" i="17"/>
  <c r="U46" i="17"/>
  <c r="T46" i="17"/>
  <c r="U45" i="17"/>
  <c r="T45" i="17"/>
  <c r="U44" i="17"/>
  <c r="T44" i="17"/>
  <c r="U43" i="17"/>
  <c r="T43" i="17"/>
  <c r="U42" i="17"/>
  <c r="T42" i="17"/>
  <c r="U41" i="17"/>
  <c r="T41" i="17"/>
  <c r="U40" i="17"/>
  <c r="T40" i="17"/>
  <c r="U39" i="17"/>
  <c r="T39" i="17"/>
  <c r="U38" i="17"/>
  <c r="T38" i="17"/>
  <c r="U37" i="17"/>
  <c r="T37" i="17"/>
  <c r="U36" i="17"/>
  <c r="T36" i="17"/>
  <c r="U35" i="17"/>
  <c r="T35" i="17"/>
  <c r="U34" i="17"/>
  <c r="T34" i="17"/>
  <c r="U33" i="17"/>
  <c r="T33" i="17"/>
  <c r="U32" i="17"/>
  <c r="T32" i="17"/>
  <c r="U31" i="17"/>
  <c r="T31" i="17"/>
  <c r="U30" i="17"/>
  <c r="T30" i="17"/>
  <c r="U29" i="17"/>
  <c r="T29" i="17"/>
  <c r="U28" i="17"/>
  <c r="T28" i="17"/>
  <c r="U27" i="17"/>
  <c r="T27" i="17"/>
  <c r="U26" i="17"/>
  <c r="T26" i="17"/>
  <c r="U25" i="17"/>
  <c r="T25" i="17"/>
  <c r="U24" i="17"/>
  <c r="T24" i="17"/>
  <c r="U23" i="17"/>
  <c r="T23" i="17"/>
  <c r="U22" i="17"/>
  <c r="T22" i="17"/>
  <c r="U21" i="17"/>
  <c r="T21" i="17"/>
  <c r="U20" i="17"/>
  <c r="T20" i="17"/>
  <c r="U19" i="17"/>
  <c r="T19" i="17"/>
  <c r="U18" i="17"/>
  <c r="T18" i="17"/>
  <c r="U17" i="17"/>
  <c r="T17" i="17"/>
  <c r="U16" i="17"/>
  <c r="T16" i="17"/>
  <c r="U15" i="17"/>
  <c r="T15" i="17"/>
  <c r="U14" i="17"/>
  <c r="T14" i="17"/>
  <c r="U13" i="17"/>
  <c r="T13" i="17"/>
  <c r="U12" i="17"/>
  <c r="T12" i="17"/>
  <c r="U11" i="17"/>
  <c r="T11" i="17"/>
  <c r="U10" i="17"/>
  <c r="T10" i="17"/>
  <c r="U9" i="17"/>
  <c r="T9" i="17"/>
  <c r="U8" i="17"/>
  <c r="T8" i="17"/>
  <c r="U7" i="17"/>
  <c r="T7" i="17"/>
  <c r="U6" i="17"/>
  <c r="T6" i="17"/>
  <c r="U5" i="17"/>
  <c r="T5" i="17"/>
  <c r="U4" i="17"/>
  <c r="T4" i="17"/>
  <c r="U3" i="17"/>
  <c r="T3" i="17"/>
  <c r="U2" i="17"/>
  <c r="T2" i="17"/>
  <c r="U297" i="16"/>
  <c r="T297" i="16"/>
  <c r="U296" i="16"/>
  <c r="T296" i="16"/>
  <c r="U295" i="16"/>
  <c r="T295" i="16"/>
  <c r="U294" i="16"/>
  <c r="T294" i="16"/>
  <c r="U293" i="16"/>
  <c r="T293" i="16"/>
  <c r="U292" i="16"/>
  <c r="T292" i="16"/>
  <c r="U291" i="16"/>
  <c r="T291" i="16"/>
  <c r="U290" i="16"/>
  <c r="T290" i="16"/>
  <c r="U289" i="16"/>
  <c r="T289" i="16"/>
  <c r="U288" i="16"/>
  <c r="T288" i="16"/>
  <c r="U287" i="16"/>
  <c r="T287" i="16"/>
  <c r="U286" i="16"/>
  <c r="T286" i="16"/>
  <c r="U285" i="16"/>
  <c r="T285" i="16"/>
  <c r="U284" i="16"/>
  <c r="T284" i="16"/>
  <c r="U283" i="16"/>
  <c r="T283" i="16"/>
  <c r="U282" i="16"/>
  <c r="T282" i="16"/>
  <c r="U281" i="16"/>
  <c r="T281" i="16"/>
  <c r="U280" i="16"/>
  <c r="T280" i="16"/>
  <c r="U279" i="16"/>
  <c r="T279" i="16"/>
  <c r="U278" i="16"/>
  <c r="T278" i="16"/>
  <c r="U277" i="16"/>
  <c r="T277" i="16"/>
  <c r="U276" i="16"/>
  <c r="T276" i="16"/>
  <c r="U275" i="16"/>
  <c r="T275" i="16"/>
  <c r="U274" i="16"/>
  <c r="T274" i="16"/>
  <c r="U273" i="16"/>
  <c r="T273" i="16"/>
  <c r="U272" i="16"/>
  <c r="T272" i="16"/>
  <c r="U271" i="16"/>
  <c r="T271" i="16"/>
  <c r="U270" i="16"/>
  <c r="T270" i="16"/>
  <c r="U269" i="16"/>
  <c r="T269" i="16"/>
  <c r="U268" i="16"/>
  <c r="T268" i="16"/>
  <c r="U267" i="16"/>
  <c r="T267" i="16"/>
  <c r="U266" i="16"/>
  <c r="T266" i="16"/>
  <c r="U265" i="16"/>
  <c r="T265" i="16"/>
  <c r="U264" i="16"/>
  <c r="T264" i="16"/>
  <c r="U263" i="16"/>
  <c r="T263" i="16"/>
  <c r="U262" i="16"/>
  <c r="T262" i="16"/>
  <c r="U261" i="16"/>
  <c r="T261" i="16"/>
  <c r="U260" i="16"/>
  <c r="T260" i="16"/>
  <c r="U259" i="16"/>
  <c r="T259" i="16"/>
  <c r="U258" i="16"/>
  <c r="T258" i="16"/>
  <c r="U257" i="16"/>
  <c r="T257" i="16"/>
  <c r="U256" i="16"/>
  <c r="T256" i="16"/>
  <c r="U255" i="16"/>
  <c r="T255" i="16"/>
  <c r="U254" i="16"/>
  <c r="T254" i="16"/>
  <c r="U253" i="16"/>
  <c r="T253" i="16"/>
  <c r="U252" i="16"/>
  <c r="T252" i="16"/>
  <c r="U251" i="16"/>
  <c r="T251" i="16"/>
  <c r="U250" i="16"/>
  <c r="T250" i="16"/>
  <c r="U249" i="16"/>
  <c r="T249" i="16"/>
  <c r="U248" i="16"/>
  <c r="T248" i="16"/>
  <c r="U247" i="16"/>
  <c r="T247" i="16"/>
  <c r="U246" i="16"/>
  <c r="T246" i="16"/>
  <c r="U245" i="16"/>
  <c r="T245" i="16"/>
  <c r="U244" i="16"/>
  <c r="T244" i="16"/>
  <c r="U243" i="16"/>
  <c r="T243" i="16"/>
  <c r="U242" i="16"/>
  <c r="T242" i="16"/>
  <c r="U241" i="16"/>
  <c r="T241" i="16"/>
  <c r="U240" i="16"/>
  <c r="T240" i="16"/>
  <c r="U239" i="16"/>
  <c r="T239" i="16"/>
  <c r="U238" i="16"/>
  <c r="T238" i="16"/>
  <c r="U237" i="16"/>
  <c r="T237" i="16"/>
  <c r="U236" i="16"/>
  <c r="T236" i="16"/>
  <c r="U235" i="16"/>
  <c r="T235" i="16"/>
  <c r="U234" i="16"/>
  <c r="T234" i="16"/>
  <c r="U233" i="16"/>
  <c r="T233" i="16"/>
  <c r="U232" i="16"/>
  <c r="T232" i="16"/>
  <c r="U231" i="16"/>
  <c r="T231" i="16"/>
  <c r="U230" i="16"/>
  <c r="T230" i="16"/>
  <c r="U229" i="16"/>
  <c r="T229" i="16"/>
  <c r="U228" i="16"/>
  <c r="T228" i="16"/>
  <c r="U227" i="16"/>
  <c r="T227" i="16"/>
  <c r="U226" i="16"/>
  <c r="T226" i="16"/>
  <c r="U225" i="16"/>
  <c r="T225" i="16"/>
  <c r="U224" i="16"/>
  <c r="T224" i="16"/>
  <c r="U223" i="16"/>
  <c r="T223" i="16"/>
  <c r="U222" i="16"/>
  <c r="T222" i="16"/>
  <c r="U221" i="16"/>
  <c r="T221" i="16"/>
  <c r="U220" i="16"/>
  <c r="T220" i="16"/>
  <c r="U219" i="16"/>
  <c r="T219" i="16"/>
  <c r="U218" i="16"/>
  <c r="T218" i="16"/>
  <c r="U217" i="16"/>
  <c r="T217" i="16"/>
  <c r="U216" i="16"/>
  <c r="T216" i="16"/>
  <c r="U215" i="16"/>
  <c r="T215" i="16"/>
  <c r="U214" i="16"/>
  <c r="T214" i="16"/>
  <c r="U213" i="16"/>
  <c r="T213" i="16"/>
  <c r="U212" i="16"/>
  <c r="T212" i="16"/>
  <c r="U211" i="16"/>
  <c r="T211" i="16"/>
  <c r="U210" i="16"/>
  <c r="T210" i="16"/>
  <c r="U209" i="16"/>
  <c r="T209" i="16"/>
  <c r="U208" i="16"/>
  <c r="T208" i="16"/>
  <c r="U207" i="16"/>
  <c r="T207" i="16"/>
  <c r="U206" i="16"/>
  <c r="T206" i="16"/>
  <c r="U205" i="16"/>
  <c r="T205" i="16"/>
  <c r="U204" i="16"/>
  <c r="T204" i="16"/>
  <c r="U203" i="16"/>
  <c r="T203" i="16"/>
  <c r="U202" i="16"/>
  <c r="T202" i="16"/>
  <c r="U201" i="16"/>
  <c r="T201" i="16"/>
  <c r="U200" i="16"/>
  <c r="T200" i="16"/>
  <c r="U199" i="16"/>
  <c r="T199" i="16"/>
  <c r="U198" i="16"/>
  <c r="T198" i="16"/>
  <c r="U197" i="16"/>
  <c r="T197" i="16"/>
  <c r="U196" i="16"/>
  <c r="T196" i="16"/>
  <c r="U195" i="16"/>
  <c r="T195" i="16"/>
  <c r="U194" i="16"/>
  <c r="T194" i="16"/>
  <c r="U193" i="16"/>
  <c r="T193" i="16"/>
  <c r="U192" i="16"/>
  <c r="T192" i="16"/>
  <c r="U191" i="16"/>
  <c r="T191" i="16"/>
  <c r="U190" i="16"/>
  <c r="T190" i="16"/>
  <c r="U189" i="16"/>
  <c r="T189" i="16"/>
  <c r="U188" i="16"/>
  <c r="T188" i="16"/>
  <c r="U187" i="16"/>
  <c r="T187" i="16"/>
  <c r="U186" i="16"/>
  <c r="T186" i="16"/>
  <c r="U185" i="16"/>
  <c r="T185" i="16"/>
  <c r="U184" i="16"/>
  <c r="T184" i="16"/>
  <c r="U183" i="16"/>
  <c r="T183" i="16"/>
  <c r="U182" i="16"/>
  <c r="T182" i="16"/>
  <c r="U181" i="16"/>
  <c r="T181" i="16"/>
  <c r="U180" i="16"/>
  <c r="T180" i="16"/>
  <c r="U179" i="16"/>
  <c r="T179" i="16"/>
  <c r="U178" i="16"/>
  <c r="T178" i="16"/>
  <c r="U177" i="16"/>
  <c r="T177" i="16"/>
  <c r="U176" i="16"/>
  <c r="T176" i="16"/>
  <c r="U175" i="16"/>
  <c r="T175" i="16"/>
  <c r="U174" i="16"/>
  <c r="T174" i="16"/>
  <c r="U173" i="16"/>
  <c r="T173" i="16"/>
  <c r="U172" i="16"/>
  <c r="T172" i="16"/>
  <c r="U171" i="16"/>
  <c r="T171" i="16"/>
  <c r="U170" i="16"/>
  <c r="T170" i="16"/>
  <c r="U169" i="16"/>
  <c r="T169" i="16"/>
  <c r="U168" i="16"/>
  <c r="T168" i="16"/>
  <c r="U167" i="16"/>
  <c r="T167" i="16"/>
  <c r="U166" i="16"/>
  <c r="T166" i="16"/>
  <c r="U165" i="16"/>
  <c r="T165" i="16"/>
  <c r="U164" i="16"/>
  <c r="T164" i="16"/>
  <c r="U163" i="16"/>
  <c r="T163" i="16"/>
  <c r="U162" i="16"/>
  <c r="T162" i="16"/>
  <c r="U161" i="16"/>
  <c r="T161" i="16"/>
  <c r="U160" i="16"/>
  <c r="T160" i="16"/>
  <c r="U159" i="16"/>
  <c r="T159" i="16"/>
  <c r="U158" i="16"/>
  <c r="T158" i="16"/>
  <c r="U157" i="16"/>
  <c r="T157" i="16"/>
  <c r="U156" i="16"/>
  <c r="T156" i="16"/>
  <c r="U155" i="16"/>
  <c r="T155" i="16"/>
  <c r="U154" i="16"/>
  <c r="T154" i="16"/>
  <c r="U153" i="16"/>
  <c r="T153" i="16"/>
  <c r="U152" i="16"/>
  <c r="T152" i="16"/>
  <c r="U151" i="16"/>
  <c r="T151" i="16"/>
  <c r="U150" i="16"/>
  <c r="T150" i="16"/>
  <c r="U149" i="16"/>
  <c r="T149" i="16"/>
  <c r="U148" i="16"/>
  <c r="T148" i="16"/>
  <c r="U147" i="16"/>
  <c r="T147" i="16"/>
  <c r="U146" i="16"/>
  <c r="T146" i="16"/>
  <c r="U145" i="16"/>
  <c r="T145" i="16"/>
  <c r="U144" i="16"/>
  <c r="T144" i="16"/>
  <c r="U143" i="16"/>
  <c r="T143" i="16"/>
  <c r="U142" i="16"/>
  <c r="T142" i="16"/>
  <c r="U141" i="16"/>
  <c r="T141" i="16"/>
  <c r="U140" i="16"/>
  <c r="T140" i="16"/>
  <c r="U139" i="16"/>
  <c r="T139" i="16"/>
  <c r="U138" i="16"/>
  <c r="T138" i="16"/>
  <c r="U137" i="16"/>
  <c r="T137" i="16"/>
  <c r="U136" i="16"/>
  <c r="T136" i="16"/>
  <c r="U135" i="16"/>
  <c r="T135" i="16"/>
  <c r="U134" i="16"/>
  <c r="T134" i="16"/>
  <c r="U133" i="16"/>
  <c r="T133" i="16"/>
  <c r="U132" i="16"/>
  <c r="T132" i="16"/>
  <c r="U131" i="16"/>
  <c r="T131" i="16"/>
  <c r="U130" i="16"/>
  <c r="T130" i="16"/>
  <c r="U129" i="16"/>
  <c r="T129" i="16"/>
  <c r="U128" i="16"/>
  <c r="T128" i="16"/>
  <c r="U127" i="16"/>
  <c r="T127" i="16"/>
  <c r="U126" i="16"/>
  <c r="T126" i="16"/>
  <c r="U125" i="16"/>
  <c r="T125" i="16"/>
  <c r="U124" i="16"/>
  <c r="T124" i="16"/>
  <c r="U123" i="16"/>
  <c r="T123" i="16"/>
  <c r="U122" i="16"/>
  <c r="T122" i="16"/>
  <c r="U121" i="16"/>
  <c r="T121" i="16"/>
  <c r="U120" i="16"/>
  <c r="T120" i="16"/>
  <c r="U119" i="16"/>
  <c r="T119" i="16"/>
  <c r="U118" i="16"/>
  <c r="T118" i="16"/>
  <c r="U117" i="16"/>
  <c r="T117" i="16"/>
  <c r="U116" i="16"/>
  <c r="T116" i="16"/>
  <c r="U115" i="16"/>
  <c r="T115" i="16"/>
  <c r="U114" i="16"/>
  <c r="T114" i="16"/>
  <c r="U113" i="16"/>
  <c r="T113" i="16"/>
  <c r="U112" i="16"/>
  <c r="T112" i="16"/>
  <c r="U111" i="16"/>
  <c r="T111" i="16"/>
  <c r="U110" i="16"/>
  <c r="T110" i="16"/>
  <c r="U109" i="16"/>
  <c r="T109" i="16"/>
  <c r="U108" i="16"/>
  <c r="T108" i="16"/>
  <c r="U107" i="16"/>
  <c r="T107" i="16"/>
  <c r="U106" i="16"/>
  <c r="T106" i="16"/>
  <c r="U105" i="16"/>
  <c r="T105" i="16"/>
  <c r="U104" i="16"/>
  <c r="T104" i="16"/>
  <c r="U103" i="16"/>
  <c r="T103" i="16"/>
  <c r="U102" i="16"/>
  <c r="T102" i="16"/>
  <c r="U101" i="16"/>
  <c r="T101" i="16"/>
  <c r="U100" i="16"/>
  <c r="T100" i="16"/>
  <c r="U99" i="16"/>
  <c r="T99" i="16"/>
  <c r="U98" i="16"/>
  <c r="T98" i="16"/>
  <c r="U97" i="16"/>
  <c r="T97" i="16"/>
  <c r="U96" i="16"/>
  <c r="T96" i="16"/>
  <c r="U95" i="16"/>
  <c r="T95" i="16"/>
  <c r="U94" i="16"/>
  <c r="T94" i="16"/>
  <c r="U93" i="16"/>
  <c r="T93" i="16"/>
  <c r="U92" i="16"/>
  <c r="T92" i="16"/>
  <c r="U91" i="16"/>
  <c r="T91" i="16"/>
  <c r="U90" i="16"/>
  <c r="T90" i="16"/>
  <c r="U89" i="16"/>
  <c r="T89" i="16"/>
  <c r="U88" i="16"/>
  <c r="T88" i="16"/>
  <c r="U87" i="16"/>
  <c r="T87" i="16"/>
  <c r="U86" i="16"/>
  <c r="T86" i="16"/>
  <c r="U85" i="16"/>
  <c r="T85" i="16"/>
  <c r="U84" i="16"/>
  <c r="T84" i="16"/>
  <c r="U83" i="16"/>
  <c r="T83" i="16"/>
  <c r="U82" i="16"/>
  <c r="T82" i="16"/>
  <c r="U81" i="16"/>
  <c r="T81" i="16"/>
  <c r="U80" i="16"/>
  <c r="T80" i="16"/>
  <c r="U79" i="16"/>
  <c r="T79" i="16"/>
  <c r="U78" i="16"/>
  <c r="T78" i="16"/>
  <c r="U77" i="16"/>
  <c r="T77" i="16"/>
  <c r="U76" i="16"/>
  <c r="T76" i="16"/>
  <c r="U75" i="16"/>
  <c r="T75" i="16"/>
  <c r="U74" i="16"/>
  <c r="T74" i="16"/>
  <c r="U73" i="16"/>
  <c r="T73" i="16"/>
  <c r="U72" i="16"/>
  <c r="T72" i="16"/>
  <c r="U71" i="16"/>
  <c r="T71" i="16"/>
  <c r="U70" i="16"/>
  <c r="T70" i="16"/>
  <c r="U69" i="16"/>
  <c r="T69" i="16"/>
  <c r="U68" i="16"/>
  <c r="T68" i="16"/>
  <c r="U67" i="16"/>
  <c r="T67" i="16"/>
  <c r="U66" i="16"/>
  <c r="T66" i="16"/>
  <c r="U65" i="16"/>
  <c r="T65" i="16"/>
  <c r="U64" i="16"/>
  <c r="T64" i="16"/>
  <c r="U63" i="16"/>
  <c r="T63" i="16"/>
  <c r="U62" i="16"/>
  <c r="T62" i="16"/>
  <c r="U61" i="16"/>
  <c r="T61" i="16"/>
  <c r="U60" i="16"/>
  <c r="T60" i="16"/>
  <c r="U59" i="16"/>
  <c r="T59" i="16"/>
  <c r="U58" i="16"/>
  <c r="T58" i="16"/>
  <c r="U57" i="16"/>
  <c r="T57" i="16"/>
  <c r="U56" i="16"/>
  <c r="T56" i="16"/>
  <c r="U55" i="16"/>
  <c r="T55" i="16"/>
  <c r="U54" i="16"/>
  <c r="T54" i="16"/>
  <c r="U53" i="16"/>
  <c r="T53" i="16"/>
  <c r="U52" i="16"/>
  <c r="T52" i="16"/>
  <c r="U51" i="16"/>
  <c r="T51" i="16"/>
  <c r="U50" i="16"/>
  <c r="T50" i="16"/>
  <c r="U49" i="16"/>
  <c r="T49" i="16"/>
  <c r="U48" i="16"/>
  <c r="T48" i="16"/>
  <c r="U47" i="16"/>
  <c r="T47" i="16"/>
  <c r="U46" i="16"/>
  <c r="T46" i="16"/>
  <c r="U45" i="16"/>
  <c r="T45" i="16"/>
  <c r="U44" i="16"/>
  <c r="T44" i="16"/>
  <c r="U43" i="16"/>
  <c r="T43" i="16"/>
  <c r="U42" i="16"/>
  <c r="T42" i="16"/>
  <c r="U41" i="16"/>
  <c r="T41" i="16"/>
  <c r="U40" i="16"/>
  <c r="T40" i="16"/>
  <c r="U39" i="16"/>
  <c r="T39" i="16"/>
  <c r="U38" i="16"/>
  <c r="T38" i="16"/>
  <c r="U37" i="16"/>
  <c r="T37" i="16"/>
  <c r="U36" i="16"/>
  <c r="T36" i="16"/>
  <c r="U35" i="16"/>
  <c r="T35" i="16"/>
  <c r="U34" i="16"/>
  <c r="T34" i="16"/>
  <c r="U33" i="16"/>
  <c r="T33" i="16"/>
  <c r="U32" i="16"/>
  <c r="T32" i="16"/>
  <c r="U31" i="16"/>
  <c r="T31" i="16"/>
  <c r="U30" i="16"/>
  <c r="T30" i="16"/>
  <c r="U29" i="16"/>
  <c r="T29" i="16"/>
  <c r="U28" i="16"/>
  <c r="T28" i="16"/>
  <c r="U27" i="16"/>
  <c r="T27" i="16"/>
  <c r="U26" i="16"/>
  <c r="T26" i="16"/>
  <c r="U25" i="16"/>
  <c r="T25" i="16"/>
  <c r="U24" i="16"/>
  <c r="T24" i="16"/>
  <c r="U23" i="16"/>
  <c r="T23" i="16"/>
  <c r="U22" i="16"/>
  <c r="T22" i="16"/>
  <c r="U21" i="16"/>
  <c r="T21" i="16"/>
  <c r="U20" i="16"/>
  <c r="T20" i="16"/>
  <c r="U19" i="16"/>
  <c r="T19" i="16"/>
  <c r="U18" i="16"/>
  <c r="T18" i="16"/>
  <c r="U17" i="16"/>
  <c r="T17" i="16"/>
  <c r="U16" i="16"/>
  <c r="T16" i="16"/>
  <c r="U15" i="16"/>
  <c r="T15" i="16"/>
  <c r="U14" i="16"/>
  <c r="T14" i="16"/>
  <c r="U13" i="16"/>
  <c r="T13" i="16"/>
  <c r="U12" i="16"/>
  <c r="T12" i="16"/>
  <c r="U11" i="16"/>
  <c r="T11" i="16"/>
  <c r="U10" i="16"/>
  <c r="T10" i="16"/>
  <c r="U9" i="16"/>
  <c r="T9" i="16"/>
  <c r="U8" i="16"/>
  <c r="T8" i="16"/>
  <c r="U7" i="16"/>
  <c r="T7" i="16"/>
  <c r="U6" i="16"/>
  <c r="T6" i="16"/>
  <c r="U5" i="16"/>
  <c r="T5" i="16"/>
  <c r="U4" i="16"/>
  <c r="T4" i="16"/>
  <c r="U3" i="16"/>
  <c r="T3" i="16"/>
  <c r="U2" i="16"/>
  <c r="T2" i="16"/>
  <c r="U297" i="15"/>
  <c r="T297" i="15"/>
  <c r="U296" i="15"/>
  <c r="T296" i="15"/>
  <c r="U295" i="15"/>
  <c r="T295" i="15"/>
  <c r="U294" i="15"/>
  <c r="T294" i="15"/>
  <c r="U293" i="15"/>
  <c r="T293" i="15"/>
  <c r="U292" i="15"/>
  <c r="T292" i="15"/>
  <c r="U291" i="15"/>
  <c r="T291" i="15"/>
  <c r="U290" i="15"/>
  <c r="T290" i="15"/>
  <c r="U289" i="15"/>
  <c r="T289" i="15"/>
  <c r="U288" i="15"/>
  <c r="T288" i="15"/>
  <c r="U287" i="15"/>
  <c r="T287" i="15"/>
  <c r="U286" i="15"/>
  <c r="T286" i="15"/>
  <c r="U285" i="15"/>
  <c r="T285" i="15"/>
  <c r="U284" i="15"/>
  <c r="T284" i="15"/>
  <c r="U283" i="15"/>
  <c r="T283" i="15"/>
  <c r="U282" i="15"/>
  <c r="T282" i="15"/>
  <c r="U281" i="15"/>
  <c r="T281" i="15"/>
  <c r="U280" i="15"/>
  <c r="T280" i="15"/>
  <c r="U279" i="15"/>
  <c r="T279" i="15"/>
  <c r="U278" i="15"/>
  <c r="T278" i="15"/>
  <c r="U277" i="15"/>
  <c r="T277" i="15"/>
  <c r="U276" i="15"/>
  <c r="T276" i="15"/>
  <c r="U275" i="15"/>
  <c r="T275" i="15"/>
  <c r="U274" i="15"/>
  <c r="T274" i="15"/>
  <c r="U273" i="15"/>
  <c r="T273" i="15"/>
  <c r="U272" i="15"/>
  <c r="T272" i="15"/>
  <c r="U271" i="15"/>
  <c r="T271" i="15"/>
  <c r="U270" i="15"/>
  <c r="T270" i="15"/>
  <c r="U269" i="15"/>
  <c r="T269" i="15"/>
  <c r="U268" i="15"/>
  <c r="T268" i="15"/>
  <c r="U267" i="15"/>
  <c r="T267" i="15"/>
  <c r="U266" i="15"/>
  <c r="T266" i="15"/>
  <c r="U265" i="15"/>
  <c r="T265" i="15"/>
  <c r="U264" i="15"/>
  <c r="T264" i="15"/>
  <c r="U263" i="15"/>
  <c r="T263" i="15"/>
  <c r="U262" i="15"/>
  <c r="T262" i="15"/>
  <c r="U261" i="15"/>
  <c r="T261" i="15"/>
  <c r="U260" i="15"/>
  <c r="T260" i="15"/>
  <c r="U259" i="15"/>
  <c r="T259" i="15"/>
  <c r="U258" i="15"/>
  <c r="T258" i="15"/>
  <c r="U257" i="15"/>
  <c r="T257" i="15"/>
  <c r="U256" i="15"/>
  <c r="T256" i="15"/>
  <c r="U255" i="15"/>
  <c r="T255" i="15"/>
  <c r="U254" i="15"/>
  <c r="T254" i="15"/>
  <c r="U253" i="15"/>
  <c r="T253" i="15"/>
  <c r="U252" i="15"/>
  <c r="T252" i="15"/>
  <c r="U251" i="15"/>
  <c r="T251" i="15"/>
  <c r="U250" i="15"/>
  <c r="T250" i="15"/>
  <c r="U249" i="15"/>
  <c r="T249" i="15"/>
  <c r="U248" i="15"/>
  <c r="T248" i="15"/>
  <c r="U247" i="15"/>
  <c r="T247" i="15"/>
  <c r="U246" i="15"/>
  <c r="T246" i="15"/>
  <c r="U245" i="15"/>
  <c r="T245" i="15"/>
  <c r="U244" i="15"/>
  <c r="T244" i="15"/>
  <c r="U243" i="15"/>
  <c r="T243" i="15"/>
  <c r="U242" i="15"/>
  <c r="T242" i="15"/>
  <c r="U241" i="15"/>
  <c r="T241" i="15"/>
  <c r="U240" i="15"/>
  <c r="T240" i="15"/>
  <c r="U239" i="15"/>
  <c r="T239" i="15"/>
  <c r="U238" i="15"/>
  <c r="T238" i="15"/>
  <c r="U237" i="15"/>
  <c r="T237" i="15"/>
  <c r="U236" i="15"/>
  <c r="T236" i="15"/>
  <c r="U235" i="15"/>
  <c r="T235" i="15"/>
  <c r="U234" i="15"/>
  <c r="T234" i="15"/>
  <c r="U233" i="15"/>
  <c r="T233" i="15"/>
  <c r="U232" i="15"/>
  <c r="T232" i="15"/>
  <c r="U231" i="15"/>
  <c r="T231" i="15"/>
  <c r="U230" i="15"/>
  <c r="T230" i="15"/>
  <c r="U229" i="15"/>
  <c r="T229" i="15"/>
  <c r="U228" i="15"/>
  <c r="T228" i="15"/>
  <c r="U227" i="15"/>
  <c r="T227" i="15"/>
  <c r="U226" i="15"/>
  <c r="T226" i="15"/>
  <c r="U225" i="15"/>
  <c r="T225" i="15"/>
  <c r="U224" i="15"/>
  <c r="T224" i="15"/>
  <c r="U223" i="15"/>
  <c r="T223" i="15"/>
  <c r="U222" i="15"/>
  <c r="T222" i="15"/>
  <c r="U221" i="15"/>
  <c r="T221" i="15"/>
  <c r="U220" i="15"/>
  <c r="T220" i="15"/>
  <c r="U219" i="15"/>
  <c r="T219" i="15"/>
  <c r="U218" i="15"/>
  <c r="T218" i="15"/>
  <c r="U217" i="15"/>
  <c r="T217" i="15"/>
  <c r="U216" i="15"/>
  <c r="T216" i="15"/>
  <c r="U215" i="15"/>
  <c r="T215" i="15"/>
  <c r="U214" i="15"/>
  <c r="T214" i="15"/>
  <c r="U213" i="15"/>
  <c r="T213" i="15"/>
  <c r="U212" i="15"/>
  <c r="T212" i="15"/>
  <c r="U211" i="15"/>
  <c r="T211" i="15"/>
  <c r="U210" i="15"/>
  <c r="T210" i="15"/>
  <c r="U209" i="15"/>
  <c r="T209" i="15"/>
  <c r="U208" i="15"/>
  <c r="T208" i="15"/>
  <c r="U207" i="15"/>
  <c r="T207" i="15"/>
  <c r="U206" i="15"/>
  <c r="T206" i="15"/>
  <c r="U205" i="15"/>
  <c r="T205" i="15"/>
  <c r="U204" i="15"/>
  <c r="T204" i="15"/>
  <c r="U203" i="15"/>
  <c r="T203" i="15"/>
  <c r="U202" i="15"/>
  <c r="T202" i="15"/>
  <c r="U201" i="15"/>
  <c r="T201" i="15"/>
  <c r="U200" i="15"/>
  <c r="T200" i="15"/>
  <c r="U199" i="15"/>
  <c r="T199" i="15"/>
  <c r="U198" i="15"/>
  <c r="T198" i="15"/>
  <c r="U197" i="15"/>
  <c r="T197" i="15"/>
  <c r="U196" i="15"/>
  <c r="T196" i="15"/>
  <c r="U195" i="15"/>
  <c r="T195" i="15"/>
  <c r="U194" i="15"/>
  <c r="T194" i="15"/>
  <c r="U193" i="15"/>
  <c r="T193" i="15"/>
  <c r="U192" i="15"/>
  <c r="T192" i="15"/>
  <c r="U191" i="15"/>
  <c r="T191" i="15"/>
  <c r="U190" i="15"/>
  <c r="T190" i="15"/>
  <c r="U189" i="15"/>
  <c r="T189" i="15"/>
  <c r="U188" i="15"/>
  <c r="T188" i="15"/>
  <c r="U187" i="15"/>
  <c r="T187" i="15"/>
  <c r="U186" i="15"/>
  <c r="T186" i="15"/>
  <c r="U185" i="15"/>
  <c r="T185" i="15"/>
  <c r="U184" i="15"/>
  <c r="T184" i="15"/>
  <c r="U183" i="15"/>
  <c r="T183" i="15"/>
  <c r="U182" i="15"/>
  <c r="T182" i="15"/>
  <c r="U181" i="15"/>
  <c r="T181" i="15"/>
  <c r="U180" i="15"/>
  <c r="T180" i="15"/>
  <c r="U179" i="15"/>
  <c r="T179" i="15"/>
  <c r="U178" i="15"/>
  <c r="T178" i="15"/>
  <c r="U177" i="15"/>
  <c r="T177" i="15"/>
  <c r="U176" i="15"/>
  <c r="T176" i="15"/>
  <c r="U175" i="15"/>
  <c r="T175" i="15"/>
  <c r="U174" i="15"/>
  <c r="T174" i="15"/>
  <c r="U173" i="15"/>
  <c r="T173" i="15"/>
  <c r="U172" i="15"/>
  <c r="T172" i="15"/>
  <c r="U171" i="15"/>
  <c r="T171" i="15"/>
  <c r="U170" i="15"/>
  <c r="T170" i="15"/>
  <c r="U169" i="15"/>
  <c r="T169" i="15"/>
  <c r="U168" i="15"/>
  <c r="T168" i="15"/>
  <c r="U167" i="15"/>
  <c r="T167" i="15"/>
  <c r="U166" i="15"/>
  <c r="T166" i="15"/>
  <c r="U165" i="15"/>
  <c r="T165" i="15"/>
  <c r="U164" i="15"/>
  <c r="T164" i="15"/>
  <c r="U163" i="15"/>
  <c r="T163" i="15"/>
  <c r="U162" i="15"/>
  <c r="T162" i="15"/>
  <c r="U161" i="15"/>
  <c r="T161" i="15"/>
  <c r="U160" i="15"/>
  <c r="T160" i="15"/>
  <c r="U159" i="15"/>
  <c r="T159" i="15"/>
  <c r="U158" i="15"/>
  <c r="T158" i="15"/>
  <c r="U157" i="15"/>
  <c r="T157" i="15"/>
  <c r="U156" i="15"/>
  <c r="T156" i="15"/>
  <c r="U155" i="15"/>
  <c r="T155" i="15"/>
  <c r="U154" i="15"/>
  <c r="T154" i="15"/>
  <c r="U153" i="15"/>
  <c r="T153" i="15"/>
  <c r="U152" i="15"/>
  <c r="T152" i="15"/>
  <c r="U151" i="15"/>
  <c r="T151" i="15"/>
  <c r="U150" i="15"/>
  <c r="T150" i="15"/>
  <c r="U149" i="15"/>
  <c r="T149" i="15"/>
  <c r="U148" i="15"/>
  <c r="T148" i="15"/>
  <c r="U147" i="15"/>
  <c r="T147" i="15"/>
  <c r="U146" i="15"/>
  <c r="T146" i="15"/>
  <c r="U145" i="15"/>
  <c r="T145" i="15"/>
  <c r="U144" i="15"/>
  <c r="T144" i="15"/>
  <c r="U143" i="15"/>
  <c r="T143" i="15"/>
  <c r="U142" i="15"/>
  <c r="T142" i="15"/>
  <c r="U141" i="15"/>
  <c r="T141" i="15"/>
  <c r="U140" i="15"/>
  <c r="T140" i="15"/>
  <c r="U139" i="15"/>
  <c r="T139" i="15"/>
  <c r="U138" i="15"/>
  <c r="T138" i="15"/>
  <c r="U137" i="15"/>
  <c r="T137" i="15"/>
  <c r="U136" i="15"/>
  <c r="T136" i="15"/>
  <c r="U135" i="15"/>
  <c r="T135" i="15"/>
  <c r="U134" i="15"/>
  <c r="T134" i="15"/>
  <c r="U133" i="15"/>
  <c r="T133" i="15"/>
  <c r="U132" i="15"/>
  <c r="T132" i="15"/>
  <c r="U131" i="15"/>
  <c r="T131" i="15"/>
  <c r="U130" i="15"/>
  <c r="T130" i="15"/>
  <c r="U129" i="15"/>
  <c r="T129" i="15"/>
  <c r="U128" i="15"/>
  <c r="T128" i="15"/>
  <c r="U127" i="15"/>
  <c r="T127" i="15"/>
  <c r="U126" i="15"/>
  <c r="T126" i="15"/>
  <c r="U125" i="15"/>
  <c r="T125" i="15"/>
  <c r="U124" i="15"/>
  <c r="T124" i="15"/>
  <c r="U123" i="15"/>
  <c r="T123" i="15"/>
  <c r="U122" i="15"/>
  <c r="T122" i="15"/>
  <c r="U121" i="15"/>
  <c r="T121" i="15"/>
  <c r="U120" i="15"/>
  <c r="T120" i="15"/>
  <c r="U119" i="15"/>
  <c r="T119" i="15"/>
  <c r="U118" i="15"/>
  <c r="T118" i="15"/>
  <c r="U117" i="15"/>
  <c r="T117" i="15"/>
  <c r="U116" i="15"/>
  <c r="T116" i="15"/>
  <c r="U115" i="15"/>
  <c r="T115" i="15"/>
  <c r="U114" i="15"/>
  <c r="T114" i="15"/>
  <c r="U113" i="15"/>
  <c r="T113" i="15"/>
  <c r="U112" i="15"/>
  <c r="T112" i="15"/>
  <c r="U111" i="15"/>
  <c r="T111" i="15"/>
  <c r="U110" i="15"/>
  <c r="T110" i="15"/>
  <c r="U109" i="15"/>
  <c r="T109" i="15"/>
  <c r="U108" i="15"/>
  <c r="T108" i="15"/>
  <c r="U107" i="15"/>
  <c r="T107" i="15"/>
  <c r="U106" i="15"/>
  <c r="T106" i="15"/>
  <c r="U105" i="15"/>
  <c r="T105" i="15"/>
  <c r="U104" i="15"/>
  <c r="T104" i="15"/>
  <c r="U103" i="15"/>
  <c r="T103" i="15"/>
  <c r="U102" i="15"/>
  <c r="T102" i="15"/>
  <c r="U101" i="15"/>
  <c r="T101" i="15"/>
  <c r="U100" i="15"/>
  <c r="T100" i="15"/>
  <c r="U99" i="15"/>
  <c r="T99" i="15"/>
  <c r="U98" i="15"/>
  <c r="T98" i="15"/>
  <c r="U97" i="15"/>
  <c r="T97" i="15"/>
  <c r="U96" i="15"/>
  <c r="T96" i="15"/>
  <c r="U95" i="15"/>
  <c r="T95" i="15"/>
  <c r="U94" i="15"/>
  <c r="T94" i="15"/>
  <c r="U93" i="15"/>
  <c r="T93" i="15"/>
  <c r="U92" i="15"/>
  <c r="T92" i="15"/>
  <c r="U91" i="15"/>
  <c r="T91" i="15"/>
  <c r="U90" i="15"/>
  <c r="T90" i="15"/>
  <c r="U89" i="15"/>
  <c r="T89" i="15"/>
  <c r="U88" i="15"/>
  <c r="T88" i="15"/>
  <c r="U87" i="15"/>
  <c r="T87" i="15"/>
  <c r="U86" i="15"/>
  <c r="T86" i="15"/>
  <c r="U85" i="15"/>
  <c r="T85" i="15"/>
  <c r="U84" i="15"/>
  <c r="T84" i="15"/>
  <c r="U83" i="15"/>
  <c r="T83" i="15"/>
  <c r="U82" i="15"/>
  <c r="T82" i="15"/>
  <c r="U81" i="15"/>
  <c r="T81" i="15"/>
  <c r="U80" i="15"/>
  <c r="T80" i="15"/>
  <c r="U79" i="15"/>
  <c r="T79" i="15"/>
  <c r="U78" i="15"/>
  <c r="T78" i="15"/>
  <c r="U77" i="15"/>
  <c r="T77" i="15"/>
  <c r="U76" i="15"/>
  <c r="T76" i="15"/>
  <c r="U75" i="15"/>
  <c r="T75" i="15"/>
  <c r="U74" i="15"/>
  <c r="T74" i="15"/>
  <c r="U73" i="15"/>
  <c r="T73" i="15"/>
  <c r="U72" i="15"/>
  <c r="T72" i="15"/>
  <c r="U71" i="15"/>
  <c r="T71" i="15"/>
  <c r="U70" i="15"/>
  <c r="T70" i="15"/>
  <c r="U69" i="15"/>
  <c r="T69" i="15"/>
  <c r="U68" i="15"/>
  <c r="T68" i="15"/>
  <c r="U67" i="15"/>
  <c r="T67" i="15"/>
  <c r="U66" i="15"/>
  <c r="T66" i="15"/>
  <c r="U65" i="15"/>
  <c r="T65" i="15"/>
  <c r="U64" i="15"/>
  <c r="T64" i="15"/>
  <c r="U63" i="15"/>
  <c r="T63" i="15"/>
  <c r="U62" i="15"/>
  <c r="T62" i="15"/>
  <c r="U61" i="15"/>
  <c r="T61" i="15"/>
  <c r="U60" i="15"/>
  <c r="T60" i="15"/>
  <c r="U59" i="15"/>
  <c r="T59" i="15"/>
  <c r="U58" i="15"/>
  <c r="T58" i="15"/>
  <c r="U57" i="15"/>
  <c r="T57" i="15"/>
  <c r="U56" i="15"/>
  <c r="T56" i="15"/>
  <c r="U55" i="15"/>
  <c r="T55" i="15"/>
  <c r="U54" i="15"/>
  <c r="T54" i="15"/>
  <c r="U53" i="15"/>
  <c r="T53" i="15"/>
  <c r="U52" i="15"/>
  <c r="T52" i="15"/>
  <c r="U51" i="15"/>
  <c r="T51" i="15"/>
  <c r="U50" i="15"/>
  <c r="T50" i="15"/>
  <c r="U49" i="15"/>
  <c r="T49" i="15"/>
  <c r="U48" i="15"/>
  <c r="T48" i="15"/>
  <c r="U47" i="15"/>
  <c r="T47" i="15"/>
  <c r="U46" i="15"/>
  <c r="T46" i="15"/>
  <c r="U45" i="15"/>
  <c r="T45" i="15"/>
  <c r="U44" i="15"/>
  <c r="T44" i="15"/>
  <c r="U43" i="15"/>
  <c r="T43" i="15"/>
  <c r="U42" i="15"/>
  <c r="T42" i="15"/>
  <c r="U41" i="15"/>
  <c r="T41" i="15"/>
  <c r="U40" i="15"/>
  <c r="T40" i="15"/>
  <c r="U39" i="15"/>
  <c r="T39" i="15"/>
  <c r="U38" i="15"/>
  <c r="T38" i="15"/>
  <c r="U37" i="15"/>
  <c r="T37" i="15"/>
  <c r="U36" i="15"/>
  <c r="T36" i="15"/>
  <c r="U35" i="15"/>
  <c r="T35" i="15"/>
  <c r="U34" i="15"/>
  <c r="T34" i="15"/>
  <c r="U33" i="15"/>
  <c r="T33" i="15"/>
  <c r="U32" i="15"/>
  <c r="T32" i="15"/>
  <c r="U31" i="15"/>
  <c r="T31" i="15"/>
  <c r="U30" i="15"/>
  <c r="T30" i="15"/>
  <c r="U29" i="15"/>
  <c r="T29" i="15"/>
  <c r="U28" i="15"/>
  <c r="T28" i="15"/>
  <c r="U27" i="15"/>
  <c r="T27" i="15"/>
  <c r="U26" i="15"/>
  <c r="T26" i="15"/>
  <c r="U25" i="15"/>
  <c r="T25" i="15"/>
  <c r="U24" i="15"/>
  <c r="T24" i="15"/>
  <c r="U23" i="15"/>
  <c r="T23" i="15"/>
  <c r="U22" i="15"/>
  <c r="T22" i="15"/>
  <c r="U21" i="15"/>
  <c r="T21" i="15"/>
  <c r="U20" i="15"/>
  <c r="T20" i="15"/>
  <c r="U19" i="15"/>
  <c r="T19" i="15"/>
  <c r="U18" i="15"/>
  <c r="T18" i="15"/>
  <c r="U17" i="15"/>
  <c r="T17" i="15"/>
  <c r="U16" i="15"/>
  <c r="T16" i="15"/>
  <c r="U15" i="15"/>
  <c r="T15" i="15"/>
  <c r="U14" i="15"/>
  <c r="T14" i="15"/>
  <c r="U13" i="15"/>
  <c r="T13" i="15"/>
  <c r="U12" i="15"/>
  <c r="T12" i="15"/>
  <c r="U11" i="15"/>
  <c r="T11" i="15"/>
  <c r="U10" i="15"/>
  <c r="T10" i="15"/>
  <c r="U9" i="15"/>
  <c r="T9" i="15"/>
  <c r="U8" i="15"/>
  <c r="T8" i="15"/>
  <c r="U7" i="15"/>
  <c r="T7" i="15"/>
  <c r="U6" i="15"/>
  <c r="T6" i="15"/>
  <c r="U5" i="15"/>
  <c r="T5" i="15"/>
  <c r="U4" i="15"/>
  <c r="T4" i="15"/>
  <c r="U3" i="15"/>
  <c r="T3" i="15"/>
  <c r="U2" i="15"/>
  <c r="T2" i="15"/>
  <c r="U297" i="14"/>
  <c r="T297" i="14"/>
  <c r="U296" i="14"/>
  <c r="T296" i="14"/>
  <c r="U295" i="14"/>
  <c r="T295" i="14"/>
  <c r="U294" i="14"/>
  <c r="T294" i="14"/>
  <c r="U293" i="14"/>
  <c r="T293" i="14"/>
  <c r="U292" i="14"/>
  <c r="T292" i="14"/>
  <c r="U291" i="14"/>
  <c r="T291" i="14"/>
  <c r="U290" i="14"/>
  <c r="T290" i="14"/>
  <c r="U289" i="14"/>
  <c r="T289" i="14"/>
  <c r="U288" i="14"/>
  <c r="T288" i="14"/>
  <c r="U287" i="14"/>
  <c r="T287" i="14"/>
  <c r="U286" i="14"/>
  <c r="T286" i="14"/>
  <c r="U285" i="14"/>
  <c r="T285" i="14"/>
  <c r="U284" i="14"/>
  <c r="T284" i="14"/>
  <c r="U283" i="14"/>
  <c r="T283" i="14"/>
  <c r="U282" i="14"/>
  <c r="T282" i="14"/>
  <c r="U281" i="14"/>
  <c r="T281" i="14"/>
  <c r="U280" i="14"/>
  <c r="T280" i="14"/>
  <c r="U279" i="14"/>
  <c r="T279" i="14"/>
  <c r="U278" i="14"/>
  <c r="T278" i="14"/>
  <c r="U277" i="14"/>
  <c r="T277" i="14"/>
  <c r="U276" i="14"/>
  <c r="T276" i="14"/>
  <c r="U275" i="14"/>
  <c r="T275" i="14"/>
  <c r="U274" i="14"/>
  <c r="T274" i="14"/>
  <c r="U273" i="14"/>
  <c r="T273" i="14"/>
  <c r="U272" i="14"/>
  <c r="T272" i="14"/>
  <c r="U271" i="14"/>
  <c r="T271" i="14"/>
  <c r="U270" i="14"/>
  <c r="T270" i="14"/>
  <c r="U269" i="14"/>
  <c r="T269" i="14"/>
  <c r="U268" i="14"/>
  <c r="T268" i="14"/>
  <c r="U267" i="14"/>
  <c r="T267" i="14"/>
  <c r="U266" i="14"/>
  <c r="T266" i="14"/>
  <c r="U265" i="14"/>
  <c r="T265" i="14"/>
  <c r="U264" i="14"/>
  <c r="T264" i="14"/>
  <c r="U263" i="14"/>
  <c r="T263" i="14"/>
  <c r="U262" i="14"/>
  <c r="T262" i="14"/>
  <c r="U261" i="14"/>
  <c r="T261" i="14"/>
  <c r="U260" i="14"/>
  <c r="T260" i="14"/>
  <c r="U259" i="14"/>
  <c r="T259" i="14"/>
  <c r="U258" i="14"/>
  <c r="T258" i="14"/>
  <c r="U257" i="14"/>
  <c r="T257" i="14"/>
  <c r="U256" i="14"/>
  <c r="T256" i="14"/>
  <c r="U255" i="14"/>
  <c r="T255" i="14"/>
  <c r="U254" i="14"/>
  <c r="T254" i="14"/>
  <c r="U253" i="14"/>
  <c r="T253" i="14"/>
  <c r="U252" i="14"/>
  <c r="T252" i="14"/>
  <c r="U251" i="14"/>
  <c r="T251" i="14"/>
  <c r="U250" i="14"/>
  <c r="T250" i="14"/>
  <c r="U249" i="14"/>
  <c r="T249" i="14"/>
  <c r="U248" i="14"/>
  <c r="T248" i="14"/>
  <c r="U247" i="14"/>
  <c r="T247" i="14"/>
  <c r="U246" i="14"/>
  <c r="T246" i="14"/>
  <c r="U245" i="14"/>
  <c r="T245" i="14"/>
  <c r="U244" i="14"/>
  <c r="T244" i="14"/>
  <c r="U243" i="14"/>
  <c r="T243" i="14"/>
  <c r="U242" i="14"/>
  <c r="T242" i="14"/>
  <c r="U241" i="14"/>
  <c r="T241" i="14"/>
  <c r="U240" i="14"/>
  <c r="T240" i="14"/>
  <c r="U239" i="14"/>
  <c r="T239" i="14"/>
  <c r="U238" i="14"/>
  <c r="T238" i="14"/>
  <c r="U237" i="14"/>
  <c r="T237" i="14"/>
  <c r="U236" i="14"/>
  <c r="T236" i="14"/>
  <c r="U235" i="14"/>
  <c r="T235" i="14"/>
  <c r="U234" i="14"/>
  <c r="T234" i="14"/>
  <c r="U233" i="14"/>
  <c r="T233" i="14"/>
  <c r="U232" i="14"/>
  <c r="T232" i="14"/>
  <c r="U231" i="14"/>
  <c r="T231" i="14"/>
  <c r="U230" i="14"/>
  <c r="T230" i="14"/>
  <c r="U229" i="14"/>
  <c r="T229" i="14"/>
  <c r="U228" i="14"/>
  <c r="T228" i="14"/>
  <c r="U227" i="14"/>
  <c r="T227" i="14"/>
  <c r="U226" i="14"/>
  <c r="T226" i="14"/>
  <c r="U225" i="14"/>
  <c r="T225" i="14"/>
  <c r="U224" i="14"/>
  <c r="T224" i="14"/>
  <c r="U223" i="14"/>
  <c r="T223" i="14"/>
  <c r="U222" i="14"/>
  <c r="T222" i="14"/>
  <c r="U221" i="14"/>
  <c r="T221" i="14"/>
  <c r="U220" i="14"/>
  <c r="T220" i="14"/>
  <c r="U219" i="14"/>
  <c r="T219" i="14"/>
  <c r="U218" i="14"/>
  <c r="T218" i="14"/>
  <c r="U217" i="14"/>
  <c r="T217" i="14"/>
  <c r="U216" i="14"/>
  <c r="T216" i="14"/>
  <c r="U215" i="14"/>
  <c r="T215" i="14"/>
  <c r="U214" i="14"/>
  <c r="T214" i="14"/>
  <c r="U213" i="14"/>
  <c r="T213" i="14"/>
  <c r="U212" i="14"/>
  <c r="T212" i="14"/>
  <c r="U211" i="14"/>
  <c r="T211" i="14"/>
  <c r="U210" i="14"/>
  <c r="T210" i="14"/>
  <c r="U209" i="14"/>
  <c r="T209" i="14"/>
  <c r="U208" i="14"/>
  <c r="T208" i="14"/>
  <c r="U207" i="14"/>
  <c r="T207" i="14"/>
  <c r="U206" i="14"/>
  <c r="T206" i="14"/>
  <c r="U205" i="14"/>
  <c r="T205" i="14"/>
  <c r="U204" i="14"/>
  <c r="T204" i="14"/>
  <c r="U203" i="14"/>
  <c r="T203" i="14"/>
  <c r="U202" i="14"/>
  <c r="T202" i="14"/>
  <c r="U201" i="14"/>
  <c r="T201" i="14"/>
  <c r="U200" i="14"/>
  <c r="T200" i="14"/>
  <c r="U199" i="14"/>
  <c r="T199" i="14"/>
  <c r="U198" i="14"/>
  <c r="T198" i="14"/>
  <c r="U197" i="14"/>
  <c r="T197" i="14"/>
  <c r="U196" i="14"/>
  <c r="T196" i="14"/>
  <c r="U195" i="14"/>
  <c r="T195" i="14"/>
  <c r="U194" i="14"/>
  <c r="T194" i="14"/>
  <c r="U193" i="14"/>
  <c r="T193" i="14"/>
  <c r="U192" i="14"/>
  <c r="T192" i="14"/>
  <c r="U191" i="14"/>
  <c r="T191" i="14"/>
  <c r="U190" i="14"/>
  <c r="T190" i="14"/>
  <c r="U189" i="14"/>
  <c r="T189" i="14"/>
  <c r="U188" i="14"/>
  <c r="T188" i="14"/>
  <c r="U187" i="14"/>
  <c r="T187" i="14"/>
  <c r="U186" i="14"/>
  <c r="T186" i="14"/>
  <c r="U185" i="14"/>
  <c r="T185" i="14"/>
  <c r="U184" i="14"/>
  <c r="T184" i="14"/>
  <c r="U183" i="14"/>
  <c r="T183" i="14"/>
  <c r="U182" i="14"/>
  <c r="T182" i="14"/>
  <c r="U181" i="14"/>
  <c r="T181" i="14"/>
  <c r="U180" i="14"/>
  <c r="T180" i="14"/>
  <c r="U179" i="14"/>
  <c r="T179" i="14"/>
  <c r="U178" i="14"/>
  <c r="T178" i="14"/>
  <c r="U177" i="14"/>
  <c r="T177" i="14"/>
  <c r="U176" i="14"/>
  <c r="T176" i="14"/>
  <c r="U175" i="14"/>
  <c r="T175" i="14"/>
  <c r="U174" i="14"/>
  <c r="T174" i="14"/>
  <c r="U173" i="14"/>
  <c r="T173" i="14"/>
  <c r="U172" i="14"/>
  <c r="T172" i="14"/>
  <c r="U171" i="14"/>
  <c r="T171" i="14"/>
  <c r="U170" i="14"/>
  <c r="T170" i="14"/>
  <c r="U169" i="14"/>
  <c r="T169" i="14"/>
  <c r="U168" i="14"/>
  <c r="T168" i="14"/>
  <c r="U167" i="14"/>
  <c r="T167" i="14"/>
  <c r="U166" i="14"/>
  <c r="T166" i="14"/>
  <c r="U165" i="14"/>
  <c r="T165" i="14"/>
  <c r="U164" i="14"/>
  <c r="T164" i="14"/>
  <c r="U163" i="14"/>
  <c r="T163" i="14"/>
  <c r="U162" i="14"/>
  <c r="T162" i="14"/>
  <c r="U161" i="14"/>
  <c r="T161" i="14"/>
  <c r="U160" i="14"/>
  <c r="T160" i="14"/>
  <c r="U159" i="14"/>
  <c r="T159" i="14"/>
  <c r="U158" i="14"/>
  <c r="T158" i="14"/>
  <c r="U157" i="14"/>
  <c r="T157" i="14"/>
  <c r="U156" i="14"/>
  <c r="T156" i="14"/>
  <c r="U155" i="14"/>
  <c r="T155" i="14"/>
  <c r="U154" i="14"/>
  <c r="T154" i="14"/>
  <c r="U153" i="14"/>
  <c r="T153" i="14"/>
  <c r="U152" i="14"/>
  <c r="T152" i="14"/>
  <c r="U151" i="14"/>
  <c r="T151" i="14"/>
  <c r="U150" i="14"/>
  <c r="T150" i="14"/>
  <c r="U149" i="14"/>
  <c r="T149" i="14"/>
  <c r="U148" i="14"/>
  <c r="T148" i="14"/>
  <c r="U147" i="14"/>
  <c r="T147" i="14"/>
  <c r="U146" i="14"/>
  <c r="T146" i="14"/>
  <c r="U145" i="14"/>
  <c r="T145" i="14"/>
  <c r="U144" i="14"/>
  <c r="T144" i="14"/>
  <c r="U143" i="14"/>
  <c r="T143" i="14"/>
  <c r="U142" i="14"/>
  <c r="T142" i="14"/>
  <c r="U141" i="14"/>
  <c r="T141" i="14"/>
  <c r="U140" i="14"/>
  <c r="T140" i="14"/>
  <c r="U139" i="14"/>
  <c r="T139" i="14"/>
  <c r="U138" i="14"/>
  <c r="T138" i="14"/>
  <c r="U137" i="14"/>
  <c r="T137" i="14"/>
  <c r="U136" i="14"/>
  <c r="T136" i="14"/>
  <c r="U135" i="14"/>
  <c r="T135" i="14"/>
  <c r="U134" i="14"/>
  <c r="T134" i="14"/>
  <c r="U133" i="14"/>
  <c r="T133" i="14"/>
  <c r="U132" i="14"/>
  <c r="T132" i="14"/>
  <c r="U131" i="14"/>
  <c r="T131" i="14"/>
  <c r="U130" i="14"/>
  <c r="T130" i="14"/>
  <c r="U129" i="14"/>
  <c r="T129" i="14"/>
  <c r="U128" i="14"/>
  <c r="T128" i="14"/>
  <c r="U127" i="14"/>
  <c r="T127" i="14"/>
  <c r="U126" i="14"/>
  <c r="T126" i="14"/>
  <c r="U125" i="14"/>
  <c r="T125" i="14"/>
  <c r="U124" i="14"/>
  <c r="T124" i="14"/>
  <c r="U123" i="14"/>
  <c r="T123" i="14"/>
  <c r="U122" i="14"/>
  <c r="T122" i="14"/>
  <c r="U121" i="14"/>
  <c r="T121" i="14"/>
  <c r="U120" i="14"/>
  <c r="T120" i="14"/>
  <c r="U119" i="14"/>
  <c r="T119" i="14"/>
  <c r="U118" i="14"/>
  <c r="T118" i="14"/>
  <c r="U117" i="14"/>
  <c r="T117" i="14"/>
  <c r="U116" i="14"/>
  <c r="T116" i="14"/>
  <c r="U115" i="14"/>
  <c r="T115" i="14"/>
  <c r="U114" i="14"/>
  <c r="T114" i="14"/>
  <c r="U113" i="14"/>
  <c r="T113" i="14"/>
  <c r="U112" i="14"/>
  <c r="T112" i="14"/>
  <c r="U111" i="14"/>
  <c r="T111" i="14"/>
  <c r="U110" i="14"/>
  <c r="T110" i="14"/>
  <c r="U109" i="14"/>
  <c r="T109" i="14"/>
  <c r="U108" i="14"/>
  <c r="T108" i="14"/>
  <c r="U107" i="14"/>
  <c r="T107" i="14"/>
  <c r="U106" i="14"/>
  <c r="T106" i="14"/>
  <c r="U105" i="14"/>
  <c r="T105" i="14"/>
  <c r="U104" i="14"/>
  <c r="T104" i="14"/>
  <c r="U103" i="14"/>
  <c r="T103" i="14"/>
  <c r="U102" i="14"/>
  <c r="T102" i="14"/>
  <c r="U101" i="14"/>
  <c r="T101" i="14"/>
  <c r="U100" i="14"/>
  <c r="T100" i="14"/>
  <c r="U99" i="14"/>
  <c r="T99" i="14"/>
  <c r="U98" i="14"/>
  <c r="T98" i="14"/>
  <c r="U97" i="14"/>
  <c r="T97" i="14"/>
  <c r="U96" i="14"/>
  <c r="T96" i="14"/>
  <c r="U95" i="14"/>
  <c r="T95" i="14"/>
  <c r="U94" i="14"/>
  <c r="T94" i="14"/>
  <c r="U93" i="14"/>
  <c r="T93" i="14"/>
  <c r="U92" i="14"/>
  <c r="T92" i="14"/>
  <c r="U91" i="14"/>
  <c r="T91" i="14"/>
  <c r="U90" i="14"/>
  <c r="T90" i="14"/>
  <c r="U89" i="14"/>
  <c r="T89" i="14"/>
  <c r="U88" i="14"/>
  <c r="T88" i="14"/>
  <c r="U87" i="14"/>
  <c r="T87" i="14"/>
  <c r="U86" i="14"/>
  <c r="T86" i="14"/>
  <c r="U85" i="14"/>
  <c r="T85" i="14"/>
  <c r="U84" i="14"/>
  <c r="T84" i="14"/>
  <c r="U83" i="14"/>
  <c r="T83" i="14"/>
  <c r="U82" i="14"/>
  <c r="T82" i="14"/>
  <c r="U81" i="14"/>
  <c r="T81" i="14"/>
  <c r="U80" i="14"/>
  <c r="T80" i="14"/>
  <c r="U79" i="14"/>
  <c r="T79" i="14"/>
  <c r="U78" i="14"/>
  <c r="T78" i="14"/>
  <c r="U77" i="14"/>
  <c r="T77" i="14"/>
  <c r="U76" i="14"/>
  <c r="T76" i="14"/>
  <c r="U75" i="14"/>
  <c r="T75" i="14"/>
  <c r="U74" i="14"/>
  <c r="T74" i="14"/>
  <c r="U73" i="14"/>
  <c r="T73" i="14"/>
  <c r="U72" i="14"/>
  <c r="T72" i="14"/>
  <c r="U71" i="14"/>
  <c r="T71" i="14"/>
  <c r="U70" i="14"/>
  <c r="T70" i="14"/>
  <c r="U69" i="14"/>
  <c r="T69" i="14"/>
  <c r="U68" i="14"/>
  <c r="T68" i="14"/>
  <c r="U67" i="14"/>
  <c r="T67" i="14"/>
  <c r="U66" i="14"/>
  <c r="T66" i="14"/>
  <c r="U65" i="14"/>
  <c r="T65" i="14"/>
  <c r="U64" i="14"/>
  <c r="T64" i="14"/>
  <c r="U63" i="14"/>
  <c r="T63" i="14"/>
  <c r="U62" i="14"/>
  <c r="T62" i="14"/>
  <c r="U61" i="14"/>
  <c r="T61" i="14"/>
  <c r="U60" i="14"/>
  <c r="T60" i="14"/>
  <c r="U59" i="14"/>
  <c r="T59" i="14"/>
  <c r="U58" i="14"/>
  <c r="T58" i="14"/>
  <c r="U57" i="14"/>
  <c r="T57" i="14"/>
  <c r="U56" i="14"/>
  <c r="T56" i="14"/>
  <c r="U55" i="14"/>
  <c r="T55" i="14"/>
  <c r="U54" i="14"/>
  <c r="T54" i="14"/>
  <c r="U53" i="14"/>
  <c r="T53" i="14"/>
  <c r="U52" i="14"/>
  <c r="T52" i="14"/>
  <c r="U51" i="14"/>
  <c r="T51" i="14"/>
  <c r="U50" i="14"/>
  <c r="T50" i="14"/>
  <c r="U49" i="14"/>
  <c r="T49" i="14"/>
  <c r="U48" i="14"/>
  <c r="T48" i="14"/>
  <c r="U47" i="14"/>
  <c r="T47" i="14"/>
  <c r="U46" i="14"/>
  <c r="T46" i="14"/>
  <c r="U45" i="14"/>
  <c r="T45" i="14"/>
  <c r="U44" i="14"/>
  <c r="T44" i="14"/>
  <c r="U43" i="14"/>
  <c r="T43" i="14"/>
  <c r="U42" i="14"/>
  <c r="T42" i="14"/>
  <c r="U41" i="14"/>
  <c r="T41" i="14"/>
  <c r="U40" i="14"/>
  <c r="T40" i="14"/>
  <c r="U39" i="14"/>
  <c r="T39" i="14"/>
  <c r="U38" i="14"/>
  <c r="T38" i="14"/>
  <c r="U37" i="14"/>
  <c r="T37" i="14"/>
  <c r="U36" i="14"/>
  <c r="T36" i="14"/>
  <c r="U35" i="14"/>
  <c r="T35" i="14"/>
  <c r="U34" i="14"/>
  <c r="T34" i="14"/>
  <c r="U33" i="14"/>
  <c r="T33" i="14"/>
  <c r="U32" i="14"/>
  <c r="T32" i="14"/>
  <c r="U31" i="14"/>
  <c r="T31" i="14"/>
  <c r="U30" i="14"/>
  <c r="T30" i="14"/>
  <c r="U29" i="14"/>
  <c r="T29" i="14"/>
  <c r="U28" i="14"/>
  <c r="T28" i="14"/>
  <c r="U27" i="14"/>
  <c r="T27" i="14"/>
  <c r="U26" i="14"/>
  <c r="T26" i="14"/>
  <c r="U25" i="14"/>
  <c r="T25" i="14"/>
  <c r="U24" i="14"/>
  <c r="T24" i="14"/>
  <c r="U23" i="14"/>
  <c r="T23" i="14"/>
  <c r="U22" i="14"/>
  <c r="T22" i="14"/>
  <c r="U21" i="14"/>
  <c r="T21" i="14"/>
  <c r="U20" i="14"/>
  <c r="T20" i="14"/>
  <c r="U19" i="14"/>
  <c r="T19" i="14"/>
  <c r="U18" i="14"/>
  <c r="T18" i="14"/>
  <c r="U17" i="14"/>
  <c r="T17" i="14"/>
  <c r="U16" i="14"/>
  <c r="T16" i="14"/>
  <c r="U15" i="14"/>
  <c r="T15" i="14"/>
  <c r="U14" i="14"/>
  <c r="T14" i="14"/>
  <c r="U13" i="14"/>
  <c r="T13" i="14"/>
  <c r="U12" i="14"/>
  <c r="T12" i="14"/>
  <c r="U11" i="14"/>
  <c r="T11" i="14"/>
  <c r="U10" i="14"/>
  <c r="T10" i="14"/>
  <c r="U9" i="14"/>
  <c r="T9" i="14"/>
  <c r="U8" i="14"/>
  <c r="T8" i="14"/>
  <c r="U7" i="14"/>
  <c r="T7" i="14"/>
  <c r="U6" i="14"/>
  <c r="T6" i="14"/>
  <c r="U5" i="14"/>
  <c r="T5" i="14"/>
  <c r="U4" i="14"/>
  <c r="T4" i="14"/>
  <c r="U3" i="14"/>
  <c r="T3" i="14"/>
  <c r="U2" i="14"/>
  <c r="T2" i="14"/>
  <c r="U297" i="13"/>
  <c r="T297" i="13"/>
  <c r="U296" i="13"/>
  <c r="T296" i="13"/>
  <c r="U295" i="13"/>
  <c r="T295" i="13"/>
  <c r="U294" i="13"/>
  <c r="T294" i="13"/>
  <c r="U293" i="13"/>
  <c r="T293" i="13"/>
  <c r="U292" i="13"/>
  <c r="T292" i="13"/>
  <c r="U291" i="13"/>
  <c r="T291" i="13"/>
  <c r="U290" i="13"/>
  <c r="T290" i="13"/>
  <c r="U289" i="13"/>
  <c r="T289" i="13"/>
  <c r="U288" i="13"/>
  <c r="T288" i="13"/>
  <c r="U287" i="13"/>
  <c r="T287" i="13"/>
  <c r="U286" i="13"/>
  <c r="T286" i="13"/>
  <c r="U285" i="13"/>
  <c r="T285" i="13"/>
  <c r="U284" i="13"/>
  <c r="T284" i="13"/>
  <c r="U283" i="13"/>
  <c r="T283" i="13"/>
  <c r="U282" i="13"/>
  <c r="T282" i="13"/>
  <c r="U281" i="13"/>
  <c r="T281" i="13"/>
  <c r="U280" i="13"/>
  <c r="T280" i="13"/>
  <c r="U279" i="13"/>
  <c r="T279" i="13"/>
  <c r="U278" i="13"/>
  <c r="T278" i="13"/>
  <c r="U277" i="13"/>
  <c r="T277" i="13"/>
  <c r="U276" i="13"/>
  <c r="T276" i="13"/>
  <c r="U275" i="13"/>
  <c r="T275" i="13"/>
  <c r="U274" i="13"/>
  <c r="T274" i="13"/>
  <c r="U273" i="13"/>
  <c r="T273" i="13"/>
  <c r="U272" i="13"/>
  <c r="T272" i="13"/>
  <c r="U271" i="13"/>
  <c r="T271" i="13"/>
  <c r="U270" i="13"/>
  <c r="T270" i="13"/>
  <c r="U269" i="13"/>
  <c r="T269" i="13"/>
  <c r="U268" i="13"/>
  <c r="T268" i="13"/>
  <c r="U267" i="13"/>
  <c r="T267" i="13"/>
  <c r="U266" i="13"/>
  <c r="T266" i="13"/>
  <c r="U265" i="13"/>
  <c r="T265" i="13"/>
  <c r="U264" i="13"/>
  <c r="T264" i="13"/>
  <c r="U263" i="13"/>
  <c r="T263" i="13"/>
  <c r="U262" i="13"/>
  <c r="T262" i="13"/>
  <c r="U261" i="13"/>
  <c r="T261" i="13"/>
  <c r="U260" i="13"/>
  <c r="T260" i="13"/>
  <c r="U259" i="13"/>
  <c r="T259" i="13"/>
  <c r="U258" i="13"/>
  <c r="T258" i="13"/>
  <c r="U257" i="13"/>
  <c r="T257" i="13"/>
  <c r="U256" i="13"/>
  <c r="T256" i="13"/>
  <c r="U255" i="13"/>
  <c r="T255" i="13"/>
  <c r="U254" i="13"/>
  <c r="T254" i="13"/>
  <c r="U253" i="13"/>
  <c r="T253" i="13"/>
  <c r="U252" i="13"/>
  <c r="T252" i="13"/>
  <c r="U251" i="13"/>
  <c r="T251" i="13"/>
  <c r="U250" i="13"/>
  <c r="T250" i="13"/>
  <c r="U249" i="13"/>
  <c r="T249" i="13"/>
  <c r="U248" i="13"/>
  <c r="T248" i="13"/>
  <c r="U247" i="13"/>
  <c r="T247" i="13"/>
  <c r="U246" i="13"/>
  <c r="T246" i="13"/>
  <c r="U245" i="13"/>
  <c r="T245" i="13"/>
  <c r="U244" i="13"/>
  <c r="T244" i="13"/>
  <c r="U243" i="13"/>
  <c r="T243" i="13"/>
  <c r="U242" i="13"/>
  <c r="T242" i="13"/>
  <c r="U241" i="13"/>
  <c r="T241" i="13"/>
  <c r="U240" i="13"/>
  <c r="T240" i="13"/>
  <c r="U239" i="13"/>
  <c r="T239" i="13"/>
  <c r="U238" i="13"/>
  <c r="T238" i="13"/>
  <c r="U237" i="13"/>
  <c r="T237" i="13"/>
  <c r="U236" i="13"/>
  <c r="T236" i="13"/>
  <c r="U235" i="13"/>
  <c r="T235" i="13"/>
  <c r="U234" i="13"/>
  <c r="T234" i="13"/>
  <c r="U233" i="13"/>
  <c r="T233" i="13"/>
  <c r="U232" i="13"/>
  <c r="T232" i="13"/>
  <c r="U231" i="13"/>
  <c r="T231" i="13"/>
  <c r="U230" i="13"/>
  <c r="T230" i="13"/>
  <c r="U229" i="13"/>
  <c r="T229" i="13"/>
  <c r="U228" i="13"/>
  <c r="T228" i="13"/>
  <c r="U227" i="13"/>
  <c r="T227" i="13"/>
  <c r="U226" i="13"/>
  <c r="T226" i="13"/>
  <c r="U225" i="13"/>
  <c r="T225" i="13"/>
  <c r="U224" i="13"/>
  <c r="T224" i="13"/>
  <c r="U223" i="13"/>
  <c r="T223" i="13"/>
  <c r="U222" i="13"/>
  <c r="T222" i="13"/>
  <c r="U221" i="13"/>
  <c r="T221" i="13"/>
  <c r="U220" i="13"/>
  <c r="T220" i="13"/>
  <c r="U219" i="13"/>
  <c r="T219" i="13"/>
  <c r="U218" i="13"/>
  <c r="T218" i="13"/>
  <c r="U217" i="13"/>
  <c r="T217" i="13"/>
  <c r="U216" i="13"/>
  <c r="T216" i="13"/>
  <c r="U215" i="13"/>
  <c r="T215" i="13"/>
  <c r="U214" i="13"/>
  <c r="T214" i="13"/>
  <c r="U213" i="13"/>
  <c r="T213" i="13"/>
  <c r="U212" i="13"/>
  <c r="T212" i="13"/>
  <c r="U211" i="13"/>
  <c r="T211" i="13"/>
  <c r="U210" i="13"/>
  <c r="T210" i="13"/>
  <c r="U209" i="13"/>
  <c r="T209" i="13"/>
  <c r="U208" i="13"/>
  <c r="T208" i="13"/>
  <c r="U207" i="13"/>
  <c r="T207" i="13"/>
  <c r="U206" i="13"/>
  <c r="T206" i="13"/>
  <c r="U205" i="13"/>
  <c r="T205" i="13"/>
  <c r="U204" i="13"/>
  <c r="T204" i="13"/>
  <c r="U203" i="13"/>
  <c r="T203" i="13"/>
  <c r="U202" i="13"/>
  <c r="T202" i="13"/>
  <c r="U201" i="13"/>
  <c r="T201" i="13"/>
  <c r="U200" i="13"/>
  <c r="T200" i="13"/>
  <c r="U199" i="13"/>
  <c r="T199" i="13"/>
  <c r="U198" i="13"/>
  <c r="T198" i="13"/>
  <c r="U197" i="13"/>
  <c r="T197" i="13"/>
  <c r="U196" i="13"/>
  <c r="T196" i="13"/>
  <c r="U195" i="13"/>
  <c r="T195" i="13"/>
  <c r="U194" i="13"/>
  <c r="T194" i="13"/>
  <c r="U193" i="13"/>
  <c r="T193" i="13"/>
  <c r="U192" i="13"/>
  <c r="T192" i="13"/>
  <c r="U191" i="13"/>
  <c r="T191" i="13"/>
  <c r="U190" i="13"/>
  <c r="T190" i="13"/>
  <c r="U189" i="13"/>
  <c r="T189" i="13"/>
  <c r="U188" i="13"/>
  <c r="T188" i="13"/>
  <c r="U187" i="13"/>
  <c r="T187" i="13"/>
  <c r="U186" i="13"/>
  <c r="T186" i="13"/>
  <c r="U185" i="13"/>
  <c r="T185" i="13"/>
  <c r="U184" i="13"/>
  <c r="T184" i="13"/>
  <c r="U183" i="13"/>
  <c r="T183" i="13"/>
  <c r="U182" i="13"/>
  <c r="T182" i="13"/>
  <c r="U181" i="13"/>
  <c r="T181" i="13"/>
  <c r="U180" i="13"/>
  <c r="T180" i="13"/>
  <c r="U179" i="13"/>
  <c r="T179" i="13"/>
  <c r="U178" i="13"/>
  <c r="T178" i="13"/>
  <c r="U177" i="13"/>
  <c r="T177" i="13"/>
  <c r="U176" i="13"/>
  <c r="T176" i="13"/>
  <c r="U175" i="13"/>
  <c r="T175" i="13"/>
  <c r="U174" i="13"/>
  <c r="T174" i="13"/>
  <c r="U173" i="13"/>
  <c r="T173" i="13"/>
  <c r="U172" i="13"/>
  <c r="T172" i="13"/>
  <c r="U171" i="13"/>
  <c r="T171" i="13"/>
  <c r="U170" i="13"/>
  <c r="T170" i="13"/>
  <c r="U169" i="13"/>
  <c r="T169" i="13"/>
  <c r="U168" i="13"/>
  <c r="T168" i="13"/>
  <c r="U167" i="13"/>
  <c r="T167" i="13"/>
  <c r="U166" i="13"/>
  <c r="T166" i="13"/>
  <c r="U165" i="13"/>
  <c r="T165" i="13"/>
  <c r="U164" i="13"/>
  <c r="T164" i="13"/>
  <c r="U163" i="13"/>
  <c r="T163" i="13"/>
  <c r="U162" i="13"/>
  <c r="T162" i="13"/>
  <c r="U161" i="13"/>
  <c r="T161" i="13"/>
  <c r="U160" i="13"/>
  <c r="T160" i="13"/>
  <c r="U159" i="13"/>
  <c r="T159" i="13"/>
  <c r="U158" i="13"/>
  <c r="T158" i="13"/>
  <c r="U157" i="13"/>
  <c r="T157" i="13"/>
  <c r="U156" i="13"/>
  <c r="T156" i="13"/>
  <c r="U155" i="13"/>
  <c r="T155" i="13"/>
  <c r="U154" i="13"/>
  <c r="T154" i="13"/>
  <c r="U153" i="13"/>
  <c r="T153" i="13"/>
  <c r="U152" i="13"/>
  <c r="T152" i="13"/>
  <c r="U151" i="13"/>
  <c r="T151" i="13"/>
  <c r="U150" i="13"/>
  <c r="T150" i="13"/>
  <c r="U149" i="13"/>
  <c r="T149" i="13"/>
  <c r="U148" i="13"/>
  <c r="T148" i="13"/>
  <c r="U147" i="13"/>
  <c r="T147" i="13"/>
  <c r="U146" i="13"/>
  <c r="T146" i="13"/>
  <c r="U145" i="13"/>
  <c r="T145" i="13"/>
  <c r="U144" i="13"/>
  <c r="T144" i="13"/>
  <c r="U143" i="13"/>
  <c r="T143" i="13"/>
  <c r="U142" i="13"/>
  <c r="T142" i="13"/>
  <c r="U141" i="13"/>
  <c r="T141" i="13"/>
  <c r="U140" i="13"/>
  <c r="T140" i="13"/>
  <c r="U139" i="13"/>
  <c r="T139" i="13"/>
  <c r="U138" i="13"/>
  <c r="T138" i="13"/>
  <c r="U137" i="13"/>
  <c r="T137" i="13"/>
  <c r="U136" i="13"/>
  <c r="T136" i="13"/>
  <c r="U135" i="13"/>
  <c r="T135" i="13"/>
  <c r="U134" i="13"/>
  <c r="T134" i="13"/>
  <c r="U133" i="13"/>
  <c r="T133" i="13"/>
  <c r="U132" i="13"/>
  <c r="T132" i="13"/>
  <c r="U131" i="13"/>
  <c r="T131" i="13"/>
  <c r="U130" i="13"/>
  <c r="T130" i="13"/>
  <c r="U129" i="13"/>
  <c r="T129" i="13"/>
  <c r="U128" i="13"/>
  <c r="T128" i="13"/>
  <c r="U127" i="13"/>
  <c r="T127" i="13"/>
  <c r="U126" i="13"/>
  <c r="T126" i="13"/>
  <c r="U125" i="13"/>
  <c r="T125" i="13"/>
  <c r="U124" i="13"/>
  <c r="T124" i="13"/>
  <c r="U123" i="13"/>
  <c r="T123" i="13"/>
  <c r="U122" i="13"/>
  <c r="T122" i="13"/>
  <c r="U121" i="13"/>
  <c r="T121" i="13"/>
  <c r="U120" i="13"/>
  <c r="T120" i="13"/>
  <c r="U119" i="13"/>
  <c r="T119" i="13"/>
  <c r="U118" i="13"/>
  <c r="T118" i="13"/>
  <c r="U117" i="13"/>
  <c r="T117" i="13"/>
  <c r="U116" i="13"/>
  <c r="T116" i="13"/>
  <c r="U115" i="13"/>
  <c r="T115" i="13"/>
  <c r="U114" i="13"/>
  <c r="T114" i="13"/>
  <c r="U113" i="13"/>
  <c r="T113" i="13"/>
  <c r="U112" i="13"/>
  <c r="T112" i="13"/>
  <c r="U111" i="13"/>
  <c r="T111" i="13"/>
  <c r="U110" i="13"/>
  <c r="T110" i="13"/>
  <c r="U109" i="13"/>
  <c r="T109" i="13"/>
  <c r="U108" i="13"/>
  <c r="T108" i="13"/>
  <c r="U107" i="13"/>
  <c r="T107" i="13"/>
  <c r="U106" i="13"/>
  <c r="T106" i="13"/>
  <c r="U105" i="13"/>
  <c r="T105" i="13"/>
  <c r="U104" i="13"/>
  <c r="T104" i="13"/>
  <c r="U103" i="13"/>
  <c r="T103" i="13"/>
  <c r="U102" i="13"/>
  <c r="T102" i="13"/>
  <c r="U101" i="13"/>
  <c r="T101" i="13"/>
  <c r="U100" i="13"/>
  <c r="T100" i="13"/>
  <c r="U99" i="13"/>
  <c r="T99" i="13"/>
  <c r="U98" i="13"/>
  <c r="T98" i="13"/>
  <c r="U97" i="13"/>
  <c r="T97" i="13"/>
  <c r="U96" i="13"/>
  <c r="T96" i="13"/>
  <c r="U95" i="13"/>
  <c r="T95" i="13"/>
  <c r="U94" i="13"/>
  <c r="T94" i="13"/>
  <c r="U93" i="13"/>
  <c r="T93" i="13"/>
  <c r="U92" i="13"/>
  <c r="T92" i="13"/>
  <c r="U91" i="13"/>
  <c r="T91" i="13"/>
  <c r="U90" i="13"/>
  <c r="T90" i="13"/>
  <c r="U89" i="13"/>
  <c r="T89" i="13"/>
  <c r="U88" i="13"/>
  <c r="T88" i="13"/>
  <c r="U87" i="13"/>
  <c r="T87" i="13"/>
  <c r="U86" i="13"/>
  <c r="T86" i="13"/>
  <c r="U85" i="13"/>
  <c r="T85" i="13"/>
  <c r="U84" i="13"/>
  <c r="T84" i="13"/>
  <c r="U83" i="13"/>
  <c r="T83" i="13"/>
  <c r="U82" i="13"/>
  <c r="T82" i="13"/>
  <c r="U81" i="13"/>
  <c r="T81" i="13"/>
  <c r="U80" i="13"/>
  <c r="T80" i="13"/>
  <c r="U79" i="13"/>
  <c r="T79" i="13"/>
  <c r="U78" i="13"/>
  <c r="T78" i="13"/>
  <c r="U77" i="13"/>
  <c r="T77" i="13"/>
  <c r="U76" i="13"/>
  <c r="T76" i="13"/>
  <c r="U75" i="13"/>
  <c r="T75" i="13"/>
  <c r="U74" i="13"/>
  <c r="T74" i="13"/>
  <c r="U73" i="13"/>
  <c r="T73" i="13"/>
  <c r="U72" i="13"/>
  <c r="T72" i="13"/>
  <c r="U71" i="13"/>
  <c r="T71" i="13"/>
  <c r="U70" i="13"/>
  <c r="T70" i="13"/>
  <c r="U69" i="13"/>
  <c r="T69" i="13"/>
  <c r="U68" i="13"/>
  <c r="T68" i="13"/>
  <c r="U67" i="13"/>
  <c r="T67" i="13"/>
  <c r="U66" i="13"/>
  <c r="T66" i="13"/>
  <c r="U65" i="13"/>
  <c r="T65" i="13"/>
  <c r="U64" i="13"/>
  <c r="T64" i="13"/>
  <c r="U63" i="13"/>
  <c r="T63" i="13"/>
  <c r="U62" i="13"/>
  <c r="T62" i="13"/>
  <c r="U61" i="13"/>
  <c r="T61" i="13"/>
  <c r="U60" i="13"/>
  <c r="T60" i="13"/>
  <c r="U59" i="13"/>
  <c r="T59" i="13"/>
  <c r="U58" i="13"/>
  <c r="T58" i="13"/>
  <c r="U57" i="13"/>
  <c r="T57" i="13"/>
  <c r="U56" i="13"/>
  <c r="T56" i="13"/>
  <c r="U55" i="13"/>
  <c r="T55" i="13"/>
  <c r="U54" i="13"/>
  <c r="T54" i="13"/>
  <c r="U53" i="13"/>
  <c r="T53" i="13"/>
  <c r="U52" i="13"/>
  <c r="T52" i="13"/>
  <c r="U51" i="13"/>
  <c r="T51" i="13"/>
  <c r="U50" i="13"/>
  <c r="T50" i="13"/>
  <c r="U49" i="13"/>
  <c r="T49" i="13"/>
  <c r="U48" i="13"/>
  <c r="T48" i="13"/>
  <c r="U47" i="13"/>
  <c r="T47" i="13"/>
  <c r="U46" i="13"/>
  <c r="T46" i="13"/>
  <c r="U45" i="13"/>
  <c r="T45" i="13"/>
  <c r="U44" i="13"/>
  <c r="T44" i="13"/>
  <c r="U43" i="13"/>
  <c r="T43" i="13"/>
  <c r="U42" i="13"/>
  <c r="T42" i="13"/>
  <c r="U41" i="13"/>
  <c r="T41" i="13"/>
  <c r="U40" i="13"/>
  <c r="T40" i="13"/>
  <c r="U39" i="13"/>
  <c r="T39" i="13"/>
  <c r="U38" i="13"/>
  <c r="T38" i="13"/>
  <c r="U37" i="13"/>
  <c r="T37" i="13"/>
  <c r="U36" i="13"/>
  <c r="T36" i="13"/>
  <c r="U35" i="13"/>
  <c r="T35" i="13"/>
  <c r="U34" i="13"/>
  <c r="T34" i="13"/>
  <c r="U33" i="13"/>
  <c r="T33" i="13"/>
  <c r="U32" i="13"/>
  <c r="T32" i="13"/>
  <c r="U31" i="13"/>
  <c r="T31" i="13"/>
  <c r="U30" i="13"/>
  <c r="T30" i="13"/>
  <c r="U29" i="13"/>
  <c r="T29" i="13"/>
  <c r="U28" i="13"/>
  <c r="T28" i="13"/>
  <c r="U27" i="13"/>
  <c r="T27" i="13"/>
  <c r="U26" i="13"/>
  <c r="T26" i="13"/>
  <c r="U25" i="13"/>
  <c r="T25" i="13"/>
  <c r="U24" i="13"/>
  <c r="T24" i="13"/>
  <c r="U23" i="13"/>
  <c r="T23" i="13"/>
  <c r="U22" i="13"/>
  <c r="T22" i="13"/>
  <c r="U21" i="13"/>
  <c r="T21" i="13"/>
  <c r="U20" i="13"/>
  <c r="T20" i="13"/>
  <c r="U19" i="13"/>
  <c r="T19" i="13"/>
  <c r="U18" i="13"/>
  <c r="T18" i="13"/>
  <c r="U17" i="13"/>
  <c r="T17" i="13"/>
  <c r="U16" i="13"/>
  <c r="T16" i="13"/>
  <c r="U15" i="13"/>
  <c r="T15" i="13"/>
  <c r="U14" i="13"/>
  <c r="T14" i="13"/>
  <c r="U13" i="13"/>
  <c r="T13" i="13"/>
  <c r="U12" i="13"/>
  <c r="T12" i="13"/>
  <c r="U11" i="13"/>
  <c r="T11" i="13"/>
  <c r="U10" i="13"/>
  <c r="T10" i="13"/>
  <c r="U9" i="13"/>
  <c r="T9" i="13"/>
  <c r="U8" i="13"/>
  <c r="T8" i="13"/>
  <c r="U7" i="13"/>
  <c r="T7" i="13"/>
  <c r="U6" i="13"/>
  <c r="T6" i="13"/>
  <c r="U5" i="13"/>
  <c r="T5" i="13"/>
  <c r="U4" i="13"/>
  <c r="T4" i="13"/>
  <c r="U3" i="13"/>
  <c r="T3" i="13"/>
  <c r="U2" i="13"/>
  <c r="T2" i="13"/>
  <c r="U297" i="12"/>
  <c r="T297" i="12"/>
  <c r="U296" i="12"/>
  <c r="T296" i="12"/>
  <c r="U295" i="12"/>
  <c r="T295" i="12"/>
  <c r="U294" i="12"/>
  <c r="T294" i="12"/>
  <c r="U293" i="12"/>
  <c r="T293" i="12"/>
  <c r="U292" i="12"/>
  <c r="T292" i="12"/>
  <c r="U291" i="12"/>
  <c r="T291" i="12"/>
  <c r="U290" i="12"/>
  <c r="T290" i="12"/>
  <c r="U289" i="12"/>
  <c r="T289" i="12"/>
  <c r="U288" i="12"/>
  <c r="T288" i="12"/>
  <c r="U287" i="12"/>
  <c r="T287" i="12"/>
  <c r="U286" i="12"/>
  <c r="T286" i="12"/>
  <c r="U285" i="12"/>
  <c r="T285" i="12"/>
  <c r="U284" i="12"/>
  <c r="T284" i="12"/>
  <c r="U283" i="12"/>
  <c r="T283" i="12"/>
  <c r="U282" i="12"/>
  <c r="T282" i="12"/>
  <c r="U281" i="12"/>
  <c r="T281" i="12"/>
  <c r="U280" i="12"/>
  <c r="T280" i="12"/>
  <c r="U279" i="12"/>
  <c r="T279" i="12"/>
  <c r="U278" i="12"/>
  <c r="T278" i="12"/>
  <c r="U277" i="12"/>
  <c r="T277" i="12"/>
  <c r="U276" i="12"/>
  <c r="T276" i="12"/>
  <c r="U275" i="12"/>
  <c r="T275" i="12"/>
  <c r="U274" i="12"/>
  <c r="T274" i="12"/>
  <c r="U273" i="12"/>
  <c r="T273" i="12"/>
  <c r="U272" i="12"/>
  <c r="T272" i="12"/>
  <c r="U271" i="12"/>
  <c r="T271" i="12"/>
  <c r="U270" i="12"/>
  <c r="T270" i="12"/>
  <c r="U269" i="12"/>
  <c r="T269" i="12"/>
  <c r="U268" i="12"/>
  <c r="T268" i="12"/>
  <c r="U267" i="12"/>
  <c r="T267" i="12"/>
  <c r="U266" i="12"/>
  <c r="T266" i="12"/>
  <c r="U265" i="12"/>
  <c r="T265" i="12"/>
  <c r="U264" i="12"/>
  <c r="T264" i="12"/>
  <c r="U263" i="12"/>
  <c r="T263" i="12"/>
  <c r="U262" i="12"/>
  <c r="T262" i="12"/>
  <c r="U261" i="12"/>
  <c r="T261" i="12"/>
  <c r="U260" i="12"/>
  <c r="T260" i="12"/>
  <c r="U259" i="12"/>
  <c r="T259" i="12"/>
  <c r="U258" i="12"/>
  <c r="T258" i="12"/>
  <c r="U257" i="12"/>
  <c r="T257" i="12"/>
  <c r="U256" i="12"/>
  <c r="T256" i="12"/>
  <c r="U255" i="12"/>
  <c r="T255" i="12"/>
  <c r="U254" i="12"/>
  <c r="T254" i="12"/>
  <c r="U253" i="12"/>
  <c r="T253" i="12"/>
  <c r="U252" i="12"/>
  <c r="T252" i="12"/>
  <c r="U251" i="12"/>
  <c r="T251" i="12"/>
  <c r="U250" i="12"/>
  <c r="T250" i="12"/>
  <c r="U249" i="12"/>
  <c r="T249" i="12"/>
  <c r="U248" i="12"/>
  <c r="T248" i="12"/>
  <c r="U247" i="12"/>
  <c r="T247" i="12"/>
  <c r="U246" i="12"/>
  <c r="T246" i="12"/>
  <c r="U245" i="12"/>
  <c r="T245" i="12"/>
  <c r="U244" i="12"/>
  <c r="T244" i="12"/>
  <c r="U243" i="12"/>
  <c r="T243" i="12"/>
  <c r="U242" i="12"/>
  <c r="T242" i="12"/>
  <c r="U241" i="12"/>
  <c r="T241" i="12"/>
  <c r="U240" i="12"/>
  <c r="T240" i="12"/>
  <c r="U239" i="12"/>
  <c r="T239" i="12"/>
  <c r="U238" i="12"/>
  <c r="T238" i="12"/>
  <c r="U237" i="12"/>
  <c r="T237" i="12"/>
  <c r="U236" i="12"/>
  <c r="T236" i="12"/>
  <c r="U235" i="12"/>
  <c r="T235" i="12"/>
  <c r="U234" i="12"/>
  <c r="T234" i="12"/>
  <c r="U233" i="12"/>
  <c r="T233" i="12"/>
  <c r="U232" i="12"/>
  <c r="T232" i="12"/>
  <c r="U231" i="12"/>
  <c r="T231" i="12"/>
  <c r="U230" i="12"/>
  <c r="T230" i="12"/>
  <c r="U229" i="12"/>
  <c r="T229" i="12"/>
  <c r="U228" i="12"/>
  <c r="T228" i="12"/>
  <c r="U227" i="12"/>
  <c r="T227" i="12"/>
  <c r="U226" i="12"/>
  <c r="T226" i="12"/>
  <c r="U225" i="12"/>
  <c r="T225" i="12"/>
  <c r="U224" i="12"/>
  <c r="T224" i="12"/>
  <c r="U223" i="12"/>
  <c r="T223" i="12"/>
  <c r="U222" i="12"/>
  <c r="T222" i="12"/>
  <c r="U221" i="12"/>
  <c r="T221" i="12"/>
  <c r="U220" i="12"/>
  <c r="T220" i="12"/>
  <c r="U219" i="12"/>
  <c r="T219" i="12"/>
  <c r="U218" i="12"/>
  <c r="T218" i="12"/>
  <c r="U217" i="12"/>
  <c r="T217" i="12"/>
  <c r="U216" i="12"/>
  <c r="T216" i="12"/>
  <c r="U215" i="12"/>
  <c r="T215" i="12"/>
  <c r="U214" i="12"/>
  <c r="T214" i="12"/>
  <c r="U213" i="12"/>
  <c r="T213" i="12"/>
  <c r="U212" i="12"/>
  <c r="T212" i="12"/>
  <c r="U211" i="12"/>
  <c r="T211" i="12"/>
  <c r="U210" i="12"/>
  <c r="T210" i="12"/>
  <c r="U209" i="12"/>
  <c r="T209" i="12"/>
  <c r="U208" i="12"/>
  <c r="T208" i="12"/>
  <c r="U207" i="12"/>
  <c r="T207" i="12"/>
  <c r="U206" i="12"/>
  <c r="T206" i="12"/>
  <c r="U205" i="12"/>
  <c r="T205" i="12"/>
  <c r="U204" i="12"/>
  <c r="T204" i="12"/>
  <c r="U203" i="12"/>
  <c r="T203" i="12"/>
  <c r="U202" i="12"/>
  <c r="T202" i="12"/>
  <c r="U201" i="12"/>
  <c r="T201" i="12"/>
  <c r="U200" i="12"/>
  <c r="T200" i="12"/>
  <c r="U199" i="12"/>
  <c r="T199" i="12"/>
  <c r="U198" i="12"/>
  <c r="T198" i="12"/>
  <c r="U197" i="12"/>
  <c r="T197" i="12"/>
  <c r="U196" i="12"/>
  <c r="T196" i="12"/>
  <c r="U195" i="12"/>
  <c r="T195" i="12"/>
  <c r="U194" i="12"/>
  <c r="T194" i="12"/>
  <c r="U193" i="12"/>
  <c r="T193" i="12"/>
  <c r="U192" i="12"/>
  <c r="T192" i="12"/>
  <c r="U191" i="12"/>
  <c r="T191" i="12"/>
  <c r="U190" i="12"/>
  <c r="T190" i="12"/>
  <c r="U189" i="12"/>
  <c r="T189" i="12"/>
  <c r="U188" i="12"/>
  <c r="T188" i="12"/>
  <c r="U187" i="12"/>
  <c r="T187" i="12"/>
  <c r="U186" i="12"/>
  <c r="T186" i="12"/>
  <c r="U185" i="12"/>
  <c r="T185" i="12"/>
  <c r="U184" i="12"/>
  <c r="T184" i="12"/>
  <c r="U183" i="12"/>
  <c r="T183" i="12"/>
  <c r="U182" i="12"/>
  <c r="T182" i="12"/>
  <c r="U181" i="12"/>
  <c r="T181" i="12"/>
  <c r="U180" i="12"/>
  <c r="T180" i="12"/>
  <c r="U179" i="12"/>
  <c r="T179" i="12"/>
  <c r="U178" i="12"/>
  <c r="T178" i="12"/>
  <c r="U177" i="12"/>
  <c r="T177" i="12"/>
  <c r="U176" i="12"/>
  <c r="T176" i="12"/>
  <c r="U175" i="12"/>
  <c r="T175" i="12"/>
  <c r="U174" i="12"/>
  <c r="T174" i="12"/>
  <c r="U173" i="12"/>
  <c r="T173" i="12"/>
  <c r="U172" i="12"/>
  <c r="T172" i="12"/>
  <c r="U171" i="12"/>
  <c r="T171" i="12"/>
  <c r="U170" i="12"/>
  <c r="T170" i="12"/>
  <c r="U169" i="12"/>
  <c r="T169" i="12"/>
  <c r="U168" i="12"/>
  <c r="T168" i="12"/>
  <c r="U167" i="12"/>
  <c r="T167" i="12"/>
  <c r="U166" i="12"/>
  <c r="T166" i="12"/>
  <c r="U165" i="12"/>
  <c r="T165" i="12"/>
  <c r="U164" i="12"/>
  <c r="T164" i="12"/>
  <c r="U163" i="12"/>
  <c r="T163" i="12"/>
  <c r="U162" i="12"/>
  <c r="T162" i="12"/>
  <c r="U161" i="12"/>
  <c r="T161" i="12"/>
  <c r="U160" i="12"/>
  <c r="T160" i="12"/>
  <c r="U159" i="12"/>
  <c r="T159" i="12"/>
  <c r="U158" i="12"/>
  <c r="T158" i="12"/>
  <c r="U157" i="12"/>
  <c r="T157" i="12"/>
  <c r="U156" i="12"/>
  <c r="T156" i="12"/>
  <c r="U155" i="12"/>
  <c r="T155" i="12"/>
  <c r="U154" i="12"/>
  <c r="T154" i="12"/>
  <c r="U153" i="12"/>
  <c r="T153" i="12"/>
  <c r="U152" i="12"/>
  <c r="T152" i="12"/>
  <c r="U151" i="12"/>
  <c r="T151" i="12"/>
  <c r="U150" i="12"/>
  <c r="T150" i="12"/>
  <c r="U149" i="12"/>
  <c r="T149" i="12"/>
  <c r="U148" i="12"/>
  <c r="T148" i="12"/>
  <c r="U147" i="12"/>
  <c r="T147" i="12"/>
  <c r="U146" i="12"/>
  <c r="T146" i="12"/>
  <c r="U145" i="12"/>
  <c r="T145" i="12"/>
  <c r="U144" i="12"/>
  <c r="T144" i="12"/>
  <c r="U143" i="12"/>
  <c r="T143" i="12"/>
  <c r="U142" i="12"/>
  <c r="T142" i="12"/>
  <c r="U141" i="12"/>
  <c r="T141" i="12"/>
  <c r="U140" i="12"/>
  <c r="T140" i="12"/>
  <c r="U139" i="12"/>
  <c r="T139" i="12"/>
  <c r="U138" i="12"/>
  <c r="T138" i="12"/>
  <c r="U137" i="12"/>
  <c r="T137" i="12"/>
  <c r="U136" i="12"/>
  <c r="T136" i="12"/>
  <c r="U135" i="12"/>
  <c r="T135" i="12"/>
  <c r="U134" i="12"/>
  <c r="T134" i="12"/>
  <c r="U133" i="12"/>
  <c r="T133" i="12"/>
  <c r="U132" i="12"/>
  <c r="T132" i="12"/>
  <c r="U131" i="12"/>
  <c r="T131" i="12"/>
  <c r="U130" i="12"/>
  <c r="T130" i="12"/>
  <c r="U129" i="12"/>
  <c r="T129" i="12"/>
  <c r="U128" i="12"/>
  <c r="T128" i="12"/>
  <c r="U127" i="12"/>
  <c r="T127" i="12"/>
  <c r="U126" i="12"/>
  <c r="T126" i="12"/>
  <c r="U125" i="12"/>
  <c r="T125" i="12"/>
  <c r="U124" i="12"/>
  <c r="T124" i="12"/>
  <c r="U123" i="12"/>
  <c r="T123" i="12"/>
  <c r="U122" i="12"/>
  <c r="T122" i="12"/>
  <c r="U121" i="12"/>
  <c r="T121" i="12"/>
  <c r="U120" i="12"/>
  <c r="T120" i="12"/>
  <c r="U119" i="12"/>
  <c r="T119" i="12"/>
  <c r="U118" i="12"/>
  <c r="T118" i="12"/>
  <c r="U117" i="12"/>
  <c r="T117" i="12"/>
  <c r="U116" i="12"/>
  <c r="T116" i="12"/>
  <c r="U115" i="12"/>
  <c r="T115" i="12"/>
  <c r="U114" i="12"/>
  <c r="T114" i="12"/>
  <c r="U113" i="12"/>
  <c r="T113" i="12"/>
  <c r="U112" i="12"/>
  <c r="T112" i="12"/>
  <c r="U111" i="12"/>
  <c r="T111" i="12"/>
  <c r="U110" i="12"/>
  <c r="T110" i="12"/>
  <c r="U109" i="12"/>
  <c r="T109" i="12"/>
  <c r="U108" i="12"/>
  <c r="T108" i="12"/>
  <c r="U107" i="12"/>
  <c r="T107" i="12"/>
  <c r="U106" i="12"/>
  <c r="T106" i="12"/>
  <c r="U105" i="12"/>
  <c r="T105" i="12"/>
  <c r="U104" i="12"/>
  <c r="T104" i="12"/>
  <c r="U103" i="12"/>
  <c r="T103" i="12"/>
  <c r="U102" i="12"/>
  <c r="T102" i="12"/>
  <c r="U101" i="12"/>
  <c r="T101" i="12"/>
  <c r="U100" i="12"/>
  <c r="T100" i="12"/>
  <c r="U99" i="12"/>
  <c r="T99" i="12"/>
  <c r="U98" i="12"/>
  <c r="T98" i="12"/>
  <c r="U97" i="12"/>
  <c r="T97" i="12"/>
  <c r="U96" i="12"/>
  <c r="T96" i="12"/>
  <c r="U95" i="12"/>
  <c r="T95" i="12"/>
  <c r="U94" i="12"/>
  <c r="T94" i="12"/>
  <c r="U93" i="12"/>
  <c r="T93" i="12"/>
  <c r="U92" i="12"/>
  <c r="T92" i="12"/>
  <c r="U91" i="12"/>
  <c r="T91" i="12"/>
  <c r="U90" i="12"/>
  <c r="T90" i="12"/>
  <c r="U89" i="12"/>
  <c r="T89" i="12"/>
  <c r="U88" i="12"/>
  <c r="T88" i="12"/>
  <c r="U87" i="12"/>
  <c r="T87" i="12"/>
  <c r="U86" i="12"/>
  <c r="T86" i="12"/>
  <c r="U85" i="12"/>
  <c r="T85" i="12"/>
  <c r="U84" i="12"/>
  <c r="T84" i="12"/>
  <c r="U83" i="12"/>
  <c r="T83" i="12"/>
  <c r="U82" i="12"/>
  <c r="T82" i="12"/>
  <c r="U81" i="12"/>
  <c r="T81" i="12"/>
  <c r="U80" i="12"/>
  <c r="T80" i="12"/>
  <c r="U79" i="12"/>
  <c r="T79" i="12"/>
  <c r="U78" i="12"/>
  <c r="T78" i="12"/>
  <c r="U77" i="12"/>
  <c r="T77" i="12"/>
  <c r="U76" i="12"/>
  <c r="T76" i="12"/>
  <c r="U75" i="12"/>
  <c r="T75" i="12"/>
  <c r="U74" i="12"/>
  <c r="T74" i="12"/>
  <c r="U73" i="12"/>
  <c r="T73" i="12"/>
  <c r="U72" i="12"/>
  <c r="T72" i="12"/>
  <c r="U71" i="12"/>
  <c r="T71" i="12"/>
  <c r="U70" i="12"/>
  <c r="T70" i="12"/>
  <c r="U69" i="12"/>
  <c r="T69" i="12"/>
  <c r="U68" i="12"/>
  <c r="T68" i="12"/>
  <c r="U67" i="12"/>
  <c r="T67" i="12"/>
  <c r="U66" i="12"/>
  <c r="T66" i="12"/>
  <c r="U65" i="12"/>
  <c r="T65" i="12"/>
  <c r="U64" i="12"/>
  <c r="T64" i="12"/>
  <c r="U63" i="12"/>
  <c r="T63" i="12"/>
  <c r="U62" i="12"/>
  <c r="T62" i="12"/>
  <c r="U61" i="12"/>
  <c r="T61" i="12"/>
  <c r="U60" i="12"/>
  <c r="T60" i="12"/>
  <c r="U59" i="12"/>
  <c r="T59" i="12"/>
  <c r="U58" i="12"/>
  <c r="T58" i="12"/>
  <c r="U57" i="12"/>
  <c r="T57" i="12"/>
  <c r="U56" i="12"/>
  <c r="T56" i="12"/>
  <c r="U55" i="12"/>
  <c r="T55" i="12"/>
  <c r="U54" i="12"/>
  <c r="T54" i="12"/>
  <c r="U53" i="12"/>
  <c r="T53" i="12"/>
  <c r="U52" i="12"/>
  <c r="T52" i="12"/>
  <c r="U51" i="12"/>
  <c r="T51" i="12"/>
  <c r="U50" i="12"/>
  <c r="T50" i="12"/>
  <c r="U49" i="12"/>
  <c r="T49" i="12"/>
  <c r="U48" i="12"/>
  <c r="T48" i="12"/>
  <c r="U47" i="12"/>
  <c r="T47" i="12"/>
  <c r="U46" i="12"/>
  <c r="T46" i="12"/>
  <c r="U45" i="12"/>
  <c r="T45" i="12"/>
  <c r="U44" i="12"/>
  <c r="T44" i="12"/>
  <c r="U43" i="12"/>
  <c r="T43" i="12"/>
  <c r="U42" i="12"/>
  <c r="T42" i="12"/>
  <c r="U41" i="12"/>
  <c r="T41" i="12"/>
  <c r="U40" i="12"/>
  <c r="T40" i="12"/>
  <c r="U39" i="12"/>
  <c r="T39" i="12"/>
  <c r="U38" i="12"/>
  <c r="T38" i="12"/>
  <c r="U37" i="12"/>
  <c r="T37" i="12"/>
  <c r="U36" i="12"/>
  <c r="T36" i="12"/>
  <c r="U35" i="12"/>
  <c r="T35" i="12"/>
  <c r="U34" i="12"/>
  <c r="T34" i="12"/>
  <c r="U33" i="12"/>
  <c r="T33" i="12"/>
  <c r="U32" i="12"/>
  <c r="T32" i="12"/>
  <c r="U31" i="12"/>
  <c r="T31" i="12"/>
  <c r="U30" i="12"/>
  <c r="T30" i="12"/>
  <c r="U29" i="12"/>
  <c r="T29" i="12"/>
  <c r="U28" i="12"/>
  <c r="T28" i="12"/>
  <c r="U27" i="12"/>
  <c r="T27" i="12"/>
  <c r="U26" i="12"/>
  <c r="T26" i="12"/>
  <c r="U25" i="12"/>
  <c r="T25" i="12"/>
  <c r="U24" i="12"/>
  <c r="T24" i="12"/>
  <c r="U23" i="12"/>
  <c r="T23" i="12"/>
  <c r="U22" i="12"/>
  <c r="T22" i="12"/>
  <c r="U21" i="12"/>
  <c r="T21" i="12"/>
  <c r="U20" i="12"/>
  <c r="T20" i="12"/>
  <c r="U19" i="12"/>
  <c r="T19" i="12"/>
  <c r="U18" i="12"/>
  <c r="T18" i="12"/>
  <c r="U17" i="12"/>
  <c r="T17" i="12"/>
  <c r="U16" i="12"/>
  <c r="T16" i="12"/>
  <c r="U15" i="12"/>
  <c r="T15" i="12"/>
  <c r="U14" i="12"/>
  <c r="T14" i="12"/>
  <c r="U13" i="12"/>
  <c r="T13" i="12"/>
  <c r="U12" i="12"/>
  <c r="T12" i="12"/>
  <c r="U11" i="12"/>
  <c r="T11" i="12"/>
  <c r="U10" i="12"/>
  <c r="T10" i="12"/>
  <c r="U9" i="12"/>
  <c r="T9" i="12"/>
  <c r="U8" i="12"/>
  <c r="T8" i="12"/>
  <c r="U7" i="12"/>
  <c r="T7" i="12"/>
  <c r="U6" i="12"/>
  <c r="T6" i="12"/>
  <c r="U5" i="12"/>
  <c r="T5" i="12"/>
  <c r="U4" i="12"/>
  <c r="T4" i="12"/>
  <c r="U3" i="12"/>
  <c r="T3" i="12"/>
  <c r="U2" i="12"/>
  <c r="T2" i="12"/>
  <c r="U297" i="11"/>
  <c r="T297" i="11"/>
  <c r="U296" i="11"/>
  <c r="T296" i="11"/>
  <c r="U295" i="11"/>
  <c r="T295" i="11"/>
  <c r="U294" i="11"/>
  <c r="T294" i="11"/>
  <c r="U293" i="11"/>
  <c r="T293" i="11"/>
  <c r="U292" i="11"/>
  <c r="T292" i="11"/>
  <c r="U291" i="11"/>
  <c r="T291" i="11"/>
  <c r="U290" i="11"/>
  <c r="T290" i="11"/>
  <c r="U289" i="11"/>
  <c r="T289" i="11"/>
  <c r="U288" i="11"/>
  <c r="T288" i="11"/>
  <c r="U287" i="11"/>
  <c r="T287" i="11"/>
  <c r="U286" i="11"/>
  <c r="T286" i="11"/>
  <c r="U285" i="11"/>
  <c r="T285" i="11"/>
  <c r="U284" i="11"/>
  <c r="T284" i="11"/>
  <c r="U283" i="11"/>
  <c r="T283" i="11"/>
  <c r="U282" i="11"/>
  <c r="T282" i="11"/>
  <c r="U281" i="11"/>
  <c r="T281" i="11"/>
  <c r="U280" i="11"/>
  <c r="T280" i="11"/>
  <c r="U279" i="11"/>
  <c r="T279" i="11"/>
  <c r="U278" i="11"/>
  <c r="T278" i="11"/>
  <c r="U277" i="11"/>
  <c r="T277" i="11"/>
  <c r="U276" i="11"/>
  <c r="T276" i="11"/>
  <c r="U275" i="11"/>
  <c r="T275" i="11"/>
  <c r="U274" i="11"/>
  <c r="T274" i="11"/>
  <c r="U273" i="11"/>
  <c r="T273" i="11"/>
  <c r="U272" i="11"/>
  <c r="T272" i="11"/>
  <c r="U271" i="11"/>
  <c r="T271" i="11"/>
  <c r="U270" i="11"/>
  <c r="T270" i="11"/>
  <c r="U269" i="11"/>
  <c r="T269" i="11"/>
  <c r="U268" i="11"/>
  <c r="T268" i="11"/>
  <c r="U267" i="11"/>
  <c r="T267" i="11"/>
  <c r="U266" i="11"/>
  <c r="T266" i="11"/>
  <c r="U265" i="11"/>
  <c r="T265" i="11"/>
  <c r="U264" i="11"/>
  <c r="T264" i="11"/>
  <c r="U263" i="11"/>
  <c r="T263" i="11"/>
  <c r="U262" i="11"/>
  <c r="T262" i="11"/>
  <c r="U261" i="11"/>
  <c r="T261" i="11"/>
  <c r="U260" i="11"/>
  <c r="T260" i="11"/>
  <c r="U259" i="11"/>
  <c r="T259" i="11"/>
  <c r="U258" i="11"/>
  <c r="T258" i="11"/>
  <c r="U257" i="11"/>
  <c r="T257" i="11"/>
  <c r="U256" i="11"/>
  <c r="T256" i="11"/>
  <c r="U255" i="11"/>
  <c r="T255" i="11"/>
  <c r="U254" i="11"/>
  <c r="T254" i="11"/>
  <c r="U253" i="11"/>
  <c r="T253" i="11"/>
  <c r="U252" i="11"/>
  <c r="T252" i="11"/>
  <c r="U251" i="11"/>
  <c r="T251" i="11"/>
  <c r="U250" i="11"/>
  <c r="T250" i="11"/>
  <c r="U249" i="11"/>
  <c r="T249" i="11"/>
  <c r="U248" i="11"/>
  <c r="T248" i="11"/>
  <c r="U247" i="11"/>
  <c r="T247" i="11"/>
  <c r="U246" i="11"/>
  <c r="T246" i="11"/>
  <c r="U245" i="11"/>
  <c r="T245" i="11"/>
  <c r="U244" i="11"/>
  <c r="T244" i="11"/>
  <c r="U243" i="11"/>
  <c r="T243" i="11"/>
  <c r="U242" i="11"/>
  <c r="T242" i="11"/>
  <c r="U241" i="11"/>
  <c r="T241" i="11"/>
  <c r="U240" i="11"/>
  <c r="T240" i="11"/>
  <c r="U239" i="11"/>
  <c r="T239" i="11"/>
  <c r="U238" i="11"/>
  <c r="T238" i="11"/>
  <c r="U237" i="11"/>
  <c r="T237" i="11"/>
  <c r="U236" i="11"/>
  <c r="T236" i="11"/>
  <c r="U235" i="11"/>
  <c r="T235" i="11"/>
  <c r="U234" i="11"/>
  <c r="T234" i="11"/>
  <c r="U233" i="11"/>
  <c r="T233" i="11"/>
  <c r="U232" i="11"/>
  <c r="T232" i="11"/>
  <c r="U231" i="11"/>
  <c r="T231" i="11"/>
  <c r="U230" i="11"/>
  <c r="T230" i="11"/>
  <c r="U229" i="11"/>
  <c r="T229" i="11"/>
  <c r="U228" i="11"/>
  <c r="T228" i="11"/>
  <c r="U227" i="11"/>
  <c r="T227" i="11"/>
  <c r="U226" i="11"/>
  <c r="T226" i="11"/>
  <c r="U225" i="11"/>
  <c r="T225" i="11"/>
  <c r="U224" i="11"/>
  <c r="T224" i="11"/>
  <c r="U223" i="11"/>
  <c r="T223" i="11"/>
  <c r="U222" i="11"/>
  <c r="T222" i="11"/>
  <c r="U221" i="11"/>
  <c r="T221" i="11"/>
  <c r="U220" i="11"/>
  <c r="T220" i="11"/>
  <c r="U219" i="11"/>
  <c r="T219" i="11"/>
  <c r="U218" i="11"/>
  <c r="T218" i="11"/>
  <c r="U217" i="11"/>
  <c r="T217" i="11"/>
  <c r="U216" i="11"/>
  <c r="T216" i="11"/>
  <c r="U215" i="11"/>
  <c r="T215" i="11"/>
  <c r="U214" i="11"/>
  <c r="T214" i="11"/>
  <c r="U213" i="11"/>
  <c r="T213" i="11"/>
  <c r="U212" i="11"/>
  <c r="T212" i="11"/>
  <c r="U211" i="11"/>
  <c r="T211" i="11"/>
  <c r="U210" i="11"/>
  <c r="T210" i="11"/>
  <c r="U209" i="11"/>
  <c r="T209" i="11"/>
  <c r="U208" i="11"/>
  <c r="T208" i="11"/>
  <c r="U207" i="11"/>
  <c r="T207" i="11"/>
  <c r="U206" i="11"/>
  <c r="T206" i="11"/>
  <c r="U205" i="11"/>
  <c r="T205" i="11"/>
  <c r="U204" i="11"/>
  <c r="T204" i="11"/>
  <c r="U203" i="11"/>
  <c r="T203" i="11"/>
  <c r="U202" i="11"/>
  <c r="T202" i="11"/>
  <c r="U201" i="11"/>
  <c r="T201" i="11"/>
  <c r="U200" i="11"/>
  <c r="T200" i="11"/>
  <c r="U199" i="11"/>
  <c r="T199" i="11"/>
  <c r="U198" i="11"/>
  <c r="T198" i="11"/>
  <c r="U197" i="11"/>
  <c r="T197" i="11"/>
  <c r="U196" i="11"/>
  <c r="T196" i="11"/>
  <c r="U195" i="11"/>
  <c r="T195" i="11"/>
  <c r="U194" i="11"/>
  <c r="T194" i="11"/>
  <c r="U193" i="11"/>
  <c r="T193" i="11"/>
  <c r="U192" i="11"/>
  <c r="T192" i="11"/>
  <c r="U191" i="11"/>
  <c r="T191" i="11"/>
  <c r="U190" i="11"/>
  <c r="T190" i="11"/>
  <c r="U189" i="11"/>
  <c r="T189" i="11"/>
  <c r="U188" i="11"/>
  <c r="T188" i="11"/>
  <c r="U187" i="11"/>
  <c r="T187" i="11"/>
  <c r="U186" i="11"/>
  <c r="T186" i="11"/>
  <c r="U185" i="11"/>
  <c r="T185" i="11"/>
  <c r="U184" i="11"/>
  <c r="T184" i="11"/>
  <c r="U183" i="11"/>
  <c r="T183" i="11"/>
  <c r="U182" i="11"/>
  <c r="T182" i="11"/>
  <c r="U181" i="11"/>
  <c r="T181" i="11"/>
  <c r="U180" i="11"/>
  <c r="T180" i="11"/>
  <c r="U179" i="11"/>
  <c r="T179" i="11"/>
  <c r="U178" i="11"/>
  <c r="T178" i="11"/>
  <c r="U177" i="11"/>
  <c r="T177" i="11"/>
  <c r="U176" i="11"/>
  <c r="T176" i="11"/>
  <c r="U175" i="11"/>
  <c r="T175" i="11"/>
  <c r="U174" i="11"/>
  <c r="T174" i="11"/>
  <c r="U173" i="11"/>
  <c r="T173" i="11"/>
  <c r="U172" i="11"/>
  <c r="T172" i="11"/>
  <c r="U171" i="11"/>
  <c r="T171" i="11"/>
  <c r="U170" i="11"/>
  <c r="T170" i="11"/>
  <c r="U169" i="11"/>
  <c r="T169" i="11"/>
  <c r="U168" i="11"/>
  <c r="T168" i="11"/>
  <c r="U167" i="11"/>
  <c r="T167" i="11"/>
  <c r="U166" i="11"/>
  <c r="T166" i="11"/>
  <c r="U165" i="11"/>
  <c r="T165" i="11"/>
  <c r="U164" i="11"/>
  <c r="T164" i="11"/>
  <c r="U163" i="11"/>
  <c r="T163" i="11"/>
  <c r="U162" i="11"/>
  <c r="T162" i="11"/>
  <c r="U161" i="11"/>
  <c r="T161" i="11"/>
  <c r="U160" i="11"/>
  <c r="T160" i="11"/>
  <c r="U159" i="11"/>
  <c r="T159" i="11"/>
  <c r="U158" i="11"/>
  <c r="T158" i="11"/>
  <c r="U157" i="11"/>
  <c r="T157" i="11"/>
  <c r="U156" i="11"/>
  <c r="T156" i="11"/>
  <c r="U155" i="11"/>
  <c r="T155" i="11"/>
  <c r="U154" i="11"/>
  <c r="T154" i="11"/>
  <c r="U153" i="11"/>
  <c r="T153" i="11"/>
  <c r="U152" i="11"/>
  <c r="T152" i="11"/>
  <c r="U151" i="11"/>
  <c r="T151" i="11"/>
  <c r="U150" i="11"/>
  <c r="T150" i="11"/>
  <c r="U149" i="11"/>
  <c r="T149" i="11"/>
  <c r="U148" i="11"/>
  <c r="T148" i="11"/>
  <c r="U147" i="11"/>
  <c r="T147" i="11"/>
  <c r="U146" i="11"/>
  <c r="T146" i="11"/>
  <c r="U145" i="11"/>
  <c r="T145" i="11"/>
  <c r="U144" i="11"/>
  <c r="T144" i="11"/>
  <c r="U143" i="11"/>
  <c r="T143" i="11"/>
  <c r="U142" i="11"/>
  <c r="T142" i="11"/>
  <c r="U141" i="11"/>
  <c r="T141" i="11"/>
  <c r="U140" i="11"/>
  <c r="T140" i="11"/>
  <c r="U139" i="11"/>
  <c r="T139" i="11"/>
  <c r="U138" i="11"/>
  <c r="T138" i="11"/>
  <c r="U137" i="11"/>
  <c r="T137" i="11"/>
  <c r="U136" i="11"/>
  <c r="T136" i="11"/>
  <c r="U135" i="11"/>
  <c r="T135" i="11"/>
  <c r="U134" i="11"/>
  <c r="T134" i="11"/>
  <c r="U133" i="11"/>
  <c r="T133" i="11"/>
  <c r="U132" i="11"/>
  <c r="T132" i="11"/>
  <c r="U131" i="11"/>
  <c r="T131" i="11"/>
  <c r="U130" i="11"/>
  <c r="T130" i="11"/>
  <c r="U129" i="11"/>
  <c r="T129" i="11"/>
  <c r="U128" i="11"/>
  <c r="T128" i="11"/>
  <c r="U127" i="11"/>
  <c r="T127" i="11"/>
  <c r="U126" i="11"/>
  <c r="T126" i="11"/>
  <c r="U125" i="11"/>
  <c r="T125" i="11"/>
  <c r="U124" i="11"/>
  <c r="T124" i="11"/>
  <c r="U123" i="11"/>
  <c r="T123" i="11"/>
  <c r="U122" i="11"/>
  <c r="T122" i="11"/>
  <c r="U121" i="11"/>
  <c r="T121" i="11"/>
  <c r="U120" i="11"/>
  <c r="T120" i="11"/>
  <c r="U119" i="11"/>
  <c r="T119" i="11"/>
  <c r="U118" i="11"/>
  <c r="T118" i="11"/>
  <c r="U117" i="11"/>
  <c r="T117" i="11"/>
  <c r="U116" i="11"/>
  <c r="T116" i="11"/>
  <c r="U115" i="11"/>
  <c r="T115" i="11"/>
  <c r="U114" i="11"/>
  <c r="T114" i="11"/>
  <c r="U113" i="11"/>
  <c r="T113" i="11"/>
  <c r="U112" i="11"/>
  <c r="T112" i="11"/>
  <c r="U111" i="11"/>
  <c r="T111" i="11"/>
  <c r="U110" i="11"/>
  <c r="T110" i="11"/>
  <c r="U109" i="11"/>
  <c r="T109" i="11"/>
  <c r="U108" i="11"/>
  <c r="T108" i="11"/>
  <c r="U107" i="11"/>
  <c r="T107" i="11"/>
  <c r="U106" i="11"/>
  <c r="T106" i="11"/>
  <c r="U105" i="11"/>
  <c r="T105" i="11"/>
  <c r="U104" i="11"/>
  <c r="T104" i="11"/>
  <c r="U103" i="11"/>
  <c r="T103" i="11"/>
  <c r="U102" i="11"/>
  <c r="T102" i="11"/>
  <c r="U101" i="11"/>
  <c r="T101" i="11"/>
  <c r="U100" i="11"/>
  <c r="T100" i="11"/>
  <c r="U99" i="11"/>
  <c r="T99" i="11"/>
  <c r="U98" i="11"/>
  <c r="T98" i="11"/>
  <c r="U97" i="11"/>
  <c r="T97" i="11"/>
  <c r="U96" i="11"/>
  <c r="T96" i="11"/>
  <c r="U95" i="11"/>
  <c r="T95" i="11"/>
  <c r="U94" i="11"/>
  <c r="T94" i="11"/>
  <c r="U93" i="11"/>
  <c r="T93" i="11"/>
  <c r="U92" i="11"/>
  <c r="T92" i="11"/>
  <c r="U91" i="11"/>
  <c r="T91" i="11"/>
  <c r="U90" i="11"/>
  <c r="T90" i="11"/>
  <c r="U89" i="11"/>
  <c r="T89" i="11"/>
  <c r="U88" i="11"/>
  <c r="T88" i="11"/>
  <c r="U87" i="11"/>
  <c r="T87" i="11"/>
  <c r="U86" i="11"/>
  <c r="T86" i="11"/>
  <c r="U85" i="11"/>
  <c r="T85" i="11"/>
  <c r="U84" i="11"/>
  <c r="T84" i="11"/>
  <c r="U83" i="11"/>
  <c r="T83" i="11"/>
  <c r="U82" i="11"/>
  <c r="T82" i="11"/>
  <c r="U81" i="11"/>
  <c r="T81" i="11"/>
  <c r="U80" i="11"/>
  <c r="T80" i="11"/>
  <c r="U79" i="11"/>
  <c r="T79" i="11"/>
  <c r="U78" i="11"/>
  <c r="T78" i="11"/>
  <c r="U77" i="11"/>
  <c r="T77" i="11"/>
  <c r="U76" i="11"/>
  <c r="T76" i="11"/>
  <c r="U75" i="11"/>
  <c r="T75" i="11"/>
  <c r="U74" i="11"/>
  <c r="T74" i="11"/>
  <c r="U73" i="11"/>
  <c r="T73" i="11"/>
  <c r="U72" i="11"/>
  <c r="T72" i="11"/>
  <c r="U71" i="11"/>
  <c r="T71" i="11"/>
  <c r="U70" i="11"/>
  <c r="T70" i="11"/>
  <c r="U69" i="11"/>
  <c r="T69" i="11"/>
  <c r="U68" i="11"/>
  <c r="T68" i="11"/>
  <c r="U67" i="11"/>
  <c r="T67" i="11"/>
  <c r="U66" i="11"/>
  <c r="T66" i="11"/>
  <c r="U65" i="11"/>
  <c r="T65" i="11"/>
  <c r="U64" i="11"/>
  <c r="T64" i="11"/>
  <c r="U63" i="11"/>
  <c r="T63" i="11"/>
  <c r="U62" i="11"/>
  <c r="T62" i="11"/>
  <c r="U61" i="11"/>
  <c r="T61" i="11"/>
  <c r="U60" i="11"/>
  <c r="T60" i="11"/>
  <c r="U59" i="11"/>
  <c r="T59" i="11"/>
  <c r="U58" i="11"/>
  <c r="T58" i="11"/>
  <c r="U57" i="11"/>
  <c r="T57" i="11"/>
  <c r="U56" i="11"/>
  <c r="T56" i="11"/>
  <c r="U55" i="11"/>
  <c r="T55" i="11"/>
  <c r="U54" i="11"/>
  <c r="T54" i="11"/>
  <c r="U53" i="11"/>
  <c r="T53" i="11"/>
  <c r="U52" i="11"/>
  <c r="T52" i="11"/>
  <c r="U51" i="11"/>
  <c r="T51" i="11"/>
  <c r="U50" i="11"/>
  <c r="T50" i="11"/>
  <c r="U49" i="11"/>
  <c r="T49" i="11"/>
  <c r="U48" i="11"/>
  <c r="T48" i="11"/>
  <c r="U47" i="11"/>
  <c r="T47" i="11"/>
  <c r="U46" i="11"/>
  <c r="T46" i="11"/>
  <c r="U45" i="11"/>
  <c r="T45" i="11"/>
  <c r="U44" i="11"/>
  <c r="T44" i="11"/>
  <c r="U43" i="11"/>
  <c r="T43" i="11"/>
  <c r="U42" i="11"/>
  <c r="T42" i="11"/>
  <c r="U41" i="11"/>
  <c r="T41" i="11"/>
  <c r="U40" i="11"/>
  <c r="T40" i="11"/>
  <c r="U39" i="11"/>
  <c r="T39" i="11"/>
  <c r="U38" i="11"/>
  <c r="T38" i="11"/>
  <c r="U37" i="11"/>
  <c r="T37" i="11"/>
  <c r="U36" i="11"/>
  <c r="T36" i="11"/>
  <c r="U35" i="11"/>
  <c r="T35" i="11"/>
  <c r="U34" i="11"/>
  <c r="T34" i="11"/>
  <c r="U33" i="11"/>
  <c r="T33" i="11"/>
  <c r="U32" i="11"/>
  <c r="T32" i="11"/>
  <c r="U31" i="11"/>
  <c r="T31" i="11"/>
  <c r="U30" i="11"/>
  <c r="T30" i="11"/>
  <c r="U29" i="11"/>
  <c r="T29" i="11"/>
  <c r="U28" i="11"/>
  <c r="T28" i="11"/>
  <c r="U27" i="11"/>
  <c r="T27" i="11"/>
  <c r="U26" i="11"/>
  <c r="T26" i="11"/>
  <c r="U25" i="11"/>
  <c r="T25" i="11"/>
  <c r="U24" i="11"/>
  <c r="T24" i="11"/>
  <c r="U23" i="11"/>
  <c r="T23" i="11"/>
  <c r="U22" i="11"/>
  <c r="T22" i="11"/>
  <c r="U21" i="11"/>
  <c r="T21" i="11"/>
  <c r="U20" i="11"/>
  <c r="T20" i="11"/>
  <c r="U19" i="11"/>
  <c r="T19" i="11"/>
  <c r="U18" i="11"/>
  <c r="T18" i="11"/>
  <c r="U17" i="11"/>
  <c r="T17" i="11"/>
  <c r="U16" i="11"/>
  <c r="T16" i="11"/>
  <c r="U15" i="11"/>
  <c r="T15" i="11"/>
  <c r="U14" i="11"/>
  <c r="T14" i="11"/>
  <c r="U13" i="11"/>
  <c r="T13" i="11"/>
  <c r="U12" i="11"/>
  <c r="T12" i="11"/>
  <c r="U11" i="11"/>
  <c r="T11" i="11"/>
  <c r="U10" i="11"/>
  <c r="T10" i="11"/>
  <c r="U9" i="11"/>
  <c r="T9" i="11"/>
  <c r="U8" i="11"/>
  <c r="T8" i="11"/>
  <c r="U7" i="11"/>
  <c r="T7" i="11"/>
  <c r="U6" i="11"/>
  <c r="T6" i="11"/>
  <c r="U5" i="11"/>
  <c r="T5" i="11"/>
  <c r="U4" i="11"/>
  <c r="T4" i="11"/>
  <c r="U3" i="11"/>
  <c r="T3" i="11"/>
  <c r="U2" i="11"/>
  <c r="T2" i="11"/>
  <c r="U297" i="10"/>
  <c r="T297" i="10"/>
  <c r="U296" i="10"/>
  <c r="T296" i="10"/>
  <c r="U295" i="10"/>
  <c r="T295" i="10"/>
  <c r="U294" i="10"/>
  <c r="T294" i="10"/>
  <c r="U293" i="10"/>
  <c r="T293" i="10"/>
  <c r="U292" i="10"/>
  <c r="T292" i="10"/>
  <c r="U291" i="10"/>
  <c r="T291" i="10"/>
  <c r="U290" i="10"/>
  <c r="T290" i="10"/>
  <c r="U289" i="10"/>
  <c r="T289" i="10"/>
  <c r="U288" i="10"/>
  <c r="T288" i="10"/>
  <c r="U287" i="10"/>
  <c r="T287" i="10"/>
  <c r="U286" i="10"/>
  <c r="T286" i="10"/>
  <c r="U285" i="10"/>
  <c r="T285" i="10"/>
  <c r="U284" i="10"/>
  <c r="T284" i="10"/>
  <c r="U283" i="10"/>
  <c r="T283" i="10"/>
  <c r="U282" i="10"/>
  <c r="T282" i="10"/>
  <c r="U281" i="10"/>
  <c r="T281" i="10"/>
  <c r="U280" i="10"/>
  <c r="T280" i="10"/>
  <c r="U279" i="10"/>
  <c r="T279" i="10"/>
  <c r="U278" i="10"/>
  <c r="T278" i="10"/>
  <c r="U277" i="10"/>
  <c r="T277" i="10"/>
  <c r="U276" i="10"/>
  <c r="T276" i="10"/>
  <c r="U275" i="10"/>
  <c r="T275" i="10"/>
  <c r="U274" i="10"/>
  <c r="T274" i="10"/>
  <c r="U273" i="10"/>
  <c r="T273" i="10"/>
  <c r="U272" i="10"/>
  <c r="T272" i="10"/>
  <c r="U271" i="10"/>
  <c r="T271" i="10"/>
  <c r="U270" i="10"/>
  <c r="T270" i="10"/>
  <c r="U269" i="10"/>
  <c r="T269" i="10"/>
  <c r="U268" i="10"/>
  <c r="T268" i="10"/>
  <c r="U267" i="10"/>
  <c r="T267" i="10"/>
  <c r="U266" i="10"/>
  <c r="T266" i="10"/>
  <c r="U265" i="10"/>
  <c r="T265" i="10"/>
  <c r="U264" i="10"/>
  <c r="T264" i="10"/>
  <c r="U263" i="10"/>
  <c r="T263" i="10"/>
  <c r="U262" i="10"/>
  <c r="T262" i="10"/>
  <c r="U261" i="10"/>
  <c r="T261" i="10"/>
  <c r="U260" i="10"/>
  <c r="T260" i="10"/>
  <c r="U259" i="10"/>
  <c r="T259" i="10"/>
  <c r="U258" i="10"/>
  <c r="T258" i="10"/>
  <c r="U257" i="10"/>
  <c r="T257" i="10"/>
  <c r="U256" i="10"/>
  <c r="T256" i="10"/>
  <c r="U255" i="10"/>
  <c r="T255" i="10"/>
  <c r="U254" i="10"/>
  <c r="T254" i="10"/>
  <c r="U253" i="10"/>
  <c r="T253" i="10"/>
  <c r="U252" i="10"/>
  <c r="T252" i="10"/>
  <c r="U251" i="10"/>
  <c r="T251" i="10"/>
  <c r="U250" i="10"/>
  <c r="T250" i="10"/>
  <c r="U249" i="10"/>
  <c r="T249" i="10"/>
  <c r="U248" i="10"/>
  <c r="T248" i="10"/>
  <c r="U247" i="10"/>
  <c r="T247" i="10"/>
  <c r="U246" i="10"/>
  <c r="T246" i="10"/>
  <c r="U245" i="10"/>
  <c r="T245" i="10"/>
  <c r="U244" i="10"/>
  <c r="T244" i="10"/>
  <c r="U243" i="10"/>
  <c r="T243" i="10"/>
  <c r="U242" i="10"/>
  <c r="T242" i="10"/>
  <c r="U241" i="10"/>
  <c r="T241" i="10"/>
  <c r="U240" i="10"/>
  <c r="T240" i="10"/>
  <c r="U239" i="10"/>
  <c r="T239" i="10"/>
  <c r="U238" i="10"/>
  <c r="T238" i="10"/>
  <c r="U237" i="10"/>
  <c r="T237" i="10"/>
  <c r="U236" i="10"/>
  <c r="T236" i="10"/>
  <c r="U235" i="10"/>
  <c r="T235" i="10"/>
  <c r="U234" i="10"/>
  <c r="T234" i="10"/>
  <c r="U233" i="10"/>
  <c r="T233" i="10"/>
  <c r="U232" i="10"/>
  <c r="T232" i="10"/>
  <c r="U231" i="10"/>
  <c r="T231" i="10"/>
  <c r="U230" i="10"/>
  <c r="T230" i="10"/>
  <c r="U229" i="10"/>
  <c r="T229" i="10"/>
  <c r="U228" i="10"/>
  <c r="T228" i="10"/>
  <c r="U227" i="10"/>
  <c r="T227" i="10"/>
  <c r="U226" i="10"/>
  <c r="T226" i="10"/>
  <c r="U225" i="10"/>
  <c r="T225" i="10"/>
  <c r="U224" i="10"/>
  <c r="T224" i="10"/>
  <c r="U223" i="10"/>
  <c r="T223" i="10"/>
  <c r="U222" i="10"/>
  <c r="T222" i="10"/>
  <c r="U221" i="10"/>
  <c r="T221" i="10"/>
  <c r="U220" i="10"/>
  <c r="T220" i="10"/>
  <c r="U219" i="10"/>
  <c r="T219" i="10"/>
  <c r="U218" i="10"/>
  <c r="T218" i="10"/>
  <c r="U217" i="10"/>
  <c r="T217" i="10"/>
  <c r="U216" i="10"/>
  <c r="T216" i="10"/>
  <c r="U215" i="10"/>
  <c r="T215" i="10"/>
  <c r="U214" i="10"/>
  <c r="T214" i="10"/>
  <c r="U213" i="10"/>
  <c r="T213" i="10"/>
  <c r="U212" i="10"/>
  <c r="T212" i="10"/>
  <c r="U211" i="10"/>
  <c r="T211" i="10"/>
  <c r="U210" i="10"/>
  <c r="T210" i="10"/>
  <c r="U209" i="10"/>
  <c r="T209" i="10"/>
  <c r="U208" i="10"/>
  <c r="T208" i="10"/>
  <c r="U207" i="10"/>
  <c r="T207" i="10"/>
  <c r="U206" i="10"/>
  <c r="T206" i="10"/>
  <c r="U205" i="10"/>
  <c r="T205" i="10"/>
  <c r="U204" i="10"/>
  <c r="T204" i="10"/>
  <c r="U203" i="10"/>
  <c r="T203" i="10"/>
  <c r="U202" i="10"/>
  <c r="T202" i="10"/>
  <c r="U201" i="10"/>
  <c r="T201" i="10"/>
  <c r="U200" i="10"/>
  <c r="T200" i="10"/>
  <c r="U199" i="10"/>
  <c r="T199" i="10"/>
  <c r="U198" i="10"/>
  <c r="T198" i="10"/>
  <c r="U197" i="10"/>
  <c r="T197" i="10"/>
  <c r="U196" i="10"/>
  <c r="T196" i="10"/>
  <c r="U195" i="10"/>
  <c r="T195" i="10"/>
  <c r="U194" i="10"/>
  <c r="T194" i="10"/>
  <c r="U193" i="10"/>
  <c r="T193" i="10"/>
  <c r="U192" i="10"/>
  <c r="T192" i="10"/>
  <c r="U191" i="10"/>
  <c r="T191" i="10"/>
  <c r="U190" i="10"/>
  <c r="T190" i="10"/>
  <c r="U189" i="10"/>
  <c r="T189" i="10"/>
  <c r="U188" i="10"/>
  <c r="T188" i="10"/>
  <c r="U187" i="10"/>
  <c r="T187" i="10"/>
  <c r="U186" i="10"/>
  <c r="T186" i="10"/>
  <c r="U185" i="10"/>
  <c r="T185" i="10"/>
  <c r="U184" i="10"/>
  <c r="T184" i="10"/>
  <c r="U183" i="10"/>
  <c r="T183" i="10"/>
  <c r="U182" i="10"/>
  <c r="T182" i="10"/>
  <c r="U181" i="10"/>
  <c r="T181" i="10"/>
  <c r="U180" i="10"/>
  <c r="T180" i="10"/>
  <c r="U179" i="10"/>
  <c r="T179" i="10"/>
  <c r="U178" i="10"/>
  <c r="T178" i="10"/>
  <c r="U177" i="10"/>
  <c r="T177" i="10"/>
  <c r="U176" i="10"/>
  <c r="T176" i="10"/>
  <c r="U175" i="10"/>
  <c r="T175" i="10"/>
  <c r="U174" i="10"/>
  <c r="T174" i="10"/>
  <c r="U173" i="10"/>
  <c r="T173" i="10"/>
  <c r="U172" i="10"/>
  <c r="T172" i="10"/>
  <c r="U171" i="10"/>
  <c r="T171" i="10"/>
  <c r="U170" i="10"/>
  <c r="T170" i="10"/>
  <c r="U169" i="10"/>
  <c r="T169" i="10"/>
  <c r="U168" i="10"/>
  <c r="T168" i="10"/>
  <c r="U167" i="10"/>
  <c r="T167" i="10"/>
  <c r="U166" i="10"/>
  <c r="T166" i="10"/>
  <c r="U165" i="10"/>
  <c r="T165" i="10"/>
  <c r="U164" i="10"/>
  <c r="T164" i="10"/>
  <c r="U163" i="10"/>
  <c r="T163" i="10"/>
  <c r="U162" i="10"/>
  <c r="T162" i="10"/>
  <c r="U161" i="10"/>
  <c r="T161" i="10"/>
  <c r="U160" i="10"/>
  <c r="T160" i="10"/>
  <c r="U159" i="10"/>
  <c r="T159" i="10"/>
  <c r="U158" i="10"/>
  <c r="T158" i="10"/>
  <c r="U157" i="10"/>
  <c r="T157" i="10"/>
  <c r="U156" i="10"/>
  <c r="T156" i="10"/>
  <c r="U155" i="10"/>
  <c r="T155" i="10"/>
  <c r="U154" i="10"/>
  <c r="T154" i="10"/>
  <c r="U153" i="10"/>
  <c r="T153" i="10"/>
  <c r="U152" i="10"/>
  <c r="T152" i="10"/>
  <c r="U151" i="10"/>
  <c r="T151" i="10"/>
  <c r="U150" i="10"/>
  <c r="T150" i="10"/>
  <c r="U149" i="10"/>
  <c r="T149" i="10"/>
  <c r="U148" i="10"/>
  <c r="T148" i="10"/>
  <c r="U147" i="10"/>
  <c r="T147" i="10"/>
  <c r="U146" i="10"/>
  <c r="T146" i="10"/>
  <c r="U145" i="10"/>
  <c r="T145" i="10"/>
  <c r="U144" i="10"/>
  <c r="T144" i="10"/>
  <c r="U143" i="10"/>
  <c r="T143" i="10"/>
  <c r="U142" i="10"/>
  <c r="T142" i="10"/>
  <c r="U141" i="10"/>
  <c r="T141" i="10"/>
  <c r="U140" i="10"/>
  <c r="T140" i="10"/>
  <c r="U139" i="10"/>
  <c r="T139" i="10"/>
  <c r="U138" i="10"/>
  <c r="T138" i="10"/>
  <c r="U137" i="10"/>
  <c r="T137" i="10"/>
  <c r="U136" i="10"/>
  <c r="T136" i="10"/>
  <c r="U135" i="10"/>
  <c r="T135" i="10"/>
  <c r="U134" i="10"/>
  <c r="T134" i="10"/>
  <c r="U133" i="10"/>
  <c r="T133" i="10"/>
  <c r="U132" i="10"/>
  <c r="T132" i="10"/>
  <c r="U131" i="10"/>
  <c r="T131" i="10"/>
  <c r="U130" i="10"/>
  <c r="T130" i="10"/>
  <c r="U129" i="10"/>
  <c r="T129" i="10"/>
  <c r="U128" i="10"/>
  <c r="T128" i="10"/>
  <c r="U127" i="10"/>
  <c r="T127" i="10"/>
  <c r="U126" i="10"/>
  <c r="T126" i="10"/>
  <c r="U125" i="10"/>
  <c r="T125" i="10"/>
  <c r="U124" i="10"/>
  <c r="T124" i="10"/>
  <c r="U123" i="10"/>
  <c r="T123" i="10"/>
  <c r="U122" i="10"/>
  <c r="T122" i="10"/>
  <c r="U121" i="10"/>
  <c r="T121" i="10"/>
  <c r="U120" i="10"/>
  <c r="T120" i="10"/>
  <c r="U119" i="10"/>
  <c r="T119" i="10"/>
  <c r="U118" i="10"/>
  <c r="T118" i="10"/>
  <c r="U117" i="10"/>
  <c r="T117" i="10"/>
  <c r="U116" i="10"/>
  <c r="T116" i="10"/>
  <c r="U115" i="10"/>
  <c r="T115" i="10"/>
  <c r="U114" i="10"/>
  <c r="T114" i="10"/>
  <c r="U113" i="10"/>
  <c r="T113" i="10"/>
  <c r="U112" i="10"/>
  <c r="T112" i="10"/>
  <c r="U111" i="10"/>
  <c r="T111" i="10"/>
  <c r="U110" i="10"/>
  <c r="T110" i="10"/>
  <c r="U109" i="10"/>
  <c r="T109" i="10"/>
  <c r="U108" i="10"/>
  <c r="T108" i="10"/>
  <c r="U107" i="10"/>
  <c r="T107" i="10"/>
  <c r="U106" i="10"/>
  <c r="T106" i="10"/>
  <c r="U105" i="10"/>
  <c r="T105" i="10"/>
  <c r="U104" i="10"/>
  <c r="T104" i="10"/>
  <c r="U103" i="10"/>
  <c r="T103" i="10"/>
  <c r="U102" i="10"/>
  <c r="T102" i="10"/>
  <c r="U101" i="10"/>
  <c r="T101" i="10"/>
  <c r="U100" i="10"/>
  <c r="T100" i="10"/>
  <c r="U99" i="10"/>
  <c r="T99" i="10"/>
  <c r="U98" i="10"/>
  <c r="T98" i="10"/>
  <c r="U97" i="10"/>
  <c r="T97" i="10"/>
  <c r="U96" i="10"/>
  <c r="T96" i="10"/>
  <c r="U95" i="10"/>
  <c r="T95" i="10"/>
  <c r="U94" i="10"/>
  <c r="T94" i="10"/>
  <c r="U93" i="10"/>
  <c r="T93" i="10"/>
  <c r="U92" i="10"/>
  <c r="T92" i="10"/>
  <c r="U91" i="10"/>
  <c r="T91" i="10"/>
  <c r="U90" i="10"/>
  <c r="T90" i="10"/>
  <c r="U89" i="10"/>
  <c r="T89" i="10"/>
  <c r="U88" i="10"/>
  <c r="T88" i="10"/>
  <c r="U87" i="10"/>
  <c r="T87" i="10"/>
  <c r="U86" i="10"/>
  <c r="T86" i="10"/>
  <c r="U85" i="10"/>
  <c r="T85" i="10"/>
  <c r="U84" i="10"/>
  <c r="T84" i="10"/>
  <c r="U83" i="10"/>
  <c r="T83" i="10"/>
  <c r="U82" i="10"/>
  <c r="T82" i="10"/>
  <c r="U81" i="10"/>
  <c r="T81" i="10"/>
  <c r="U80" i="10"/>
  <c r="T80" i="10"/>
  <c r="U79" i="10"/>
  <c r="T79" i="10"/>
  <c r="U78" i="10"/>
  <c r="T78" i="10"/>
  <c r="U77" i="10"/>
  <c r="T77" i="10"/>
  <c r="U76" i="10"/>
  <c r="T76" i="10"/>
  <c r="U75" i="10"/>
  <c r="T75" i="10"/>
  <c r="U74" i="10"/>
  <c r="T74" i="10"/>
  <c r="U73" i="10"/>
  <c r="T73" i="10"/>
  <c r="U72" i="10"/>
  <c r="T72" i="10"/>
  <c r="U71" i="10"/>
  <c r="T71" i="10"/>
  <c r="U70" i="10"/>
  <c r="T70" i="10"/>
  <c r="U69" i="10"/>
  <c r="T69" i="10"/>
  <c r="U68" i="10"/>
  <c r="T68" i="10"/>
  <c r="U67" i="10"/>
  <c r="T67" i="10"/>
  <c r="U66" i="10"/>
  <c r="T66" i="10"/>
  <c r="U65" i="10"/>
  <c r="T65" i="10"/>
  <c r="U64" i="10"/>
  <c r="T64" i="10"/>
  <c r="U63" i="10"/>
  <c r="T63" i="10"/>
  <c r="U62" i="10"/>
  <c r="T62" i="10"/>
  <c r="U61" i="10"/>
  <c r="T61" i="10"/>
  <c r="U60" i="10"/>
  <c r="T60" i="10"/>
  <c r="U59" i="10"/>
  <c r="T59" i="10"/>
  <c r="U58" i="10"/>
  <c r="T58" i="10"/>
  <c r="U57" i="10"/>
  <c r="T57" i="10"/>
  <c r="U56" i="10"/>
  <c r="T56" i="10"/>
  <c r="U55" i="10"/>
  <c r="T55" i="10"/>
  <c r="U54" i="10"/>
  <c r="T54" i="10"/>
  <c r="U53" i="10"/>
  <c r="T53" i="10"/>
  <c r="U52" i="10"/>
  <c r="T52" i="10"/>
  <c r="U51" i="10"/>
  <c r="T51" i="10"/>
  <c r="U50" i="10"/>
  <c r="T50" i="10"/>
  <c r="U49" i="10"/>
  <c r="T49" i="10"/>
  <c r="U48" i="10"/>
  <c r="T48" i="10"/>
  <c r="U47" i="10"/>
  <c r="T47" i="10"/>
  <c r="U46" i="10"/>
  <c r="T46" i="10"/>
  <c r="U45" i="10"/>
  <c r="T45" i="10"/>
  <c r="U44" i="10"/>
  <c r="T44" i="10"/>
  <c r="U43" i="10"/>
  <c r="T43" i="10"/>
  <c r="U42" i="10"/>
  <c r="T42" i="10"/>
  <c r="U41" i="10"/>
  <c r="T41" i="10"/>
  <c r="U40" i="10"/>
  <c r="T40" i="10"/>
  <c r="U39" i="10"/>
  <c r="T39" i="10"/>
  <c r="U38" i="10"/>
  <c r="T38" i="10"/>
  <c r="U37" i="10"/>
  <c r="T37" i="10"/>
  <c r="U36" i="10"/>
  <c r="T36" i="10"/>
  <c r="U35" i="10"/>
  <c r="T35" i="10"/>
  <c r="U34" i="10"/>
  <c r="T34" i="10"/>
  <c r="U33" i="10"/>
  <c r="T33" i="10"/>
  <c r="U32" i="10"/>
  <c r="T32" i="10"/>
  <c r="U31" i="10"/>
  <c r="T31" i="10"/>
  <c r="U30" i="10"/>
  <c r="T30" i="10"/>
  <c r="U29" i="10"/>
  <c r="T29" i="10"/>
  <c r="U28" i="10"/>
  <c r="T28" i="10"/>
  <c r="U27" i="10"/>
  <c r="T27" i="10"/>
  <c r="U26" i="10"/>
  <c r="T26" i="10"/>
  <c r="U25" i="10"/>
  <c r="T25" i="10"/>
  <c r="U24" i="10"/>
  <c r="T24" i="10"/>
  <c r="U23" i="10"/>
  <c r="T23" i="10"/>
  <c r="U22" i="10"/>
  <c r="T22" i="10"/>
  <c r="U21" i="10"/>
  <c r="T21" i="10"/>
  <c r="U20" i="10"/>
  <c r="T20" i="10"/>
  <c r="U19" i="10"/>
  <c r="T19" i="10"/>
  <c r="U18" i="10"/>
  <c r="T18" i="10"/>
  <c r="U17" i="10"/>
  <c r="T17" i="10"/>
  <c r="U16" i="10"/>
  <c r="T16" i="10"/>
  <c r="U15" i="10"/>
  <c r="T15" i="10"/>
  <c r="U14" i="10"/>
  <c r="T14" i="10"/>
  <c r="U13" i="10"/>
  <c r="T13" i="10"/>
  <c r="U12" i="10"/>
  <c r="T12" i="10"/>
  <c r="U11" i="10"/>
  <c r="T11" i="10"/>
  <c r="U10" i="10"/>
  <c r="T10" i="10"/>
  <c r="U9" i="10"/>
  <c r="T9" i="10"/>
  <c r="U8" i="10"/>
  <c r="T8" i="10"/>
  <c r="U7" i="10"/>
  <c r="T7" i="10"/>
  <c r="U6" i="10"/>
  <c r="T6" i="10"/>
  <c r="U5" i="10"/>
  <c r="T5" i="10"/>
  <c r="U4" i="10"/>
  <c r="T4" i="10"/>
  <c r="U3" i="10"/>
  <c r="T3" i="10"/>
  <c r="U2" i="10"/>
  <c r="T2" i="10"/>
  <c r="M497" i="9"/>
  <c r="M496" i="9"/>
  <c r="M495" i="9"/>
  <c r="M494" i="9"/>
  <c r="M493" i="9"/>
  <c r="M492" i="9"/>
  <c r="M491" i="9"/>
  <c r="M490" i="9"/>
  <c r="M489" i="9"/>
  <c r="M488" i="9"/>
  <c r="M487" i="9"/>
  <c r="M486" i="9"/>
  <c r="M485" i="9"/>
  <c r="M484" i="9"/>
  <c r="M483" i="9"/>
  <c r="M482" i="9"/>
  <c r="M481" i="9"/>
  <c r="M480" i="9"/>
  <c r="M479" i="9"/>
  <c r="M478" i="9"/>
  <c r="M477" i="9"/>
  <c r="M476" i="9"/>
  <c r="M475" i="9"/>
  <c r="M474" i="9"/>
  <c r="M473" i="9"/>
  <c r="M472" i="9"/>
  <c r="M471" i="9"/>
  <c r="M470" i="9"/>
  <c r="M469" i="9"/>
  <c r="M468" i="9"/>
  <c r="M467" i="9"/>
  <c r="M466" i="9"/>
  <c r="M465" i="9"/>
  <c r="M464" i="9"/>
  <c r="M463" i="9"/>
  <c r="M462" i="9"/>
  <c r="M461" i="9"/>
  <c r="M460" i="9"/>
  <c r="M459" i="9"/>
  <c r="M458" i="9"/>
  <c r="M457" i="9"/>
  <c r="M456" i="9"/>
  <c r="M455" i="9"/>
  <c r="M454" i="9"/>
  <c r="M453" i="9"/>
  <c r="M452" i="9"/>
  <c r="M451" i="9"/>
  <c r="M450" i="9"/>
  <c r="M449" i="9"/>
  <c r="M448" i="9"/>
  <c r="M447" i="9"/>
  <c r="M446" i="9"/>
  <c r="M445" i="9"/>
  <c r="M444" i="9"/>
  <c r="M443" i="9"/>
  <c r="M442" i="9"/>
  <c r="M441" i="9"/>
  <c r="M440" i="9"/>
  <c r="M439" i="9"/>
  <c r="M438" i="9"/>
  <c r="M437" i="9"/>
  <c r="M436" i="9"/>
  <c r="M435" i="9"/>
  <c r="M434" i="9"/>
  <c r="M433" i="9"/>
  <c r="M432" i="9"/>
  <c r="M431" i="9"/>
  <c r="M430" i="9"/>
  <c r="M429" i="9"/>
  <c r="M428" i="9"/>
  <c r="M427" i="9"/>
  <c r="M426" i="9"/>
  <c r="M425" i="9"/>
  <c r="M424" i="9"/>
  <c r="M423" i="9"/>
  <c r="M422" i="9"/>
  <c r="M421" i="9"/>
  <c r="M420" i="9"/>
  <c r="M419" i="9"/>
  <c r="M418" i="9"/>
  <c r="M417" i="9"/>
  <c r="M416" i="9"/>
  <c r="M415" i="9"/>
  <c r="M414" i="9"/>
  <c r="M413" i="9"/>
  <c r="M412" i="9"/>
  <c r="M411" i="9"/>
  <c r="M410" i="9"/>
  <c r="M409" i="9"/>
  <c r="M408" i="9"/>
  <c r="M407" i="9"/>
  <c r="M406" i="9"/>
  <c r="M405" i="9"/>
  <c r="M404" i="9"/>
  <c r="M403" i="9"/>
  <c r="M402" i="9"/>
  <c r="M401" i="9"/>
  <c r="M400" i="9"/>
  <c r="M399" i="9"/>
  <c r="M398" i="9"/>
  <c r="M397" i="9"/>
  <c r="M396" i="9"/>
  <c r="M395" i="9"/>
  <c r="M394" i="9"/>
  <c r="M393" i="9"/>
  <c r="M392" i="9"/>
  <c r="M391" i="9"/>
  <c r="M390" i="9"/>
  <c r="M389" i="9"/>
  <c r="M388" i="9"/>
  <c r="M387" i="9"/>
  <c r="M386" i="9"/>
  <c r="M385" i="9"/>
  <c r="M384" i="9"/>
  <c r="M383" i="9"/>
  <c r="M382" i="9"/>
  <c r="M381" i="9"/>
  <c r="M380" i="9"/>
  <c r="M379" i="9"/>
  <c r="M378" i="9"/>
  <c r="M377" i="9"/>
  <c r="M376" i="9"/>
  <c r="M375" i="9"/>
  <c r="M374" i="9"/>
  <c r="M373" i="9"/>
  <c r="M372" i="9"/>
  <c r="M371" i="9"/>
  <c r="M370" i="9"/>
  <c r="M369" i="9"/>
  <c r="M368" i="9"/>
  <c r="M367" i="9"/>
  <c r="M366" i="9"/>
  <c r="M365" i="9"/>
  <c r="M364" i="9"/>
  <c r="M363" i="9"/>
  <c r="M362" i="9"/>
  <c r="M361" i="9"/>
  <c r="M360" i="9"/>
  <c r="M359" i="9"/>
  <c r="M358" i="9"/>
  <c r="M357" i="9"/>
  <c r="M356" i="9"/>
  <c r="M355" i="9"/>
  <c r="M354" i="9"/>
  <c r="M353" i="9"/>
  <c r="M352" i="9"/>
  <c r="M351" i="9"/>
  <c r="M350" i="9"/>
  <c r="M349" i="9"/>
  <c r="M348" i="9"/>
  <c r="M347" i="9"/>
  <c r="M346" i="9"/>
  <c r="M345" i="9"/>
  <c r="M344" i="9"/>
  <c r="M343" i="9"/>
  <c r="M342" i="9"/>
  <c r="M341" i="9"/>
  <c r="M340" i="9"/>
  <c r="M339" i="9"/>
  <c r="M338" i="9"/>
  <c r="M337" i="9"/>
  <c r="M336" i="9"/>
  <c r="M335" i="9"/>
  <c r="M334" i="9"/>
  <c r="M333" i="9"/>
  <c r="M332" i="9"/>
  <c r="M331" i="9"/>
  <c r="M330" i="9"/>
  <c r="M329" i="9"/>
  <c r="M328" i="9"/>
  <c r="M327" i="9"/>
  <c r="M326" i="9"/>
  <c r="M325" i="9"/>
  <c r="M324" i="9"/>
  <c r="M323" i="9"/>
  <c r="M322" i="9"/>
  <c r="M321" i="9"/>
  <c r="M320" i="9"/>
  <c r="M319" i="9"/>
  <c r="M318" i="9"/>
  <c r="M317" i="9"/>
  <c r="M316" i="9"/>
  <c r="M315" i="9"/>
  <c r="M314" i="9"/>
  <c r="M313" i="9"/>
  <c r="M312" i="9"/>
  <c r="M311" i="9"/>
  <c r="M310" i="9"/>
  <c r="M309" i="9"/>
  <c r="M308" i="9"/>
  <c r="M307" i="9"/>
  <c r="M306" i="9"/>
  <c r="M305" i="9"/>
  <c r="M304" i="9"/>
  <c r="M303" i="9"/>
  <c r="M302" i="9"/>
  <c r="M301" i="9"/>
  <c r="M300" i="9"/>
  <c r="M299" i="9"/>
  <c r="M298" i="9"/>
  <c r="M297" i="9"/>
  <c r="M296" i="9"/>
  <c r="M295" i="9"/>
  <c r="M294" i="9"/>
  <c r="M293" i="9"/>
  <c r="M292" i="9"/>
  <c r="M291" i="9"/>
  <c r="M290" i="9"/>
  <c r="M289" i="9"/>
  <c r="M288" i="9"/>
  <c r="M287" i="9"/>
  <c r="M286" i="9"/>
  <c r="M285" i="9"/>
  <c r="M284" i="9"/>
  <c r="M283" i="9"/>
  <c r="M282" i="9"/>
  <c r="M281" i="9"/>
  <c r="M280" i="9"/>
  <c r="M279" i="9"/>
  <c r="M278" i="9"/>
  <c r="M277" i="9"/>
  <c r="M276" i="9"/>
  <c r="M275" i="9"/>
  <c r="M274" i="9"/>
  <c r="M273" i="9"/>
  <c r="M272" i="9"/>
  <c r="M271" i="9"/>
  <c r="M270" i="9"/>
  <c r="M269" i="9"/>
  <c r="M268" i="9"/>
  <c r="M267" i="9"/>
  <c r="M266" i="9"/>
  <c r="M265" i="9"/>
  <c r="M264" i="9"/>
  <c r="M263" i="9"/>
  <c r="M262" i="9"/>
  <c r="M261" i="9"/>
  <c r="M260" i="9"/>
  <c r="M259" i="9"/>
  <c r="M258" i="9"/>
  <c r="M257" i="9"/>
  <c r="M256" i="9"/>
  <c r="M255" i="9"/>
  <c r="M254" i="9"/>
  <c r="M253" i="9"/>
  <c r="M252" i="9"/>
  <c r="M251" i="9"/>
  <c r="M250" i="9"/>
  <c r="M249" i="9"/>
  <c r="M248" i="9"/>
  <c r="M247" i="9"/>
  <c r="M246" i="9"/>
  <c r="M245" i="9"/>
  <c r="M244" i="9"/>
  <c r="M243" i="9"/>
  <c r="M242" i="9"/>
  <c r="M241" i="9"/>
  <c r="M240" i="9"/>
  <c r="M239" i="9"/>
  <c r="M238" i="9"/>
  <c r="M237" i="9"/>
  <c r="M236" i="9"/>
  <c r="M235" i="9"/>
  <c r="M234" i="9"/>
  <c r="M233" i="9"/>
  <c r="M232" i="9"/>
  <c r="M231" i="9"/>
  <c r="M230" i="9"/>
  <c r="M229" i="9"/>
  <c r="M228" i="9"/>
  <c r="M227" i="9"/>
  <c r="M226" i="9"/>
  <c r="M225" i="9"/>
  <c r="M224" i="9"/>
  <c r="M223" i="9"/>
  <c r="M222" i="9"/>
  <c r="M221" i="9"/>
  <c r="M220" i="9"/>
  <c r="M219" i="9"/>
  <c r="M218" i="9"/>
  <c r="M217" i="9"/>
  <c r="M216" i="9"/>
  <c r="M215" i="9"/>
  <c r="M214" i="9"/>
  <c r="M213" i="9"/>
  <c r="M212" i="9"/>
  <c r="M211" i="9"/>
  <c r="M210" i="9"/>
  <c r="M209" i="9"/>
  <c r="M208" i="9"/>
  <c r="M207" i="9"/>
  <c r="M206" i="9"/>
  <c r="M205" i="9"/>
  <c r="M204" i="9"/>
  <c r="M203" i="9"/>
  <c r="M202" i="9"/>
  <c r="M201" i="9"/>
  <c r="M200" i="9"/>
  <c r="M199" i="9"/>
  <c r="M198" i="9"/>
  <c r="M197" i="9"/>
  <c r="M196" i="9"/>
  <c r="M195" i="9"/>
  <c r="M194" i="9"/>
  <c r="M193" i="9"/>
  <c r="M192" i="9"/>
  <c r="M191" i="9"/>
  <c r="M190" i="9"/>
  <c r="M189" i="9"/>
  <c r="M188" i="9"/>
  <c r="M187" i="9"/>
  <c r="M186" i="9"/>
  <c r="M185" i="9"/>
  <c r="M184" i="9"/>
  <c r="M183" i="9"/>
  <c r="M182" i="9"/>
  <c r="M181" i="9"/>
  <c r="M180" i="9"/>
  <c r="M179" i="9"/>
  <c r="M178" i="9"/>
  <c r="M177" i="9"/>
  <c r="M176" i="9"/>
  <c r="M175" i="9"/>
  <c r="M174" i="9"/>
  <c r="M173" i="9"/>
  <c r="M172" i="9"/>
  <c r="M171" i="9"/>
  <c r="M170" i="9"/>
  <c r="M169" i="9"/>
  <c r="M168" i="9"/>
  <c r="M167" i="9"/>
  <c r="M166" i="9"/>
  <c r="M165" i="9"/>
  <c r="M164" i="9"/>
  <c r="M163" i="9"/>
  <c r="M162" i="9"/>
  <c r="M161" i="9"/>
  <c r="M160" i="9"/>
  <c r="M159" i="9"/>
  <c r="M158" i="9"/>
  <c r="M157" i="9"/>
  <c r="M156" i="9"/>
  <c r="M155" i="9"/>
  <c r="M154" i="9"/>
  <c r="M153" i="9"/>
  <c r="M152" i="9"/>
  <c r="M151" i="9"/>
  <c r="M150" i="9"/>
  <c r="M149" i="9"/>
  <c r="M148" i="9"/>
  <c r="M147" i="9"/>
  <c r="M146" i="9"/>
  <c r="M145" i="9"/>
  <c r="M144" i="9"/>
  <c r="M143" i="9"/>
  <c r="M142" i="9"/>
  <c r="M141" i="9"/>
  <c r="M140" i="9"/>
  <c r="M139" i="9"/>
  <c r="M138" i="9"/>
  <c r="M137" i="9"/>
  <c r="M136" i="9"/>
  <c r="M135" i="9"/>
  <c r="M134" i="9"/>
  <c r="M133" i="9"/>
  <c r="M132" i="9"/>
  <c r="M131" i="9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M2" i="9"/>
  <c r="H497" i="7"/>
  <c r="I497" i="7" s="1"/>
  <c r="H496" i="7"/>
  <c r="I496" i="7" s="1"/>
  <c r="H495" i="7"/>
  <c r="I495" i="7" s="1"/>
  <c r="H494" i="7"/>
  <c r="I494" i="7" s="1"/>
  <c r="H493" i="7"/>
  <c r="I493" i="7" s="1"/>
  <c r="I492" i="7"/>
  <c r="H492" i="7"/>
  <c r="H491" i="7"/>
  <c r="I491" i="7" s="1"/>
  <c r="H490" i="7"/>
  <c r="I490" i="7" s="1"/>
  <c r="H489" i="7"/>
  <c r="I489" i="7" s="1"/>
  <c r="H488" i="7"/>
  <c r="I488" i="7" s="1"/>
  <c r="H487" i="7"/>
  <c r="I487" i="7" s="1"/>
  <c r="H486" i="7"/>
  <c r="I486" i="7" s="1"/>
  <c r="H485" i="7"/>
  <c r="I485" i="7" s="1"/>
  <c r="I484" i="7"/>
  <c r="H484" i="7"/>
  <c r="H483" i="7"/>
  <c r="I483" i="7" s="1"/>
  <c r="H482" i="7"/>
  <c r="I482" i="7" s="1"/>
  <c r="H481" i="7"/>
  <c r="I481" i="7" s="1"/>
  <c r="H480" i="7"/>
  <c r="I480" i="7" s="1"/>
  <c r="H479" i="7"/>
  <c r="I479" i="7" s="1"/>
  <c r="H478" i="7"/>
  <c r="I478" i="7" s="1"/>
  <c r="H477" i="7"/>
  <c r="I477" i="7" s="1"/>
  <c r="I476" i="7"/>
  <c r="H476" i="7"/>
  <c r="H475" i="7"/>
  <c r="I475" i="7" s="1"/>
  <c r="H474" i="7"/>
  <c r="I474" i="7" s="1"/>
  <c r="H473" i="7"/>
  <c r="I473" i="7" s="1"/>
  <c r="H472" i="7"/>
  <c r="I472" i="7" s="1"/>
  <c r="H471" i="7"/>
  <c r="I471" i="7" s="1"/>
  <c r="H470" i="7"/>
  <c r="I470" i="7" s="1"/>
  <c r="H469" i="7"/>
  <c r="I469" i="7" s="1"/>
  <c r="I468" i="7"/>
  <c r="H468" i="7"/>
  <c r="H467" i="7"/>
  <c r="I467" i="7" s="1"/>
  <c r="H466" i="7"/>
  <c r="I466" i="7" s="1"/>
  <c r="H465" i="7"/>
  <c r="I465" i="7" s="1"/>
  <c r="H464" i="7"/>
  <c r="I464" i="7" s="1"/>
  <c r="H463" i="7"/>
  <c r="I463" i="7" s="1"/>
  <c r="H462" i="7"/>
  <c r="I462" i="7" s="1"/>
  <c r="H461" i="7"/>
  <c r="I461" i="7" s="1"/>
  <c r="I460" i="7"/>
  <c r="H460" i="7"/>
  <c r="H459" i="7"/>
  <c r="I459" i="7" s="1"/>
  <c r="H458" i="7"/>
  <c r="I458" i="7" s="1"/>
  <c r="H457" i="7"/>
  <c r="I457" i="7" s="1"/>
  <c r="H456" i="7"/>
  <c r="I456" i="7" s="1"/>
  <c r="H455" i="7"/>
  <c r="I455" i="7" s="1"/>
  <c r="H454" i="7"/>
  <c r="I454" i="7" s="1"/>
  <c r="H453" i="7"/>
  <c r="I453" i="7" s="1"/>
  <c r="I452" i="7"/>
  <c r="H452" i="7"/>
  <c r="H451" i="7"/>
  <c r="I451" i="7" s="1"/>
  <c r="H450" i="7"/>
  <c r="I450" i="7" s="1"/>
  <c r="H449" i="7"/>
  <c r="I449" i="7" s="1"/>
  <c r="H448" i="7"/>
  <c r="I448" i="7" s="1"/>
  <c r="H447" i="7"/>
  <c r="I447" i="7" s="1"/>
  <c r="H446" i="7"/>
  <c r="I446" i="7" s="1"/>
  <c r="H445" i="7"/>
  <c r="I445" i="7" s="1"/>
  <c r="I444" i="7"/>
  <c r="H444" i="7"/>
  <c r="H443" i="7"/>
  <c r="I443" i="7" s="1"/>
  <c r="H442" i="7"/>
  <c r="I442" i="7" s="1"/>
  <c r="H441" i="7"/>
  <c r="I441" i="7" s="1"/>
  <c r="H440" i="7"/>
  <c r="I440" i="7" s="1"/>
  <c r="H439" i="7"/>
  <c r="I439" i="7" s="1"/>
  <c r="H438" i="7"/>
  <c r="I438" i="7" s="1"/>
  <c r="H437" i="7"/>
  <c r="I437" i="7" s="1"/>
  <c r="I436" i="7"/>
  <c r="H436" i="7"/>
  <c r="H435" i="7"/>
  <c r="I435" i="7" s="1"/>
  <c r="H434" i="7"/>
  <c r="I434" i="7" s="1"/>
  <c r="H433" i="7"/>
  <c r="I433" i="7" s="1"/>
  <c r="H432" i="7"/>
  <c r="I432" i="7" s="1"/>
  <c r="H431" i="7"/>
  <c r="I431" i="7" s="1"/>
  <c r="H430" i="7"/>
  <c r="I430" i="7" s="1"/>
  <c r="H429" i="7"/>
  <c r="I429" i="7" s="1"/>
  <c r="I428" i="7"/>
  <c r="H428" i="7"/>
  <c r="H427" i="7"/>
  <c r="I427" i="7" s="1"/>
  <c r="H426" i="7"/>
  <c r="I426" i="7" s="1"/>
  <c r="H425" i="7"/>
  <c r="I425" i="7" s="1"/>
  <c r="H424" i="7"/>
  <c r="I424" i="7" s="1"/>
  <c r="H423" i="7"/>
  <c r="I423" i="7" s="1"/>
  <c r="H422" i="7"/>
  <c r="I422" i="7" s="1"/>
  <c r="H421" i="7"/>
  <c r="I421" i="7" s="1"/>
  <c r="I420" i="7"/>
  <c r="H420" i="7"/>
  <c r="H419" i="7"/>
  <c r="I419" i="7" s="1"/>
  <c r="H418" i="7"/>
  <c r="I418" i="7" s="1"/>
  <c r="H417" i="7"/>
  <c r="I417" i="7" s="1"/>
  <c r="H416" i="7"/>
  <c r="I416" i="7" s="1"/>
  <c r="H415" i="7"/>
  <c r="I415" i="7" s="1"/>
  <c r="H414" i="7"/>
  <c r="I414" i="7" s="1"/>
  <c r="H413" i="7"/>
  <c r="I413" i="7" s="1"/>
  <c r="I412" i="7"/>
  <c r="H412" i="7"/>
  <c r="H411" i="7"/>
  <c r="I411" i="7" s="1"/>
  <c r="H410" i="7"/>
  <c r="I410" i="7" s="1"/>
  <c r="H409" i="7"/>
  <c r="I409" i="7" s="1"/>
  <c r="H408" i="7"/>
  <c r="I408" i="7" s="1"/>
  <c r="H407" i="7"/>
  <c r="I407" i="7" s="1"/>
  <c r="H406" i="7"/>
  <c r="I406" i="7" s="1"/>
  <c r="H405" i="7"/>
  <c r="I405" i="7" s="1"/>
  <c r="I404" i="7"/>
  <c r="H404" i="7"/>
  <c r="H403" i="7"/>
  <c r="I403" i="7" s="1"/>
  <c r="H402" i="7"/>
  <c r="I402" i="7" s="1"/>
  <c r="H401" i="7"/>
  <c r="I401" i="7" s="1"/>
  <c r="H400" i="7"/>
  <c r="I400" i="7" s="1"/>
  <c r="H399" i="7"/>
  <c r="I399" i="7" s="1"/>
  <c r="H398" i="7"/>
  <c r="I398" i="7" s="1"/>
  <c r="H397" i="7"/>
  <c r="I397" i="7" s="1"/>
  <c r="I396" i="7"/>
  <c r="H396" i="7"/>
  <c r="H395" i="7"/>
  <c r="I395" i="7" s="1"/>
  <c r="H394" i="7"/>
  <c r="I394" i="7" s="1"/>
  <c r="H393" i="7"/>
  <c r="I393" i="7" s="1"/>
  <c r="H392" i="7"/>
  <c r="I392" i="7" s="1"/>
  <c r="H391" i="7"/>
  <c r="I391" i="7" s="1"/>
  <c r="H390" i="7"/>
  <c r="I390" i="7" s="1"/>
  <c r="H389" i="7"/>
  <c r="I389" i="7" s="1"/>
  <c r="I388" i="7"/>
  <c r="H388" i="7"/>
  <c r="H387" i="7"/>
  <c r="I387" i="7" s="1"/>
  <c r="H386" i="7"/>
  <c r="I386" i="7" s="1"/>
  <c r="H385" i="7"/>
  <c r="I385" i="7" s="1"/>
  <c r="H384" i="7"/>
  <c r="I384" i="7" s="1"/>
  <c r="H383" i="7"/>
  <c r="I383" i="7" s="1"/>
  <c r="H382" i="7"/>
  <c r="I382" i="7" s="1"/>
  <c r="H381" i="7"/>
  <c r="I381" i="7" s="1"/>
  <c r="I380" i="7"/>
  <c r="H380" i="7"/>
  <c r="H379" i="7"/>
  <c r="I379" i="7" s="1"/>
  <c r="H378" i="7"/>
  <c r="I378" i="7" s="1"/>
  <c r="H377" i="7"/>
  <c r="I377" i="7" s="1"/>
  <c r="H376" i="7"/>
  <c r="I376" i="7" s="1"/>
  <c r="H375" i="7"/>
  <c r="I375" i="7" s="1"/>
  <c r="H374" i="7"/>
  <c r="I374" i="7" s="1"/>
  <c r="H373" i="7"/>
  <c r="I373" i="7" s="1"/>
  <c r="I372" i="7"/>
  <c r="H372" i="7"/>
  <c r="H371" i="7"/>
  <c r="I371" i="7" s="1"/>
  <c r="H370" i="7"/>
  <c r="I370" i="7" s="1"/>
  <c r="H369" i="7"/>
  <c r="I369" i="7" s="1"/>
  <c r="H368" i="7"/>
  <c r="I368" i="7" s="1"/>
  <c r="H367" i="7"/>
  <c r="I367" i="7" s="1"/>
  <c r="H366" i="7"/>
  <c r="I366" i="7" s="1"/>
  <c r="H365" i="7"/>
  <c r="I365" i="7" s="1"/>
  <c r="I364" i="7"/>
  <c r="H364" i="7"/>
  <c r="H363" i="7"/>
  <c r="I363" i="7" s="1"/>
  <c r="H362" i="7"/>
  <c r="I362" i="7" s="1"/>
  <c r="H361" i="7"/>
  <c r="I361" i="7" s="1"/>
  <c r="H360" i="7"/>
  <c r="I360" i="7" s="1"/>
  <c r="H359" i="7"/>
  <c r="I359" i="7" s="1"/>
  <c r="H358" i="7"/>
  <c r="I358" i="7" s="1"/>
  <c r="H357" i="7"/>
  <c r="I357" i="7" s="1"/>
  <c r="I356" i="7"/>
  <c r="H356" i="7"/>
  <c r="H355" i="7"/>
  <c r="I355" i="7" s="1"/>
  <c r="H354" i="7"/>
  <c r="I354" i="7" s="1"/>
  <c r="H353" i="7"/>
  <c r="I353" i="7" s="1"/>
  <c r="H352" i="7"/>
  <c r="I352" i="7" s="1"/>
  <c r="H351" i="7"/>
  <c r="I351" i="7" s="1"/>
  <c r="H350" i="7"/>
  <c r="I350" i="7" s="1"/>
  <c r="H349" i="7"/>
  <c r="I349" i="7" s="1"/>
  <c r="I348" i="7"/>
  <c r="H348" i="7"/>
  <c r="H347" i="7"/>
  <c r="I347" i="7" s="1"/>
  <c r="H346" i="7"/>
  <c r="I346" i="7" s="1"/>
  <c r="H345" i="7"/>
  <c r="I345" i="7" s="1"/>
  <c r="H344" i="7"/>
  <c r="I344" i="7" s="1"/>
  <c r="H343" i="7"/>
  <c r="I343" i="7" s="1"/>
  <c r="H342" i="7"/>
  <c r="I342" i="7" s="1"/>
  <c r="H341" i="7"/>
  <c r="I341" i="7" s="1"/>
  <c r="I340" i="7"/>
  <c r="H340" i="7"/>
  <c r="H339" i="7"/>
  <c r="I339" i="7" s="1"/>
  <c r="H338" i="7"/>
  <c r="I338" i="7" s="1"/>
  <c r="H337" i="7"/>
  <c r="I337" i="7" s="1"/>
  <c r="H336" i="7"/>
  <c r="I336" i="7" s="1"/>
  <c r="H335" i="7"/>
  <c r="I335" i="7" s="1"/>
  <c r="H334" i="7"/>
  <c r="I334" i="7" s="1"/>
  <c r="H333" i="7"/>
  <c r="I333" i="7" s="1"/>
  <c r="I332" i="7"/>
  <c r="H332" i="7"/>
  <c r="H331" i="7"/>
  <c r="I331" i="7" s="1"/>
  <c r="H330" i="7"/>
  <c r="I330" i="7" s="1"/>
  <c r="H329" i="7"/>
  <c r="I329" i="7" s="1"/>
  <c r="H328" i="7"/>
  <c r="I328" i="7" s="1"/>
  <c r="I327" i="7"/>
  <c r="H327" i="7"/>
  <c r="H326" i="7"/>
  <c r="I326" i="7" s="1"/>
  <c r="I325" i="7"/>
  <c r="H325" i="7"/>
  <c r="H324" i="7"/>
  <c r="I324" i="7" s="1"/>
  <c r="I323" i="7"/>
  <c r="H323" i="7"/>
  <c r="H322" i="7"/>
  <c r="I322" i="7" s="1"/>
  <c r="I321" i="7"/>
  <c r="H321" i="7"/>
  <c r="H320" i="7"/>
  <c r="I320" i="7" s="1"/>
  <c r="I319" i="7"/>
  <c r="H319" i="7"/>
  <c r="H318" i="7"/>
  <c r="I318" i="7" s="1"/>
  <c r="I317" i="7"/>
  <c r="H317" i="7"/>
  <c r="H316" i="7"/>
  <c r="I316" i="7" s="1"/>
  <c r="I315" i="7"/>
  <c r="H315" i="7"/>
  <c r="H314" i="7"/>
  <c r="I314" i="7" s="1"/>
  <c r="I313" i="7"/>
  <c r="H313" i="7"/>
  <c r="H312" i="7"/>
  <c r="I312" i="7" s="1"/>
  <c r="I311" i="7"/>
  <c r="H311" i="7"/>
  <c r="H310" i="7"/>
  <c r="I310" i="7" s="1"/>
  <c r="I309" i="7"/>
  <c r="H309" i="7"/>
  <c r="H308" i="7"/>
  <c r="I308" i="7" s="1"/>
  <c r="I307" i="7"/>
  <c r="H307" i="7"/>
  <c r="H306" i="7"/>
  <c r="I306" i="7" s="1"/>
  <c r="I305" i="7"/>
  <c r="H305" i="7"/>
  <c r="H304" i="7"/>
  <c r="I304" i="7" s="1"/>
  <c r="I303" i="7"/>
  <c r="H303" i="7"/>
  <c r="H302" i="7"/>
  <c r="I302" i="7" s="1"/>
  <c r="I301" i="7"/>
  <c r="H301" i="7"/>
  <c r="H300" i="7"/>
  <c r="I300" i="7" s="1"/>
  <c r="I299" i="7"/>
  <c r="H299" i="7"/>
  <c r="H298" i="7"/>
  <c r="I298" i="7" s="1"/>
  <c r="I297" i="7"/>
  <c r="H297" i="7"/>
  <c r="H296" i="7"/>
  <c r="I296" i="7" s="1"/>
  <c r="I295" i="7"/>
  <c r="H295" i="7"/>
  <c r="H294" i="7"/>
  <c r="I294" i="7" s="1"/>
  <c r="I293" i="7"/>
  <c r="H293" i="7"/>
  <c r="H292" i="7"/>
  <c r="I292" i="7" s="1"/>
  <c r="I291" i="7"/>
  <c r="H291" i="7"/>
  <c r="H290" i="7"/>
  <c r="I290" i="7" s="1"/>
  <c r="I289" i="7"/>
  <c r="H289" i="7"/>
  <c r="H288" i="7"/>
  <c r="I288" i="7" s="1"/>
  <c r="I287" i="7"/>
  <c r="H287" i="7"/>
  <c r="H286" i="7"/>
  <c r="I286" i="7" s="1"/>
  <c r="I285" i="7"/>
  <c r="H285" i="7"/>
  <c r="H284" i="7"/>
  <c r="I284" i="7" s="1"/>
  <c r="I283" i="7"/>
  <c r="H283" i="7"/>
  <c r="H282" i="7"/>
  <c r="I282" i="7" s="1"/>
  <c r="I281" i="7"/>
  <c r="H281" i="7"/>
  <c r="H280" i="7"/>
  <c r="I280" i="7" s="1"/>
  <c r="I279" i="7"/>
  <c r="H279" i="7"/>
  <c r="H278" i="7"/>
  <c r="I278" i="7" s="1"/>
  <c r="I277" i="7"/>
  <c r="H277" i="7"/>
  <c r="H276" i="7"/>
  <c r="I276" i="7" s="1"/>
  <c r="I275" i="7"/>
  <c r="H275" i="7"/>
  <c r="H274" i="7"/>
  <c r="I274" i="7" s="1"/>
  <c r="I273" i="7"/>
  <c r="H273" i="7"/>
  <c r="H272" i="7"/>
  <c r="I272" i="7" s="1"/>
  <c r="I271" i="7"/>
  <c r="H271" i="7"/>
  <c r="H270" i="7"/>
  <c r="I270" i="7" s="1"/>
  <c r="I269" i="7"/>
  <c r="H269" i="7"/>
  <c r="H268" i="7"/>
  <c r="I268" i="7" s="1"/>
  <c r="I267" i="7"/>
  <c r="H267" i="7"/>
  <c r="H266" i="7"/>
  <c r="I266" i="7" s="1"/>
  <c r="I265" i="7"/>
  <c r="H265" i="7"/>
  <c r="H264" i="7"/>
  <c r="I264" i="7" s="1"/>
  <c r="I263" i="7"/>
  <c r="H263" i="7"/>
  <c r="H262" i="7"/>
  <c r="I262" i="7" s="1"/>
  <c r="I261" i="7"/>
  <c r="H261" i="7"/>
  <c r="H260" i="7"/>
  <c r="I260" i="7" s="1"/>
  <c r="I259" i="7"/>
  <c r="H259" i="7"/>
  <c r="H258" i="7"/>
  <c r="I258" i="7" s="1"/>
  <c r="I257" i="7"/>
  <c r="H257" i="7"/>
  <c r="H256" i="7"/>
  <c r="I256" i="7" s="1"/>
  <c r="I255" i="7"/>
  <c r="H255" i="7"/>
  <c r="H254" i="7"/>
  <c r="I254" i="7" s="1"/>
  <c r="I253" i="7"/>
  <c r="H253" i="7"/>
  <c r="H252" i="7"/>
  <c r="I252" i="7" s="1"/>
  <c r="I251" i="7"/>
  <c r="H251" i="7"/>
  <c r="H250" i="7"/>
  <c r="I250" i="7" s="1"/>
  <c r="I249" i="7"/>
  <c r="H249" i="7"/>
  <c r="H248" i="7"/>
  <c r="I248" i="7" s="1"/>
  <c r="I247" i="7"/>
  <c r="H247" i="7"/>
  <c r="H246" i="7"/>
  <c r="I246" i="7" s="1"/>
  <c r="I245" i="7"/>
  <c r="H245" i="7"/>
  <c r="H244" i="7"/>
  <c r="I244" i="7" s="1"/>
  <c r="I243" i="7"/>
  <c r="H243" i="7"/>
  <c r="H242" i="7"/>
  <c r="I242" i="7" s="1"/>
  <c r="I241" i="7"/>
  <c r="H241" i="7"/>
  <c r="H240" i="7"/>
  <c r="I240" i="7" s="1"/>
  <c r="I239" i="7"/>
  <c r="H239" i="7"/>
  <c r="H238" i="7"/>
  <c r="I238" i="7" s="1"/>
  <c r="I237" i="7"/>
  <c r="H237" i="7"/>
  <c r="H236" i="7"/>
  <c r="I236" i="7" s="1"/>
  <c r="I235" i="7"/>
  <c r="H235" i="7"/>
  <c r="H234" i="7"/>
  <c r="I234" i="7" s="1"/>
  <c r="I233" i="7"/>
  <c r="H233" i="7"/>
  <c r="H232" i="7"/>
  <c r="I232" i="7" s="1"/>
  <c r="I231" i="7"/>
  <c r="H231" i="7"/>
  <c r="H230" i="7"/>
  <c r="I230" i="7" s="1"/>
  <c r="I229" i="7"/>
  <c r="H229" i="7"/>
  <c r="H228" i="7"/>
  <c r="I228" i="7" s="1"/>
  <c r="I227" i="7"/>
  <c r="H227" i="7"/>
  <c r="H226" i="7"/>
  <c r="I226" i="7" s="1"/>
  <c r="I225" i="7"/>
  <c r="H225" i="7"/>
  <c r="H224" i="7"/>
  <c r="I224" i="7" s="1"/>
  <c r="I223" i="7"/>
  <c r="H223" i="7"/>
  <c r="H222" i="7"/>
  <c r="I222" i="7" s="1"/>
  <c r="I221" i="7"/>
  <c r="H221" i="7"/>
  <c r="H220" i="7"/>
  <c r="I220" i="7" s="1"/>
  <c r="I219" i="7"/>
  <c r="H219" i="7"/>
  <c r="H218" i="7"/>
  <c r="I218" i="7" s="1"/>
  <c r="I217" i="7"/>
  <c r="H217" i="7"/>
  <c r="H216" i="7"/>
  <c r="I216" i="7" s="1"/>
  <c r="I215" i="7"/>
  <c r="H215" i="7"/>
  <c r="H214" i="7"/>
  <c r="I214" i="7" s="1"/>
  <c r="I213" i="7"/>
  <c r="H213" i="7"/>
  <c r="H212" i="7"/>
  <c r="I212" i="7" s="1"/>
  <c r="I211" i="7"/>
  <c r="H211" i="7"/>
  <c r="H210" i="7"/>
  <c r="I210" i="7" s="1"/>
  <c r="I209" i="7"/>
  <c r="H209" i="7"/>
  <c r="H208" i="7"/>
  <c r="I208" i="7" s="1"/>
  <c r="I207" i="7"/>
  <c r="H207" i="7"/>
  <c r="H206" i="7"/>
  <c r="I206" i="7" s="1"/>
  <c r="I205" i="7"/>
  <c r="H205" i="7"/>
  <c r="H204" i="7"/>
  <c r="I204" i="7" s="1"/>
  <c r="I203" i="7"/>
  <c r="H203" i="7"/>
  <c r="H202" i="7"/>
  <c r="I202" i="7" s="1"/>
  <c r="I201" i="7"/>
  <c r="H201" i="7"/>
  <c r="I200" i="7"/>
  <c r="H200" i="7"/>
  <c r="I199" i="7"/>
  <c r="H199" i="7"/>
  <c r="I198" i="7"/>
  <c r="H198" i="7"/>
  <c r="I197" i="7"/>
  <c r="H197" i="7"/>
  <c r="I196" i="7"/>
  <c r="H196" i="7"/>
  <c r="I195" i="7"/>
  <c r="H195" i="7"/>
  <c r="I194" i="7"/>
  <c r="H194" i="7"/>
  <c r="I193" i="7"/>
  <c r="H193" i="7"/>
  <c r="I192" i="7"/>
  <c r="H192" i="7"/>
  <c r="I191" i="7"/>
  <c r="H191" i="7"/>
  <c r="I190" i="7"/>
  <c r="H190" i="7"/>
  <c r="I189" i="7"/>
  <c r="H189" i="7"/>
  <c r="I188" i="7"/>
  <c r="H188" i="7"/>
  <c r="I187" i="7"/>
  <c r="H187" i="7"/>
  <c r="I186" i="7"/>
  <c r="H186" i="7"/>
  <c r="I185" i="7"/>
  <c r="H185" i="7"/>
  <c r="I184" i="7"/>
  <c r="H184" i="7"/>
  <c r="I183" i="7"/>
  <c r="H183" i="7"/>
  <c r="I182" i="7"/>
  <c r="H182" i="7"/>
  <c r="I181" i="7"/>
  <c r="H181" i="7"/>
  <c r="I180" i="7"/>
  <c r="H180" i="7"/>
  <c r="I179" i="7"/>
  <c r="H179" i="7"/>
  <c r="I178" i="7"/>
  <c r="H178" i="7"/>
  <c r="I177" i="7"/>
  <c r="H177" i="7"/>
  <c r="I176" i="7"/>
  <c r="H176" i="7"/>
  <c r="I175" i="7"/>
  <c r="H175" i="7"/>
  <c r="I174" i="7"/>
  <c r="H174" i="7"/>
  <c r="I173" i="7"/>
  <c r="H173" i="7"/>
  <c r="I172" i="7"/>
  <c r="H172" i="7"/>
  <c r="I171" i="7"/>
  <c r="H171" i="7"/>
  <c r="I170" i="7"/>
  <c r="H170" i="7"/>
  <c r="I169" i="7"/>
  <c r="H169" i="7"/>
  <c r="I168" i="7"/>
  <c r="H168" i="7"/>
  <c r="I167" i="7"/>
  <c r="H167" i="7"/>
  <c r="I166" i="7"/>
  <c r="H166" i="7"/>
  <c r="I165" i="7"/>
  <c r="H165" i="7"/>
  <c r="I164" i="7"/>
  <c r="H164" i="7"/>
  <c r="I163" i="7"/>
  <c r="H163" i="7"/>
  <c r="I162" i="7"/>
  <c r="H162" i="7"/>
  <c r="I161" i="7"/>
  <c r="H161" i="7"/>
  <c r="I160" i="7"/>
  <c r="H160" i="7"/>
  <c r="I159" i="7"/>
  <c r="H159" i="7"/>
  <c r="I158" i="7"/>
  <c r="H158" i="7"/>
  <c r="I157" i="7"/>
  <c r="H157" i="7"/>
  <c r="I156" i="7"/>
  <c r="H156" i="7"/>
  <c r="I155" i="7"/>
  <c r="H155" i="7"/>
  <c r="I154" i="7"/>
  <c r="H154" i="7"/>
  <c r="I153" i="7"/>
  <c r="H153" i="7"/>
  <c r="I152" i="7"/>
  <c r="H152" i="7"/>
  <c r="I151" i="7"/>
  <c r="H151" i="7"/>
  <c r="I150" i="7"/>
  <c r="H150" i="7"/>
  <c r="I149" i="7"/>
  <c r="H149" i="7"/>
  <c r="I148" i="7"/>
  <c r="H148" i="7"/>
  <c r="I147" i="7"/>
  <c r="H147" i="7"/>
  <c r="I146" i="7"/>
  <c r="H146" i="7"/>
  <c r="I145" i="7"/>
  <c r="H145" i="7"/>
  <c r="I144" i="7"/>
  <c r="H144" i="7"/>
  <c r="I143" i="7"/>
  <c r="H143" i="7"/>
  <c r="I142" i="7"/>
  <c r="H142" i="7"/>
  <c r="I141" i="7"/>
  <c r="H141" i="7"/>
  <c r="I140" i="7"/>
  <c r="H140" i="7"/>
  <c r="I139" i="7"/>
  <c r="H139" i="7"/>
  <c r="I138" i="7"/>
  <c r="H138" i="7"/>
  <c r="I137" i="7"/>
  <c r="H137" i="7"/>
  <c r="I136" i="7"/>
  <c r="H136" i="7"/>
  <c r="I135" i="7"/>
  <c r="H135" i="7"/>
  <c r="I134" i="7"/>
  <c r="H134" i="7"/>
  <c r="I133" i="7"/>
  <c r="H133" i="7"/>
  <c r="I132" i="7"/>
  <c r="H132" i="7"/>
  <c r="I131" i="7"/>
  <c r="H131" i="7"/>
  <c r="I130" i="7"/>
  <c r="H130" i="7"/>
  <c r="I129" i="7"/>
  <c r="H129" i="7"/>
  <c r="I128" i="7"/>
  <c r="H128" i="7"/>
  <c r="I127" i="7"/>
  <c r="H127" i="7"/>
  <c r="I126" i="7"/>
  <c r="H126" i="7"/>
  <c r="I125" i="7"/>
  <c r="H125" i="7"/>
  <c r="I124" i="7"/>
  <c r="H124" i="7"/>
  <c r="I123" i="7"/>
  <c r="H123" i="7"/>
  <c r="I122" i="7"/>
  <c r="H122" i="7"/>
  <c r="I121" i="7"/>
  <c r="H121" i="7"/>
  <c r="I120" i="7"/>
  <c r="H120" i="7"/>
  <c r="I119" i="7"/>
  <c r="H119" i="7"/>
  <c r="I118" i="7"/>
  <c r="H118" i="7"/>
  <c r="I117" i="7"/>
  <c r="H117" i="7"/>
  <c r="I116" i="7"/>
  <c r="H116" i="7"/>
  <c r="I115" i="7"/>
  <c r="H115" i="7"/>
  <c r="I114" i="7"/>
  <c r="H114" i="7"/>
  <c r="I113" i="7"/>
  <c r="H113" i="7"/>
  <c r="I112" i="7"/>
  <c r="H112" i="7"/>
  <c r="I111" i="7"/>
  <c r="H111" i="7"/>
  <c r="I110" i="7"/>
  <c r="H110" i="7"/>
  <c r="I109" i="7"/>
  <c r="H109" i="7"/>
  <c r="I108" i="7"/>
  <c r="H108" i="7"/>
  <c r="I107" i="7"/>
  <c r="H107" i="7"/>
  <c r="I106" i="7"/>
  <c r="H106" i="7"/>
  <c r="I105" i="7"/>
  <c r="H105" i="7"/>
  <c r="I104" i="7"/>
  <c r="H104" i="7"/>
  <c r="I103" i="7"/>
  <c r="H103" i="7"/>
  <c r="I102" i="7"/>
  <c r="H102" i="7"/>
  <c r="I101" i="7"/>
  <c r="H101" i="7"/>
  <c r="I100" i="7"/>
  <c r="H100" i="7"/>
  <c r="I99" i="7"/>
  <c r="H99" i="7"/>
  <c r="I98" i="7"/>
  <c r="H98" i="7"/>
  <c r="I97" i="7"/>
  <c r="H97" i="7"/>
  <c r="I96" i="7"/>
  <c r="H96" i="7"/>
  <c r="I95" i="7"/>
  <c r="H95" i="7"/>
  <c r="I94" i="7"/>
  <c r="H94" i="7"/>
  <c r="I93" i="7"/>
  <c r="H93" i="7"/>
  <c r="I92" i="7"/>
  <c r="H92" i="7"/>
  <c r="I91" i="7"/>
  <c r="H91" i="7"/>
  <c r="I90" i="7"/>
  <c r="H90" i="7"/>
  <c r="I89" i="7"/>
  <c r="H89" i="7"/>
  <c r="I88" i="7"/>
  <c r="H88" i="7"/>
  <c r="I87" i="7"/>
  <c r="H87" i="7"/>
  <c r="I86" i="7"/>
  <c r="H86" i="7"/>
  <c r="I85" i="7"/>
  <c r="H85" i="7"/>
  <c r="I84" i="7"/>
  <c r="H84" i="7"/>
  <c r="I83" i="7"/>
  <c r="H83" i="7"/>
  <c r="I82" i="7"/>
  <c r="H82" i="7"/>
  <c r="I81" i="7"/>
  <c r="H81" i="7"/>
  <c r="I80" i="7"/>
  <c r="H80" i="7"/>
  <c r="I79" i="7"/>
  <c r="H79" i="7"/>
  <c r="I78" i="7"/>
  <c r="H78" i="7"/>
  <c r="I77" i="7"/>
  <c r="H77" i="7"/>
  <c r="I76" i="7"/>
  <c r="H76" i="7"/>
  <c r="I75" i="7"/>
  <c r="H75" i="7"/>
  <c r="I74" i="7"/>
  <c r="H74" i="7"/>
  <c r="I73" i="7"/>
  <c r="H73" i="7"/>
  <c r="I72" i="7"/>
  <c r="H72" i="7"/>
  <c r="I71" i="7"/>
  <c r="H71" i="7"/>
  <c r="I70" i="7"/>
  <c r="H70" i="7"/>
  <c r="I69" i="7"/>
  <c r="H69" i="7"/>
  <c r="I68" i="7"/>
  <c r="H68" i="7"/>
  <c r="I67" i="7"/>
  <c r="H67" i="7"/>
  <c r="I66" i="7"/>
  <c r="H66" i="7"/>
  <c r="I65" i="7"/>
  <c r="H65" i="7"/>
  <c r="I64" i="7"/>
  <c r="H64" i="7"/>
  <c r="I63" i="7"/>
  <c r="H63" i="7"/>
  <c r="I62" i="7"/>
  <c r="H62" i="7"/>
  <c r="I61" i="7"/>
  <c r="H61" i="7"/>
  <c r="I60" i="7"/>
  <c r="H60" i="7"/>
  <c r="I59" i="7"/>
  <c r="H59" i="7"/>
  <c r="I58" i="7"/>
  <c r="H58" i="7"/>
  <c r="I57" i="7"/>
  <c r="H57" i="7"/>
  <c r="I56" i="7"/>
  <c r="H56" i="7"/>
  <c r="I55" i="7"/>
  <c r="H55" i="7"/>
  <c r="I54" i="7"/>
  <c r="H54" i="7"/>
  <c r="I53" i="7"/>
  <c r="H53" i="7"/>
  <c r="I52" i="7"/>
  <c r="H52" i="7"/>
  <c r="I51" i="7"/>
  <c r="H51" i="7"/>
  <c r="I50" i="7"/>
  <c r="H50" i="7"/>
  <c r="I49" i="7"/>
  <c r="H49" i="7"/>
  <c r="I48" i="7"/>
  <c r="H48" i="7"/>
  <c r="I47" i="7"/>
  <c r="H47" i="7"/>
  <c r="I46" i="7"/>
  <c r="H46" i="7"/>
  <c r="I45" i="7"/>
  <c r="H45" i="7"/>
  <c r="I44" i="7"/>
  <c r="H44" i="7"/>
  <c r="I43" i="7"/>
  <c r="H43" i="7"/>
  <c r="I42" i="7"/>
  <c r="H42" i="7"/>
  <c r="I41" i="7"/>
  <c r="H41" i="7"/>
  <c r="I40" i="7"/>
  <c r="H40" i="7"/>
  <c r="I39" i="7"/>
  <c r="H39" i="7"/>
  <c r="I38" i="7"/>
  <c r="H38" i="7"/>
  <c r="I37" i="7"/>
  <c r="H37" i="7"/>
  <c r="I36" i="7"/>
  <c r="H36" i="7"/>
  <c r="I35" i="7"/>
  <c r="H35" i="7"/>
  <c r="I34" i="7"/>
  <c r="H34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H26" i="7"/>
  <c r="I25" i="7"/>
  <c r="H25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I8" i="7"/>
  <c r="H8" i="7"/>
  <c r="I7" i="7"/>
  <c r="H7" i="7"/>
  <c r="I6" i="7"/>
  <c r="H6" i="7"/>
  <c r="I5" i="7"/>
  <c r="H5" i="7"/>
  <c r="I4" i="7"/>
  <c r="H4" i="7"/>
  <c r="I3" i="7"/>
  <c r="H3" i="7"/>
  <c r="I2" i="7"/>
  <c r="H2" i="7"/>
  <c r="U297" i="5"/>
  <c r="T297" i="5"/>
  <c r="U296" i="5"/>
  <c r="T296" i="5"/>
  <c r="U295" i="5"/>
  <c r="T295" i="5"/>
  <c r="U294" i="5"/>
  <c r="T294" i="5"/>
  <c r="U293" i="5"/>
  <c r="T293" i="5"/>
  <c r="U292" i="5"/>
  <c r="T292" i="5"/>
  <c r="U291" i="5"/>
  <c r="T291" i="5"/>
  <c r="U290" i="5"/>
  <c r="T290" i="5"/>
  <c r="U289" i="5"/>
  <c r="T289" i="5"/>
  <c r="U288" i="5"/>
  <c r="T288" i="5"/>
  <c r="U287" i="5"/>
  <c r="T287" i="5"/>
  <c r="U286" i="5"/>
  <c r="T286" i="5"/>
  <c r="U285" i="5"/>
  <c r="T285" i="5"/>
  <c r="U284" i="5"/>
  <c r="T284" i="5"/>
  <c r="U283" i="5"/>
  <c r="T283" i="5"/>
  <c r="U282" i="5"/>
  <c r="T282" i="5"/>
  <c r="U281" i="5"/>
  <c r="T281" i="5"/>
  <c r="U280" i="5"/>
  <c r="T280" i="5"/>
  <c r="U279" i="5"/>
  <c r="T279" i="5"/>
  <c r="U278" i="5"/>
  <c r="T278" i="5"/>
  <c r="U277" i="5"/>
  <c r="T277" i="5"/>
  <c r="U276" i="5"/>
  <c r="T276" i="5"/>
  <c r="U275" i="5"/>
  <c r="T275" i="5"/>
  <c r="U274" i="5"/>
  <c r="T274" i="5"/>
  <c r="U273" i="5"/>
  <c r="T273" i="5"/>
  <c r="U272" i="5"/>
  <c r="T272" i="5"/>
  <c r="U271" i="5"/>
  <c r="T271" i="5"/>
  <c r="U270" i="5"/>
  <c r="T270" i="5"/>
  <c r="U269" i="5"/>
  <c r="T269" i="5"/>
  <c r="U268" i="5"/>
  <c r="T268" i="5"/>
  <c r="U267" i="5"/>
  <c r="T267" i="5"/>
  <c r="U266" i="5"/>
  <c r="T266" i="5"/>
  <c r="U265" i="5"/>
  <c r="T265" i="5"/>
  <c r="U264" i="5"/>
  <c r="T264" i="5"/>
  <c r="U263" i="5"/>
  <c r="T263" i="5"/>
  <c r="U262" i="5"/>
  <c r="T262" i="5"/>
  <c r="U261" i="5"/>
  <c r="T261" i="5"/>
  <c r="U260" i="5"/>
  <c r="T260" i="5"/>
  <c r="U259" i="5"/>
  <c r="T259" i="5"/>
  <c r="U258" i="5"/>
  <c r="T258" i="5"/>
  <c r="U257" i="5"/>
  <c r="T257" i="5"/>
  <c r="U256" i="5"/>
  <c r="T256" i="5"/>
  <c r="U255" i="5"/>
  <c r="T255" i="5"/>
  <c r="U254" i="5"/>
  <c r="T254" i="5"/>
  <c r="U253" i="5"/>
  <c r="T253" i="5"/>
  <c r="U252" i="5"/>
  <c r="T252" i="5"/>
  <c r="U251" i="5"/>
  <c r="T251" i="5"/>
  <c r="U250" i="5"/>
  <c r="T250" i="5"/>
  <c r="U249" i="5"/>
  <c r="T249" i="5"/>
  <c r="U248" i="5"/>
  <c r="T248" i="5"/>
  <c r="U247" i="5"/>
  <c r="T247" i="5"/>
  <c r="U246" i="5"/>
  <c r="T246" i="5"/>
  <c r="U245" i="5"/>
  <c r="T245" i="5"/>
  <c r="U244" i="5"/>
  <c r="T244" i="5"/>
  <c r="U243" i="5"/>
  <c r="T243" i="5"/>
  <c r="U242" i="5"/>
  <c r="T242" i="5"/>
  <c r="U241" i="5"/>
  <c r="T241" i="5"/>
  <c r="U240" i="5"/>
  <c r="T240" i="5"/>
  <c r="U239" i="5"/>
  <c r="T239" i="5"/>
  <c r="U238" i="5"/>
  <c r="T238" i="5"/>
  <c r="U237" i="5"/>
  <c r="T237" i="5"/>
  <c r="U236" i="5"/>
  <c r="T236" i="5"/>
  <c r="U235" i="5"/>
  <c r="T235" i="5"/>
  <c r="U234" i="5"/>
  <c r="T234" i="5"/>
  <c r="U233" i="5"/>
  <c r="T233" i="5"/>
  <c r="U232" i="5"/>
  <c r="T232" i="5"/>
  <c r="U231" i="5"/>
  <c r="T231" i="5"/>
  <c r="U230" i="5"/>
  <c r="T230" i="5"/>
  <c r="U229" i="5"/>
  <c r="T229" i="5"/>
  <c r="U228" i="5"/>
  <c r="T228" i="5"/>
  <c r="U227" i="5"/>
  <c r="T227" i="5"/>
  <c r="U226" i="5"/>
  <c r="T226" i="5"/>
  <c r="U225" i="5"/>
  <c r="T225" i="5"/>
  <c r="U224" i="5"/>
  <c r="T224" i="5"/>
  <c r="U223" i="5"/>
  <c r="T223" i="5"/>
  <c r="U222" i="5"/>
  <c r="T222" i="5"/>
  <c r="U221" i="5"/>
  <c r="T221" i="5"/>
  <c r="U220" i="5"/>
  <c r="T220" i="5"/>
  <c r="U219" i="5"/>
  <c r="T219" i="5"/>
  <c r="U218" i="5"/>
  <c r="T218" i="5"/>
  <c r="U217" i="5"/>
  <c r="T217" i="5"/>
  <c r="U216" i="5"/>
  <c r="T216" i="5"/>
  <c r="U215" i="5"/>
  <c r="T215" i="5"/>
  <c r="U214" i="5"/>
  <c r="T214" i="5"/>
  <c r="U213" i="5"/>
  <c r="T213" i="5"/>
  <c r="U212" i="5"/>
  <c r="T212" i="5"/>
  <c r="U211" i="5"/>
  <c r="T211" i="5"/>
  <c r="U210" i="5"/>
  <c r="T210" i="5"/>
  <c r="U209" i="5"/>
  <c r="T209" i="5"/>
  <c r="U208" i="5"/>
  <c r="T208" i="5"/>
  <c r="U207" i="5"/>
  <c r="T207" i="5"/>
  <c r="U206" i="5"/>
  <c r="T206" i="5"/>
  <c r="U205" i="5"/>
  <c r="T205" i="5"/>
  <c r="U204" i="5"/>
  <c r="T204" i="5"/>
  <c r="U203" i="5"/>
  <c r="T203" i="5"/>
  <c r="U202" i="5"/>
  <c r="T202" i="5"/>
  <c r="U201" i="5"/>
  <c r="T201" i="5"/>
  <c r="U200" i="5"/>
  <c r="T200" i="5"/>
  <c r="U199" i="5"/>
  <c r="T199" i="5"/>
  <c r="U198" i="5"/>
  <c r="T198" i="5"/>
  <c r="U197" i="5"/>
  <c r="T197" i="5"/>
  <c r="U196" i="5"/>
  <c r="T196" i="5"/>
  <c r="U195" i="5"/>
  <c r="T195" i="5"/>
  <c r="U194" i="5"/>
  <c r="T194" i="5"/>
  <c r="U193" i="5"/>
  <c r="T193" i="5"/>
  <c r="U192" i="5"/>
  <c r="T192" i="5"/>
  <c r="U191" i="5"/>
  <c r="T191" i="5"/>
  <c r="U190" i="5"/>
  <c r="T190" i="5"/>
  <c r="U189" i="5"/>
  <c r="T189" i="5"/>
  <c r="U188" i="5"/>
  <c r="T188" i="5"/>
  <c r="U187" i="5"/>
  <c r="T187" i="5"/>
  <c r="U186" i="5"/>
  <c r="T186" i="5"/>
  <c r="U185" i="5"/>
  <c r="T185" i="5"/>
  <c r="U184" i="5"/>
  <c r="T184" i="5"/>
  <c r="U183" i="5"/>
  <c r="T183" i="5"/>
  <c r="U182" i="5"/>
  <c r="T182" i="5"/>
  <c r="U181" i="5"/>
  <c r="T181" i="5"/>
  <c r="U180" i="5"/>
  <c r="T180" i="5"/>
  <c r="U179" i="5"/>
  <c r="T179" i="5"/>
  <c r="U178" i="5"/>
  <c r="T178" i="5"/>
  <c r="U177" i="5"/>
  <c r="T177" i="5"/>
  <c r="U176" i="5"/>
  <c r="T176" i="5"/>
  <c r="U175" i="5"/>
  <c r="T175" i="5"/>
  <c r="U174" i="5"/>
  <c r="T174" i="5"/>
  <c r="U173" i="5"/>
  <c r="T173" i="5"/>
  <c r="U172" i="5"/>
  <c r="T172" i="5"/>
  <c r="U171" i="5"/>
  <c r="T171" i="5"/>
  <c r="U170" i="5"/>
  <c r="T170" i="5"/>
  <c r="U169" i="5"/>
  <c r="T169" i="5"/>
  <c r="U168" i="5"/>
  <c r="T168" i="5"/>
  <c r="U167" i="5"/>
  <c r="T167" i="5"/>
  <c r="U166" i="5"/>
  <c r="T166" i="5"/>
  <c r="U165" i="5"/>
  <c r="T165" i="5"/>
  <c r="U164" i="5"/>
  <c r="T164" i="5"/>
  <c r="U163" i="5"/>
  <c r="T163" i="5"/>
  <c r="U162" i="5"/>
  <c r="T162" i="5"/>
  <c r="U161" i="5"/>
  <c r="T161" i="5"/>
  <c r="U160" i="5"/>
  <c r="T160" i="5"/>
  <c r="U159" i="5"/>
  <c r="T159" i="5"/>
  <c r="U158" i="5"/>
  <c r="T158" i="5"/>
  <c r="U157" i="5"/>
  <c r="T157" i="5"/>
  <c r="U156" i="5"/>
  <c r="T156" i="5"/>
  <c r="U155" i="5"/>
  <c r="T155" i="5"/>
  <c r="U154" i="5"/>
  <c r="T154" i="5"/>
  <c r="U153" i="5"/>
  <c r="T153" i="5"/>
  <c r="U152" i="5"/>
  <c r="T152" i="5"/>
  <c r="U151" i="5"/>
  <c r="T151" i="5"/>
  <c r="U150" i="5"/>
  <c r="T150" i="5"/>
  <c r="U149" i="5"/>
  <c r="T149" i="5"/>
  <c r="U148" i="5"/>
  <c r="T148" i="5"/>
  <c r="U147" i="5"/>
  <c r="T147" i="5"/>
  <c r="U146" i="5"/>
  <c r="T146" i="5"/>
  <c r="U145" i="5"/>
  <c r="T145" i="5"/>
  <c r="U144" i="5"/>
  <c r="T144" i="5"/>
  <c r="U143" i="5"/>
  <c r="T143" i="5"/>
  <c r="U142" i="5"/>
  <c r="T142" i="5"/>
  <c r="U141" i="5"/>
  <c r="T141" i="5"/>
  <c r="U140" i="5"/>
  <c r="T140" i="5"/>
  <c r="U139" i="5"/>
  <c r="T139" i="5"/>
  <c r="U138" i="5"/>
  <c r="T138" i="5"/>
  <c r="U137" i="5"/>
  <c r="T137" i="5"/>
  <c r="U136" i="5"/>
  <c r="T136" i="5"/>
  <c r="U135" i="5"/>
  <c r="T135" i="5"/>
  <c r="U134" i="5"/>
  <c r="T134" i="5"/>
  <c r="U133" i="5"/>
  <c r="T133" i="5"/>
  <c r="U132" i="5"/>
  <c r="T132" i="5"/>
  <c r="U131" i="5"/>
  <c r="T131" i="5"/>
  <c r="U130" i="5"/>
  <c r="T130" i="5"/>
  <c r="U129" i="5"/>
  <c r="T129" i="5"/>
  <c r="U128" i="5"/>
  <c r="T128" i="5"/>
  <c r="U127" i="5"/>
  <c r="T127" i="5"/>
  <c r="U126" i="5"/>
  <c r="T126" i="5"/>
  <c r="U125" i="5"/>
  <c r="T125" i="5"/>
  <c r="U124" i="5"/>
  <c r="T124" i="5"/>
  <c r="U123" i="5"/>
  <c r="T123" i="5"/>
  <c r="U122" i="5"/>
  <c r="T122" i="5"/>
  <c r="U121" i="5"/>
  <c r="T121" i="5"/>
  <c r="U120" i="5"/>
  <c r="T120" i="5"/>
  <c r="U119" i="5"/>
  <c r="T119" i="5"/>
  <c r="U118" i="5"/>
  <c r="T118" i="5"/>
  <c r="U117" i="5"/>
  <c r="T117" i="5"/>
  <c r="U116" i="5"/>
  <c r="T116" i="5"/>
  <c r="U115" i="5"/>
  <c r="T115" i="5"/>
  <c r="U114" i="5"/>
  <c r="T114" i="5"/>
  <c r="U113" i="5"/>
  <c r="T113" i="5"/>
  <c r="U112" i="5"/>
  <c r="T112" i="5"/>
  <c r="U111" i="5"/>
  <c r="T111" i="5"/>
  <c r="U110" i="5"/>
  <c r="T110" i="5"/>
  <c r="U109" i="5"/>
  <c r="T109" i="5"/>
  <c r="U108" i="5"/>
  <c r="T108" i="5"/>
  <c r="U107" i="5"/>
  <c r="T107" i="5"/>
  <c r="U106" i="5"/>
  <c r="T106" i="5"/>
  <c r="U105" i="5"/>
  <c r="T105" i="5"/>
  <c r="U104" i="5"/>
  <c r="T104" i="5"/>
  <c r="U103" i="5"/>
  <c r="T103" i="5"/>
  <c r="U102" i="5"/>
  <c r="T102" i="5"/>
  <c r="U101" i="5"/>
  <c r="T101" i="5"/>
  <c r="U100" i="5"/>
  <c r="T100" i="5"/>
  <c r="U99" i="5"/>
  <c r="T99" i="5"/>
  <c r="U98" i="5"/>
  <c r="T98" i="5"/>
  <c r="U97" i="5"/>
  <c r="T97" i="5"/>
  <c r="U96" i="5"/>
  <c r="T96" i="5"/>
  <c r="U95" i="5"/>
  <c r="T95" i="5"/>
  <c r="U94" i="5"/>
  <c r="T94" i="5"/>
  <c r="U93" i="5"/>
  <c r="T93" i="5"/>
  <c r="U92" i="5"/>
  <c r="T92" i="5"/>
  <c r="U91" i="5"/>
  <c r="T91" i="5"/>
  <c r="U90" i="5"/>
  <c r="T90" i="5"/>
  <c r="U89" i="5"/>
  <c r="T89" i="5"/>
  <c r="U88" i="5"/>
  <c r="T88" i="5"/>
  <c r="U87" i="5"/>
  <c r="T87" i="5"/>
  <c r="U86" i="5"/>
  <c r="T86" i="5"/>
  <c r="U85" i="5"/>
  <c r="T85" i="5"/>
  <c r="U84" i="5"/>
  <c r="T84" i="5"/>
  <c r="U83" i="5"/>
  <c r="T83" i="5"/>
  <c r="U82" i="5"/>
  <c r="T82" i="5"/>
  <c r="U81" i="5"/>
  <c r="T81" i="5"/>
  <c r="U80" i="5"/>
  <c r="T80" i="5"/>
  <c r="U79" i="5"/>
  <c r="T79" i="5"/>
  <c r="U78" i="5"/>
  <c r="T78" i="5"/>
  <c r="U77" i="5"/>
  <c r="T77" i="5"/>
  <c r="U76" i="5"/>
  <c r="T76" i="5"/>
  <c r="U75" i="5"/>
  <c r="T75" i="5"/>
  <c r="U74" i="5"/>
  <c r="T74" i="5"/>
  <c r="U73" i="5"/>
  <c r="T73" i="5"/>
  <c r="U72" i="5"/>
  <c r="T72" i="5"/>
  <c r="U71" i="5"/>
  <c r="T71" i="5"/>
  <c r="U70" i="5"/>
  <c r="T70" i="5"/>
  <c r="U69" i="5"/>
  <c r="T69" i="5"/>
  <c r="U68" i="5"/>
  <c r="T68" i="5"/>
  <c r="U67" i="5"/>
  <c r="T67" i="5"/>
  <c r="U66" i="5"/>
  <c r="T66" i="5"/>
  <c r="U65" i="5"/>
  <c r="T65" i="5"/>
  <c r="U64" i="5"/>
  <c r="T64" i="5"/>
  <c r="U63" i="5"/>
  <c r="T63" i="5"/>
  <c r="U62" i="5"/>
  <c r="T62" i="5"/>
  <c r="U61" i="5"/>
  <c r="T61" i="5"/>
  <c r="U60" i="5"/>
  <c r="T60" i="5"/>
  <c r="U59" i="5"/>
  <c r="T59" i="5"/>
  <c r="U58" i="5"/>
  <c r="T58" i="5"/>
  <c r="U57" i="5"/>
  <c r="T57" i="5"/>
  <c r="U56" i="5"/>
  <c r="T56" i="5"/>
  <c r="U55" i="5"/>
  <c r="T55" i="5"/>
  <c r="U54" i="5"/>
  <c r="T54" i="5"/>
  <c r="U53" i="5"/>
  <c r="T53" i="5"/>
  <c r="U52" i="5"/>
  <c r="T52" i="5"/>
  <c r="U51" i="5"/>
  <c r="T51" i="5"/>
  <c r="U50" i="5"/>
  <c r="T50" i="5"/>
  <c r="U49" i="5"/>
  <c r="T49" i="5"/>
  <c r="U48" i="5"/>
  <c r="T48" i="5"/>
  <c r="U47" i="5"/>
  <c r="T47" i="5"/>
  <c r="U46" i="5"/>
  <c r="T46" i="5"/>
  <c r="U45" i="5"/>
  <c r="T45" i="5"/>
  <c r="U44" i="5"/>
  <c r="T44" i="5"/>
  <c r="U43" i="5"/>
  <c r="T43" i="5"/>
  <c r="U42" i="5"/>
  <c r="T42" i="5"/>
  <c r="U41" i="5"/>
  <c r="T41" i="5"/>
  <c r="U40" i="5"/>
  <c r="T40" i="5"/>
  <c r="U39" i="5"/>
  <c r="T39" i="5"/>
  <c r="U38" i="5"/>
  <c r="T38" i="5"/>
  <c r="U37" i="5"/>
  <c r="T37" i="5"/>
  <c r="U36" i="5"/>
  <c r="T36" i="5"/>
  <c r="U35" i="5"/>
  <c r="T35" i="5"/>
  <c r="U34" i="5"/>
  <c r="T34" i="5"/>
  <c r="U33" i="5"/>
  <c r="T33" i="5"/>
  <c r="U32" i="5"/>
  <c r="T32" i="5"/>
  <c r="U31" i="5"/>
  <c r="T31" i="5"/>
  <c r="U30" i="5"/>
  <c r="T30" i="5"/>
  <c r="U29" i="5"/>
  <c r="T29" i="5"/>
  <c r="U28" i="5"/>
  <c r="T28" i="5"/>
  <c r="U27" i="5"/>
  <c r="T27" i="5"/>
  <c r="U26" i="5"/>
  <c r="T26" i="5"/>
  <c r="U25" i="5"/>
  <c r="T25" i="5"/>
  <c r="U24" i="5"/>
  <c r="T24" i="5"/>
  <c r="U23" i="5"/>
  <c r="T23" i="5"/>
  <c r="U22" i="5"/>
  <c r="T22" i="5"/>
  <c r="U21" i="5"/>
  <c r="T21" i="5"/>
  <c r="U20" i="5"/>
  <c r="T20" i="5"/>
  <c r="U19" i="5"/>
  <c r="T19" i="5"/>
  <c r="U18" i="5"/>
  <c r="T18" i="5"/>
  <c r="U17" i="5"/>
  <c r="T17" i="5"/>
  <c r="U16" i="5"/>
  <c r="T16" i="5"/>
  <c r="U15" i="5"/>
  <c r="T15" i="5"/>
  <c r="U14" i="5"/>
  <c r="T14" i="5"/>
  <c r="T13" i="5"/>
  <c r="T12" i="5"/>
  <c r="T11" i="5"/>
  <c r="T10" i="5"/>
  <c r="T9" i="5"/>
  <c r="T8" i="5"/>
  <c r="T7" i="5"/>
  <c r="T6" i="5"/>
  <c r="T5" i="5"/>
  <c r="T4" i="5"/>
  <c r="T3" i="5"/>
  <c r="U2" i="5"/>
  <c r="T2" i="5"/>
  <c r="G18" i="4"/>
  <c r="F18" i="4"/>
  <c r="E18" i="4"/>
  <c r="D18" i="4"/>
  <c r="I18" i="4" s="1"/>
  <c r="C18" i="4"/>
  <c r="B18" i="4"/>
  <c r="G17" i="4"/>
  <c r="F17" i="4"/>
  <c r="E17" i="4"/>
  <c r="D17" i="4"/>
  <c r="I17" i="4" s="1"/>
  <c r="C17" i="4"/>
  <c r="B17" i="4"/>
  <c r="G16" i="4"/>
  <c r="F16" i="4"/>
  <c r="E16" i="4"/>
  <c r="D16" i="4"/>
  <c r="I16" i="4" s="1"/>
  <c r="C16" i="4"/>
  <c r="B16" i="4"/>
  <c r="G15" i="4"/>
  <c r="F15" i="4"/>
  <c r="E15" i="4"/>
  <c r="D15" i="4"/>
  <c r="I15" i="4" s="1"/>
  <c r="C15" i="4"/>
  <c r="B15" i="4"/>
  <c r="G14" i="4"/>
  <c r="F14" i="4"/>
  <c r="E14" i="4"/>
  <c r="D14" i="4"/>
  <c r="I14" i="4" s="1"/>
  <c r="C14" i="4"/>
  <c r="B14" i="4"/>
  <c r="G13" i="4"/>
  <c r="F13" i="4"/>
  <c r="E13" i="4"/>
  <c r="D13" i="4"/>
  <c r="I13" i="4" s="1"/>
  <c r="C13" i="4"/>
  <c r="B13" i="4"/>
  <c r="G12" i="4"/>
  <c r="F12" i="4"/>
  <c r="E12" i="4"/>
  <c r="D12" i="4"/>
  <c r="I12" i="4" s="1"/>
  <c r="C12" i="4"/>
  <c r="B12" i="4"/>
  <c r="G11" i="4"/>
  <c r="F11" i="4"/>
  <c r="E11" i="4"/>
  <c r="D11" i="4"/>
  <c r="I11" i="4" s="1"/>
  <c r="C11" i="4"/>
  <c r="B11" i="4"/>
  <c r="G10" i="4"/>
  <c r="F10" i="4"/>
  <c r="E10" i="4"/>
  <c r="D10" i="4"/>
  <c r="H5" i="4" s="1"/>
  <c r="C10" i="4"/>
  <c r="B10" i="4"/>
  <c r="H7" i="4"/>
  <c r="B7" i="4"/>
  <c r="H6" i="4"/>
  <c r="B6" i="4"/>
  <c r="E5" i="4"/>
  <c r="B5" i="4"/>
  <c r="H18" i="4" l="1"/>
  <c r="H10" i="4"/>
  <c r="H11" i="4"/>
  <c r="H16" i="4"/>
  <c r="H17" i="4"/>
  <c r="E7" i="4"/>
  <c r="H12" i="4"/>
  <c r="H15" i="4"/>
  <c r="H13" i="4"/>
  <c r="H14" i="4"/>
  <c r="I10" i="4"/>
  <c r="E6" i="4" l="1"/>
</calcChain>
</file>

<file path=xl/sharedStrings.xml><?xml version="1.0" encoding="utf-8"?>
<sst xmlns="http://schemas.openxmlformats.org/spreadsheetml/2006/main" count="1369" uniqueCount="617">
  <si>
    <t>Feuille</t>
  </si>
  <si>
    <t>Rôle</t>
  </si>
  <si>
    <t>Type de données</t>
  </si>
  <si>
    <t>Clé principale</t>
  </si>
  <si>
    <t>Utilisation</t>
  </si>
  <si>
    <t>PARAMETRES</t>
  </si>
  <si>
    <t>Listes de validation</t>
  </si>
  <si>
    <t>Référentiel</t>
  </si>
  <si>
    <t>Valeur</t>
  </si>
  <si>
    <t>Alimente les menus déroulants.</t>
  </si>
  <si>
    <t>MODELE_BD</t>
  </si>
  <si>
    <t>Dictionnaire de données</t>
  </si>
  <si>
    <t>Documentation</t>
  </si>
  <si>
    <t>Table</t>
  </si>
  <si>
    <t>Explique la logique base de données du classeur.</t>
  </si>
  <si>
    <t>DASHBOARD</t>
  </si>
  <si>
    <t>Synthèse KPI</t>
  </si>
  <si>
    <t>Calculs</t>
  </si>
  <si>
    <t>Cycle</t>
  </si>
  <si>
    <t>Vue globale du niveau de contrôle.</t>
  </si>
  <si>
    <t>PLAN_CONTROLE</t>
  </si>
  <si>
    <t>Planification</t>
  </si>
  <si>
    <t>Transactionnel</t>
  </si>
  <si>
    <t>ID_Mission</t>
  </si>
  <si>
    <t>Plan annuel ou trimestriel de contrôle.</t>
  </si>
  <si>
    <t>RISQUES</t>
  </si>
  <si>
    <t>Cartographie des risques</t>
  </si>
  <si>
    <t>ID_Risque</t>
  </si>
  <si>
    <t>Évaluation probabilité x impact.</t>
  </si>
  <si>
    <t>INCIDENTS</t>
  </si>
  <si>
    <t>Registre incidents/fraudes</t>
  </si>
  <si>
    <t>ID_Incident</t>
  </si>
  <si>
    <t>Suivi des anomalies opérationnelles.</t>
  </si>
  <si>
    <t>RECOMMANDATIONS</t>
  </si>
  <si>
    <t>Suivi des actions</t>
  </si>
  <si>
    <t>ID_Reco</t>
  </si>
  <si>
    <t>Follow-up des plans d'actions correctives.</t>
  </si>
  <si>
    <t>Feuilles cycles</t>
  </si>
  <si>
    <t>Contrôles par cycle</t>
  </si>
  <si>
    <t>ID_Controle</t>
  </si>
  <si>
    <t>Encodage des résultats de contrôle terrain/documentaire.</t>
  </si>
  <si>
    <t>Agences</t>
  </si>
  <si>
    <t>Cycles</t>
  </si>
  <si>
    <t>Types_mission</t>
  </si>
  <si>
    <t>Fréquences</t>
  </si>
  <si>
    <t>Niveaux_risque</t>
  </si>
  <si>
    <t>Résultats_controle</t>
  </si>
  <si>
    <t>Gravité_anomalie</t>
  </si>
  <si>
    <t>Statuts_action</t>
  </si>
  <si>
    <t>Types_incident</t>
  </si>
  <si>
    <t>Responsables</t>
  </si>
  <si>
    <t>Priorités</t>
  </si>
  <si>
    <t>Sources_reco</t>
  </si>
  <si>
    <t>Trimestres</t>
  </si>
  <si>
    <t>OuiNon</t>
  </si>
  <si>
    <t>Siège</t>
  </si>
  <si>
    <t>Cycle crédit</t>
  </si>
  <si>
    <t>Contrôle permanent</t>
  </si>
  <si>
    <t>Quotidienne</t>
  </si>
  <si>
    <t>Faible</t>
  </si>
  <si>
    <t>Conforme</t>
  </si>
  <si>
    <t>N/A</t>
  </si>
  <si>
    <t>Non démarrée</t>
  </si>
  <si>
    <t>Erreur opérationnelle</t>
  </si>
  <si>
    <t>Contrôleur interne</t>
  </si>
  <si>
    <t>Contrôle interne</t>
  </si>
  <si>
    <t>T1</t>
  </si>
  <si>
    <t>Oui</t>
  </si>
  <si>
    <t>Guichet Matete</t>
  </si>
  <si>
    <t>Cycle épargne</t>
  </si>
  <si>
    <t>Contrôle inopiné</t>
  </si>
  <si>
    <t>Hebdomadaire</t>
  </si>
  <si>
    <t>Moyen</t>
  </si>
  <si>
    <t>Non conforme</t>
  </si>
  <si>
    <t>Observation</t>
  </si>
  <si>
    <t>En cours</t>
  </si>
  <si>
    <t>Fraude interne</t>
  </si>
  <si>
    <t>Chef d'agence</t>
  </si>
  <si>
    <t>Audit interne</t>
  </si>
  <si>
    <t>T2</t>
  </si>
  <si>
    <t>Non</t>
  </si>
  <si>
    <t>Guichet Bisou Bisou</t>
  </si>
  <si>
    <t>Cycle caisse et guichet</t>
  </si>
  <si>
    <t>Mission thématique</t>
  </si>
  <si>
    <t>Mensuelle</t>
  </si>
  <si>
    <t>Élevé</t>
  </si>
  <si>
    <t>Non applicable</t>
  </si>
  <si>
    <t>Mineure</t>
  </si>
  <si>
    <t>Clôturée</t>
  </si>
  <si>
    <t>Fraude externe</t>
  </si>
  <si>
    <t>Responsable crédit</t>
  </si>
  <si>
    <t>Audit externe</t>
  </si>
  <si>
    <t>T3</t>
  </si>
  <si>
    <t>Guichet Zingida</t>
  </si>
  <si>
    <t>Cycle trésorerie et banque</t>
  </si>
  <si>
    <t>Suivi recommandation</t>
  </si>
  <si>
    <t>Trimestrielle</t>
  </si>
  <si>
    <t>Critique</t>
  </si>
  <si>
    <t>À vérifier</t>
  </si>
  <si>
    <t>Majeure</t>
  </si>
  <si>
    <t>En retard</t>
  </si>
  <si>
    <t>Panne SI</t>
  </si>
  <si>
    <t>Comptable</t>
  </si>
  <si>
    <t>Inspection BCC</t>
  </si>
  <si>
    <t>T4</t>
  </si>
  <si>
    <t>Caisse mobile</t>
  </si>
  <si>
    <t>Cycle comptable et financier</t>
  </si>
  <si>
    <t>Audit de conformité</t>
  </si>
  <si>
    <t>Semestrielle</t>
  </si>
  <si>
    <t>Abandonnée</t>
  </si>
  <si>
    <t>Écart de caisse</t>
  </si>
  <si>
    <t>Caissier</t>
  </si>
  <si>
    <t>Direction Générale</t>
  </si>
  <si>
    <t>Caisse Bisou Bisou</t>
  </si>
  <si>
    <t>Cycle ressources humaines et administration</t>
  </si>
  <si>
    <t>Annuelle</t>
  </si>
  <si>
    <t>Incident conformité</t>
  </si>
  <si>
    <t>Responsable RH</t>
  </si>
  <si>
    <t>Cycle achats et patrimoine</t>
  </si>
  <si>
    <t>Inopinée</t>
  </si>
  <si>
    <t>Autre</t>
  </si>
  <si>
    <t>Administrateur système</t>
  </si>
  <si>
    <t>Sécurité du système d'information</t>
  </si>
  <si>
    <t>Reporting et suivi du contrôle interne</t>
  </si>
  <si>
    <t>Table / Feuille</t>
  </si>
  <si>
    <t>Description</t>
  </si>
  <si>
    <t>Clé primaire</t>
  </si>
  <si>
    <t>Champs importants</t>
  </si>
  <si>
    <t>Relations / usage</t>
  </si>
  <si>
    <t>Tables de référence pour les listes déroulantes</t>
  </si>
  <si>
    <t>Agences, Cycles, Statuts, Fréquences, Gravités</t>
  </si>
  <si>
    <t>Alimente toutes les feuilles transactionnelles</t>
  </si>
  <si>
    <t>Planification des missions de contrôle</t>
  </si>
  <si>
    <t>Année, Trimestre, Cycle, Agence, Date prévue, Statut</t>
  </si>
  <si>
    <t>Une mission peut générer plusieurs contrôles, incidents et recommandations</t>
  </si>
  <si>
    <t>Cartographie des risques par cycle</t>
  </si>
  <si>
    <t>Cycle, Risque, Probabilité, Impact, Score</t>
  </si>
  <si>
    <t>Priorise les contrôles et missions</t>
  </si>
  <si>
    <t>Résultats détaillés des contrôles par cycle</t>
  </si>
  <si>
    <t>Date, Agence, Point, Résultat, Gravité, Action</t>
  </si>
  <si>
    <t>Source principale du DASHBOARD</t>
  </si>
  <si>
    <t>Registre des incidents et fraudes</t>
  </si>
  <si>
    <t>Date, Cycle, Type, Gravité, Montant, Statut</t>
  </si>
  <si>
    <t>Alimente le suivi des anomalies significatives</t>
  </si>
  <si>
    <t>Plan d'actions correctives</t>
  </si>
  <si>
    <t>Source, Constat, Recommandation, Échéance, Statut</t>
  </si>
  <si>
    <t>Suivi global des recommandations internes, audit et BCC</t>
  </si>
  <si>
    <t>Synthèse automatisée</t>
  </si>
  <si>
    <t>KPI et taux</t>
  </si>
  <si>
    <t>Lecture directionnelle et contrôle de pilotage</t>
  </si>
  <si>
    <t>Tableau de bord du suivi du contrôle interne</t>
  </si>
  <si>
    <t>Les indicateurs se mettent à jour à partir des feuilles par cycle et des registres transversaux.</t>
  </si>
  <si>
    <t>Indicateur</t>
  </si>
  <si>
    <t>Points de contrôle préchargés</t>
  </si>
  <si>
    <t>Contrôles réalisés</t>
  </si>
  <si>
    <t>Taux conformité</t>
  </si>
  <si>
    <t>Non conformités</t>
  </si>
  <si>
    <t>Actions en retard</t>
  </si>
  <si>
    <t>Incidents ouverts</t>
  </si>
  <si>
    <t>Anomalies critiques</t>
  </si>
  <si>
    <t>Recommandations en retard</t>
  </si>
  <si>
    <t>Missions planifiées</t>
  </si>
  <si>
    <t>Points préchargés</t>
  </si>
  <si>
    <t>Conformes</t>
  </si>
  <si>
    <t>Non conformes</t>
  </si>
  <si>
    <t>Anomalies majeures</t>
  </si>
  <si>
    <t>Date_controle</t>
  </si>
  <si>
    <t>Agence</t>
  </si>
  <si>
    <t>Sous_cycle</t>
  </si>
  <si>
    <t>Objectif</t>
  </si>
  <si>
    <t>Point_de_controle</t>
  </si>
  <si>
    <t>Fréquence</t>
  </si>
  <si>
    <t>Responsable_controle</t>
  </si>
  <si>
    <t>Niveau_risque</t>
  </si>
  <si>
    <t>Document_preuve_attendu</t>
  </si>
  <si>
    <t>Résultat_controle</t>
  </si>
  <si>
    <t>Constat</t>
  </si>
  <si>
    <t>Recommandation</t>
  </si>
  <si>
    <t>Responsable_action</t>
  </si>
  <si>
    <t>Date_échéance</t>
  </si>
  <si>
    <t>Date_réalisation</t>
  </si>
  <si>
    <t>Statut_action</t>
  </si>
  <si>
    <t>Jours_retard</t>
  </si>
  <si>
    <t>Priorité</t>
  </si>
  <si>
    <t>Référence_manuel</t>
  </si>
  <si>
    <t>Commentaires</t>
  </si>
  <si>
    <t>CRE-001</t>
  </si>
  <si>
    <t>Instruction et analyse</t>
  </si>
  <si>
    <t>S'assurer de la moralité, capacité de remboursement et existence réelle de l'activité</t>
  </si>
  <si>
    <t>Vérification de l'identité du demandeur et du dossier KYC crédit</t>
  </si>
  <si>
    <t>Dossier crédit, pièce d'identité</t>
  </si>
  <si>
    <t>Manuel CI - 3.1 / 4.1</t>
  </si>
  <si>
    <t>Année</t>
  </si>
  <si>
    <t>Trimestre</t>
  </si>
  <si>
    <t>Type_mission</t>
  </si>
  <si>
    <t>Objectif_mission</t>
  </si>
  <si>
    <t>Responsable</t>
  </si>
  <si>
    <t>Date_prévue</t>
  </si>
  <si>
    <t>Statut</t>
  </si>
  <si>
    <t>MC-001</t>
  </si>
  <si>
    <t>Contrôle du cycle crédit</t>
  </si>
  <si>
    <t>MC-002</t>
  </si>
  <si>
    <t>Contrôle du cycle épargne</t>
  </si>
  <si>
    <t>MC-003</t>
  </si>
  <si>
    <t>Contrôle du cycle caisse et guichet</t>
  </si>
  <si>
    <t>Chef d'agence / Contrôleur interne</t>
  </si>
  <si>
    <t>MC-004</t>
  </si>
  <si>
    <t>Contrôle du cycle trésorerie et banque</t>
  </si>
  <si>
    <t>Comptable / Contrôleur interne</t>
  </si>
  <si>
    <t>MC-005</t>
  </si>
  <si>
    <t>Contrôle du cycle comptable et financier</t>
  </si>
  <si>
    <t>Responsable comptable / Contrôleur interne</t>
  </si>
  <si>
    <t>MC-006</t>
  </si>
  <si>
    <t>Contrôle du cycle ressources humaines et administration</t>
  </si>
  <si>
    <t>Responsable RH / Contrôleur interne</t>
  </si>
  <si>
    <t>MC-007</t>
  </si>
  <si>
    <t>Contrôle du cycle achats et patrimoine</t>
  </si>
  <si>
    <t>Administration / Contrôleur interne</t>
  </si>
  <si>
    <t>MC-008</t>
  </si>
  <si>
    <t>Contrôle du sécurité du système d'information</t>
  </si>
  <si>
    <t>Administrateur système / Contrôleur interne</t>
  </si>
  <si>
    <t>MC-009</t>
  </si>
  <si>
    <t>Contrôle du reporting et suivi du contrôle interne</t>
  </si>
  <si>
    <t>Responsable contrôle interne</t>
  </si>
  <si>
    <t>Risque</t>
  </si>
  <si>
    <t>Cause</t>
  </si>
  <si>
    <t>Impact_attendu</t>
  </si>
  <si>
    <t>Probabilité_1_5</t>
  </si>
  <si>
    <t>Impact_1_5</t>
  </si>
  <si>
    <t>Score</t>
  </si>
  <si>
    <t>Niveau</t>
  </si>
  <si>
    <t>Seuil_tolérance</t>
  </si>
  <si>
    <t>Contrôle_associe</t>
  </si>
  <si>
    <t>Traitement</t>
  </si>
  <si>
    <t>R-001</t>
  </si>
  <si>
    <t>Non-remboursement / dégradation du portefeuille</t>
  </si>
  <si>
    <t>Analyse insuffisante, suivi faible</t>
  </si>
  <si>
    <t>PAR élevé, pertes, provisions</t>
  </si>
  <si>
    <t>Instruction, PAR, provisions</t>
  </si>
  <si>
    <t>Renforcer analyse et suivi recouvrement</t>
  </si>
  <si>
    <t>R-002</t>
  </si>
  <si>
    <t>Erreur ou détournement de caisse</t>
  </si>
  <si>
    <t>Contrôles faibles, accès non maîtrisé</t>
  </si>
  <si>
    <t>Pertes financières, fraude</t>
  </si>
  <si>
    <t>Arrêté caisse, contrôle inopiné</t>
  </si>
  <si>
    <t>Contrôles surprises et séparation des clés</t>
  </si>
  <si>
    <t>R-003</t>
  </si>
  <si>
    <t>Accès non autorisé au SIG</t>
  </si>
  <si>
    <t>Mots de passe partagés ou profils excessifs</t>
  </si>
  <si>
    <t>Altération données, fraude, fuite</t>
  </si>
  <si>
    <t>Gestion accès, logs, révocation</t>
  </si>
  <si>
    <t>Revue mensuelle des profils</t>
  </si>
  <si>
    <t>R-004</t>
  </si>
  <si>
    <t>Rupture de liquidité ou risque de change</t>
  </si>
  <si>
    <t>Prévision cash faible, fluctuation USD/CDF</t>
  </si>
  <si>
    <t>Incapacité de paiement, pertes change</t>
  </si>
  <si>
    <t>Position de change, rapprochements</t>
  </si>
  <si>
    <t>Suivi position et plan de liquidité</t>
  </si>
  <si>
    <t>Date_incident</t>
  </si>
  <si>
    <t>Type_incident</t>
  </si>
  <si>
    <t>Gravité</t>
  </si>
  <si>
    <t>Montant_estimé</t>
  </si>
  <si>
    <t>Action_immédiate</t>
  </si>
  <si>
    <t>Date_clôture</t>
  </si>
  <si>
    <t>Lien_preuve</t>
  </si>
  <si>
    <t>Source</t>
  </si>
  <si>
    <t>Date_émission</t>
  </si>
  <si>
    <t>EPA-001</t>
  </si>
  <si>
    <t>Ouverture de compte</t>
  </si>
  <si>
    <t>Sécuriser l'identification des épargnants</t>
  </si>
  <si>
    <t>Dossier KYC complet à l'ouverture du compte</t>
  </si>
  <si>
    <t>Dossier client</t>
  </si>
  <si>
    <t>Manuel CI - 3.2 / 4.2</t>
  </si>
  <si>
    <t>EPA-002</t>
  </si>
  <si>
    <t>Assurer la traçabilité client</t>
  </si>
  <si>
    <t>Pièce d'identité, photo et signature disponibles</t>
  </si>
  <si>
    <t>Fiche ouverture compte</t>
  </si>
  <si>
    <t>EPA-003</t>
  </si>
  <si>
    <t>Réactivation</t>
  </si>
  <si>
    <t>Limiter les comptes dormants frauduleux</t>
  </si>
  <si>
    <t>Procédure de réactivation documentée et approuvée</t>
  </si>
  <si>
    <t>Formulaire réactivation</t>
  </si>
  <si>
    <t>EPA-004</t>
  </si>
  <si>
    <t>Comptes dormants</t>
  </si>
  <si>
    <t>Suivre les comptes sensibles</t>
  </si>
  <si>
    <t>Liste des comptes dormants/sensibles revue périodiquement</t>
  </si>
  <si>
    <t>Liste comptes dormants</t>
  </si>
  <si>
    <t>EPA-005</t>
  </si>
  <si>
    <t>Intérêts</t>
  </si>
  <si>
    <t>Garantir l'exactitude des calculs</t>
  </si>
  <si>
    <t>Calcul et versement des intérêts vérifiés</t>
  </si>
  <si>
    <t>État intérêts</t>
  </si>
  <si>
    <t>EPA-006</t>
  </si>
  <si>
    <t>Opérations clients</t>
  </si>
  <si>
    <t>Vérifier la concordance livret/SIG</t>
  </si>
  <si>
    <t>Montants du livret physique rapprochés avec relevé de compte SIG</t>
  </si>
  <si>
    <t>Livret, relevé compte</t>
  </si>
  <si>
    <t>EPA-007</t>
  </si>
  <si>
    <t>Retraits/versements</t>
  </si>
  <si>
    <t>Respecter les autorisations</t>
  </si>
  <si>
    <t>Plafonds d'autorisation pour retraits et versements contrôlés</t>
  </si>
  <si>
    <t>Bordereaux, grille seuils</t>
  </si>
  <si>
    <t>EPA-008</t>
  </si>
  <si>
    <t>Contrôles terrain</t>
  </si>
  <si>
    <t>Détecter les opérations fictives</t>
  </si>
  <si>
    <t>Confirmations directes/inopinées réalisées auprès d'un échantillon de clients</t>
  </si>
  <si>
    <t>PV confirmation</t>
  </si>
  <si>
    <t>CAI-001</t>
  </si>
  <si>
    <t>Ouverture/Fermeture</t>
  </si>
  <si>
    <t>Sécuriser la caisse</t>
  </si>
  <si>
    <t>Procédures d'ouverture et de fermeture de caisse appliquées</t>
  </si>
  <si>
    <t>PV ouverture/fermeture</t>
  </si>
  <si>
    <t>Manuel CI - 3.3.1 / 4.3</t>
  </si>
  <si>
    <t>CAI-002</t>
  </si>
  <si>
    <t>Arrêté de caisse</t>
  </si>
  <si>
    <t>Garantir la concordance physique/SIG</t>
  </si>
  <si>
    <t>Comptage physique quotidien effectué et signé</t>
  </si>
  <si>
    <t>PV arrêté caisse</t>
  </si>
  <si>
    <t>CAI-003</t>
  </si>
  <si>
    <t>Identifier les écarts</t>
  </si>
  <si>
    <t>Solde physique rapproché avec le solde théorique du SIG</t>
  </si>
  <si>
    <t>Journal SIG, brouillard</t>
  </si>
  <si>
    <t>CAI-004</t>
  </si>
  <si>
    <t>Plafond encaisse</t>
  </si>
  <si>
    <t>Réduire le risque de détention excessive de cash</t>
  </si>
  <si>
    <t>Plafond d'encaisse par caissier/agence respecté</t>
  </si>
  <si>
    <t>État encaisse</t>
  </si>
  <si>
    <t>CAI-005</t>
  </si>
  <si>
    <t>Écarts de caisse</t>
  </si>
  <si>
    <t>Encadrer les manquants/excédents</t>
  </si>
  <si>
    <t>Tout écart est documenté, validé et traité selon procédure</t>
  </si>
  <si>
    <t>Fiche écart</t>
  </si>
  <si>
    <t>CAI-006</t>
  </si>
  <si>
    <t>Détecter les anomalies</t>
  </si>
  <si>
    <t>Contrôle de caisse surprise réalisé au moins une fois par semaine</t>
  </si>
  <si>
    <t>PV contrôle inopiné</t>
  </si>
  <si>
    <t>CAI-007</t>
  </si>
  <si>
    <t>Sécurité physique</t>
  </si>
  <si>
    <t>Sécuriser les espèces</t>
  </si>
  <si>
    <t>Accès local/coffre limité aux personnes autorisées</t>
  </si>
  <si>
    <t>Check-list sécurité</t>
  </si>
  <si>
    <t>CAI-008</t>
  </si>
  <si>
    <t>Renforcer la surveillance</t>
  </si>
  <si>
    <t>Caméras/alarme couvrent la zone de manipulation des billets</t>
  </si>
  <si>
    <t>PV vérification sécurité</t>
  </si>
  <si>
    <t>CAI-009</t>
  </si>
  <si>
    <t>Conformité opérations</t>
  </si>
  <si>
    <t>Sécuriser les flux</t>
  </si>
  <si>
    <t>Justificatifs, signatures et identité vérifiés pour les retraits</t>
  </si>
  <si>
    <t>Bordereaux, pièces identité</t>
  </si>
  <si>
    <t>CAI-010</t>
  </si>
  <si>
    <t>Archivage</t>
  </si>
  <si>
    <t>Assurer la piste d'audit</t>
  </si>
  <si>
    <t>Brouillards de caisse et bordereaux de transfert classés</t>
  </si>
  <si>
    <t>Classement caisse</t>
  </si>
  <si>
    <t>TRE-001</t>
  </si>
  <si>
    <t>Rapprochement bancaire</t>
  </si>
  <si>
    <t>Assurer la concordance banque/comptabilité</t>
  </si>
  <si>
    <t>Rapprochement bancaire mensuel établi et validé hiérarchiquement</t>
  </si>
  <si>
    <t>État rapprochement</t>
  </si>
  <si>
    <t>Manuel CI - 3.3.2 / 4.4</t>
  </si>
  <si>
    <t>TRE-002</t>
  </si>
  <si>
    <t>Signatures autorisées</t>
  </si>
  <si>
    <t>Respecter le principe des quatre yeux</t>
  </si>
  <si>
    <t>Double signature obligatoire sur chèques, virements et retraits</t>
  </si>
  <si>
    <t>Ordres, chèques</t>
  </si>
  <si>
    <t>TRE-003</t>
  </si>
  <si>
    <t>Comptes bancaires</t>
  </si>
  <si>
    <t>Maintenir les droits bancaires à jour</t>
  </si>
  <si>
    <t>Liste des signatures autorisées actualisée</t>
  </si>
  <si>
    <t>Mandats bancaires</t>
  </si>
  <si>
    <t>TRE-004</t>
  </si>
  <si>
    <t>Mouvements de fonds</t>
  </si>
  <si>
    <t>Assurer la traçabilité des transferts</t>
  </si>
  <si>
    <t>Transferts de fonds documentés et validés</t>
  </si>
  <si>
    <t>Bordereaux transfert</t>
  </si>
  <si>
    <t>TRE-005</t>
  </si>
  <si>
    <t>Change USD/CDF</t>
  </si>
  <si>
    <t>Suivre le risque de change</t>
  </si>
  <si>
    <t>Position de change USD/CDF suivie et analysée</t>
  </si>
  <si>
    <t>État position change</t>
  </si>
  <si>
    <t>TRE-006</t>
  </si>
  <si>
    <t>Séparation des tâches</t>
  </si>
  <si>
    <t>Limiter les conflits d'intérêts</t>
  </si>
  <si>
    <t>Rapprochement fait par un agent indépendant de la manipulation des fonds</t>
  </si>
  <si>
    <t>Fiche responsabilité</t>
  </si>
  <si>
    <t>TRE-007</t>
  </si>
  <si>
    <t>Archivage bancaire</t>
  </si>
  <si>
    <t>Conserver les preuves</t>
  </si>
  <si>
    <t>Relevés, bordereaux et états de rapprochement classés</t>
  </si>
  <si>
    <t>Dossier banque</t>
  </si>
  <si>
    <t>COM-001</t>
  </si>
  <si>
    <t>Saisie comptable</t>
  </si>
  <si>
    <t>Garantir la fiabilité des écritures</t>
  </si>
  <si>
    <t>Chaque pièce comptable comporte visa d'imputation et d'approbation</t>
  </si>
  <si>
    <t>Pièce comptable</t>
  </si>
  <si>
    <t>Manuel CI - 3.4 / 4.5</t>
  </si>
  <si>
    <t>COM-002</t>
  </si>
  <si>
    <t>Dépenses</t>
  </si>
  <si>
    <t>Vérifier la régularité</t>
  </si>
  <si>
    <t>Factures fournisseurs contrôlées sur les plans fiscal et juridique avant paiement</t>
  </si>
  <si>
    <t>Facture, bon paiement</t>
  </si>
  <si>
    <t>COM-003</t>
  </si>
  <si>
    <t>Assurer la disponibilité des preuves</t>
  </si>
  <si>
    <t>Archivage physique et numérique sécurisé des pièces justificatives</t>
  </si>
  <si>
    <t>Dossier archives</t>
  </si>
  <si>
    <t>COM-004</t>
  </si>
  <si>
    <t>Clôture mensuelle</t>
  </si>
  <si>
    <t>Produire des états sincères</t>
  </si>
  <si>
    <t>Balance mensuelle vérifiée et analysée</t>
  </si>
  <si>
    <t>Balance générale</t>
  </si>
  <si>
    <t>COM-005</t>
  </si>
  <si>
    <t>Comptes d'attente</t>
  </si>
  <si>
    <t>Limiter les écritures non justifiées</t>
  </si>
  <si>
    <t>Comptes d'attente et de liaison justifiés ou soldés en fin de mois</t>
  </si>
  <si>
    <t>Analyse comptes</t>
  </si>
  <si>
    <t>COM-006</t>
  </si>
  <si>
    <t>Ratios réglementaires</t>
  </si>
  <si>
    <t>Respecter les exigences BCC</t>
  </si>
  <si>
    <t>Ratios réglementaires contrôlés avant transmission à l'autorité</t>
  </si>
  <si>
    <t>État ratios</t>
  </si>
  <si>
    <t>COM-007</t>
  </si>
  <si>
    <t>Provisionnement</t>
  </si>
  <si>
    <t>Couvrir le risque crédit</t>
  </si>
  <si>
    <t>Provisionnement du portefeuille à risque conforme aux règles applicables</t>
  </si>
  <si>
    <t>État provisions</t>
  </si>
  <si>
    <t>COM-008</t>
  </si>
  <si>
    <t>Clôture annuelle</t>
  </si>
  <si>
    <t>Sécuriser les comptes annuels</t>
  </si>
  <si>
    <t>Procédures de clôture annuelle documentées et validées</t>
  </si>
  <si>
    <t>Dossier clôture</t>
  </si>
  <si>
    <t>RH_-001</t>
  </si>
  <si>
    <t>Recrutement</t>
  </si>
  <si>
    <t>Encadrer l'entrée du personnel</t>
  </si>
  <si>
    <t>Processus de recrutement et d'intégration documenté</t>
  </si>
  <si>
    <t>Dossier recrutement</t>
  </si>
  <si>
    <t>Manuel CI - 3.5 / 4.6</t>
  </si>
  <si>
    <t>RH_-002</t>
  </si>
  <si>
    <t>Dossier personnel</t>
  </si>
  <si>
    <t>Garantir la conformité RH</t>
  </si>
  <si>
    <t>Dossiers du personnel complets : diplômes, casier, contrat signé</t>
  </si>
  <si>
    <t>Dossier agent</t>
  </si>
  <si>
    <t>RH_-003</t>
  </si>
  <si>
    <t>Paie</t>
  </si>
  <si>
    <t>Limiter les erreurs et fraudes de paie</t>
  </si>
  <si>
    <t>Double contrôle du calcul de la paie RH et Comptabilité/Finances</t>
  </si>
  <si>
    <t>État paie validé</t>
  </si>
  <si>
    <t>RH_-004</t>
  </si>
  <si>
    <t>Congés/évaluations</t>
  </si>
  <si>
    <t>Suivre les droits et performances</t>
  </si>
  <si>
    <t>Congés et évaluations suivis et documentés</t>
  </si>
  <si>
    <t>Registre congés</t>
  </si>
  <si>
    <t>RH_-005</t>
  </si>
  <si>
    <t>Postes sensibles</t>
  </si>
  <si>
    <t>Réduire le risque de fraude</t>
  </si>
  <si>
    <t>Rotation des postes sensibles appliquée ou justifiée</t>
  </si>
  <si>
    <t>Planning rotation</t>
  </si>
  <si>
    <t>RH_-006</t>
  </si>
  <si>
    <t>Accès physiques</t>
  </si>
  <si>
    <t>Sécuriser les locaux et coffres</t>
  </si>
  <si>
    <t>Gestion des clés, coffres et accès physiques documentée</t>
  </si>
  <si>
    <t>Registre clés</t>
  </si>
  <si>
    <t>RH_-007</t>
  </si>
  <si>
    <t>Immobilisations</t>
  </si>
  <si>
    <t>Protéger le patrimoine</t>
  </si>
  <si>
    <t>Inventaire physique annuel des immobilisations réalisé</t>
  </si>
  <si>
    <t>PV inventaire</t>
  </si>
  <si>
    <t>ACH-001</t>
  </si>
  <si>
    <t>Achats</t>
  </si>
  <si>
    <t>Optimiser les coûts</t>
  </si>
  <si>
    <t>Mise en concurrence avec au moins 3 devis pour achats au-delà du seuil</t>
  </si>
  <si>
    <t>Dossier achat</t>
  </si>
  <si>
    <t>Manuel CI - 3.6 / 4.6.3</t>
  </si>
  <si>
    <t>ACH-002</t>
  </si>
  <si>
    <t>Autorisation d'achat conforme au seuil et à la délégation</t>
  </si>
  <si>
    <t>Bon de commande</t>
  </si>
  <si>
    <t>ACH-003</t>
  </si>
  <si>
    <t>Assurer la traçabilité des biens</t>
  </si>
  <si>
    <t>Registre des immobilisations tenu et actualisé</t>
  </si>
  <si>
    <t>Registre immo</t>
  </si>
  <si>
    <t>ACH-004</t>
  </si>
  <si>
    <t>Identifier les actifs</t>
  </si>
  <si>
    <t>Biens codifiés/étiquetés et affectations documentées</t>
  </si>
  <si>
    <t>Étiquettes, fiche affectation</t>
  </si>
  <si>
    <t>ACH-005</t>
  </si>
  <si>
    <t>Inventaire</t>
  </si>
  <si>
    <t>Vérifier l'existence physique</t>
  </si>
  <si>
    <t>Inventaire physique annuel réalisé et rapproché au registre</t>
  </si>
  <si>
    <t>ACH-006</t>
  </si>
  <si>
    <t>Fournitures</t>
  </si>
  <si>
    <t>Limiter les pertes</t>
  </si>
  <si>
    <t>Stocks de fournitures contrôlés et rapprochés aux sorties</t>
  </si>
  <si>
    <t>Fiche stock</t>
  </si>
  <si>
    <t>ACH-007</t>
  </si>
  <si>
    <t>Sorties patrimoine</t>
  </si>
  <si>
    <t>Préserver les actifs</t>
  </si>
  <si>
    <t>Sorties, transferts ou cessions de biens autorisés et documentés</t>
  </si>
  <si>
    <t>PV sortie/cession</t>
  </si>
  <si>
    <t>SI_-001</t>
  </si>
  <si>
    <t>Gestion des accès</t>
  </si>
  <si>
    <t>Empêcher les accès non autorisés</t>
  </si>
  <si>
    <t>Profils utilisateurs attribués selon le principe du besoin d'en connaître</t>
  </si>
  <si>
    <t>Matrice accès</t>
  </si>
  <si>
    <t>Manuel CI - 3.7 / 4.7</t>
  </si>
  <si>
    <t>SI_-002</t>
  </si>
  <si>
    <t>Sécuriser les comptes utilisateurs</t>
  </si>
  <si>
    <t>Mots de passe forts, personnels et renouvelés périodiquement</t>
  </si>
  <si>
    <t>Politique mots de passe</t>
  </si>
  <si>
    <t>SI_-003</t>
  </si>
  <si>
    <t>Éviter les usages non traçables</t>
  </si>
  <si>
    <t>Partage d'identifiants et de sessions interdit et contrôlé</t>
  </si>
  <si>
    <t>Journal accès</t>
  </si>
  <si>
    <t>SI_-004</t>
  </si>
  <si>
    <t>Agents sortants</t>
  </si>
  <si>
    <t>Fermer les accès à temps</t>
  </si>
  <si>
    <t>Accès des agents suspendus, sortants ou démissionnaires désactivés immédiatement</t>
  </si>
  <si>
    <t>Fiche sortie agent</t>
  </si>
  <si>
    <t>SI_-005</t>
  </si>
  <si>
    <t>Sauvegardes</t>
  </si>
  <si>
    <t>Préserver les données</t>
  </si>
  <si>
    <t>Sauvegarde quotidienne automatisée des bases SIG réalisée</t>
  </si>
  <si>
    <t>Journal backup</t>
  </si>
  <si>
    <t>SI_-006</t>
  </si>
  <si>
    <t>Externalisation</t>
  </si>
  <si>
    <t>Réduire le risque de perte totale</t>
  </si>
  <si>
    <t>Sauvegarde externalisée sur cloud sécurisé ou serveur distant</t>
  </si>
  <si>
    <t>Preuve externalisation</t>
  </si>
  <si>
    <t>SI_-007</t>
  </si>
  <si>
    <t>Restauration</t>
  </si>
  <si>
    <t>Vérifier l'utilisabilité des backups</t>
  </si>
  <si>
    <t>Test de restauration réalisé périodiquement et documenté</t>
  </si>
  <si>
    <t>PV test restauration</t>
  </si>
  <si>
    <t>SI_-008</t>
  </si>
  <si>
    <t>Continuité</t>
  </si>
  <si>
    <t>Assurer la reprise d'activité</t>
  </si>
  <si>
    <t>Plan de reprise d'activité disponible et testé</t>
  </si>
  <si>
    <t>PRA, rapport test</t>
  </si>
  <si>
    <t>REP-001</t>
  </si>
  <si>
    <t>Rapport mensuel</t>
  </si>
  <si>
    <t>Informer la Direction Générale</t>
  </si>
  <si>
    <t>Rapport mensuel de contrôle permanent produit et transmis</t>
  </si>
  <si>
    <t>Manuel CI - 2.5 / 2.6</t>
  </si>
  <si>
    <t>REP-002</t>
  </si>
  <si>
    <t>Rapport trimestriel</t>
  </si>
  <si>
    <t>Informer le Comité d'Audit et le Conseil</t>
  </si>
  <si>
    <t>Rapport trimestriel préparé et transmis</t>
  </si>
  <si>
    <t>REP-003</t>
  </si>
  <si>
    <t>Rapport annuel</t>
  </si>
  <si>
    <t>Respecter les exigences réglementaires</t>
  </si>
  <si>
    <t>Rapport annuel sur le contrôle interne transmis à la BCC</t>
  </si>
  <si>
    <t>REP-004</t>
  </si>
  <si>
    <t>Suivi recommandations</t>
  </si>
  <si>
    <t>Corriger les faiblesses</t>
  </si>
  <si>
    <t>Plans d'actions correctives suivis jusqu'à clôture</t>
  </si>
  <si>
    <t>Tableau suivi actions</t>
  </si>
  <si>
    <t>REP-005</t>
  </si>
  <si>
    <t>Audit/BCC</t>
  </si>
  <si>
    <t>Assurer la mise en œuvre</t>
  </si>
  <si>
    <t>Recommandations audit interne, audit externe et inspections BCC suivies</t>
  </si>
  <si>
    <t>Rapports audit/BCC</t>
  </si>
  <si>
    <t>REP-006</t>
  </si>
  <si>
    <t>Traçabilité</t>
  </si>
  <si>
    <t>Préserver la piste d'audit</t>
  </si>
  <si>
    <t>Preuves de transmission et accusés de réception archivés</t>
  </si>
  <si>
    <t>Emails, bordereaux</t>
  </si>
  <si>
    <t>Nom défini</t>
  </si>
  <si>
    <t>Formule logique (FR)</t>
  </si>
  <si>
    <t>REF_AGENCES</t>
  </si>
  <si>
    <t>=DECALER(PARAMETRES!$A$2;0;0;NBVAL(PARAMETRES!$A:$A)-1;1)</t>
  </si>
  <si>
    <t>Liste dynamique des agences / points de service</t>
  </si>
  <si>
    <t>REF_CYCLES</t>
  </si>
  <si>
    <t>=DECALER(PARAMETRES!$B$2;0;0;NBVAL(PARAMETRES!$B:$B)-1;1)</t>
  </si>
  <si>
    <t>Liste dynamique des cycles de contrôle</t>
  </si>
  <si>
    <t>REF_TYPES_MISSION</t>
  </si>
  <si>
    <t>=DECALER(PARAMETRES!$C$2;0;0;NBVAL(PARAMETRES!$C:$C)-1;1)</t>
  </si>
  <si>
    <t>Liste dynamique des types de mission</t>
  </si>
  <si>
    <t>REF_FREQUENCES</t>
  </si>
  <si>
    <t>=DECALER(PARAMETRES!$D$2;0;0;NBVAL(PARAMETRES!$D:$D)-1;1)</t>
  </si>
  <si>
    <t>Liste dynamique des fréquences</t>
  </si>
  <si>
    <t>REF_NIVEAUX_RISQUE</t>
  </si>
  <si>
    <t>=DECALER(PARAMETRES!$E$2;0;0;NBVAL(PARAMETRES!$E:$E)-1;1)</t>
  </si>
  <si>
    <t>Liste dynamique des niveaux de risque</t>
  </si>
  <si>
    <t>REF_RESULTATS_CONTROLE</t>
  </si>
  <si>
    <t>=DECALER(PARAMETRES!$F$2;0;0;NBVAL(PARAMETRES!$F:$F)-1;1)</t>
  </si>
  <si>
    <t>Liste dynamique des résultats de contrôle</t>
  </si>
  <si>
    <t>REF_GRAVITES_ANOMALIE</t>
  </si>
  <si>
    <t>=DECALER(PARAMETRES!$G$2;0;0;NBVAL(PARAMETRES!$G:$G)-1;1)</t>
  </si>
  <si>
    <t>Liste dynamique des gravités d'anomalie</t>
  </si>
  <si>
    <t>REF_STATUTS_ACTION</t>
  </si>
  <si>
    <t>=DECALER(PARAMETRES!$H$2;0;0;NBVAL(PARAMETRES!$H:$H)-1;1)</t>
  </si>
  <si>
    <t>Liste dynamique des statuts d'action</t>
  </si>
  <si>
    <t>REF_TYPES_INCIDENT</t>
  </si>
  <si>
    <t>=DECALER(PARAMETRES!$I$2;0;0;NBVAL(PARAMETRES!$I:$I)-1;1)</t>
  </si>
  <si>
    <t>Liste dynamique des types d'incident</t>
  </si>
  <si>
    <t>REF_RESPONSABLES</t>
  </si>
  <si>
    <t>=DECALER(PARAMETRES!$J$2;0;0;NBVAL(PARAMETRES!$J:$J)-1;1)</t>
  </si>
  <si>
    <t>Liste dynamique des responsables</t>
  </si>
  <si>
    <t>REF_PRIORITES</t>
  </si>
  <si>
    <t>=DECALER(PARAMETRES!$K$2;0;0;NBVAL(PARAMETRES!$K:$K)-1;1)</t>
  </si>
  <si>
    <t>Liste dynamique des priorités</t>
  </si>
  <si>
    <t>REF_SOURCES_RECO</t>
  </si>
  <si>
    <t>=DECALER(PARAMETRES!$L$2;0;0;NBVAL(PARAMETRES!$L:$L)-1;1)</t>
  </si>
  <si>
    <t>Liste dynamique des sources de recommandation</t>
  </si>
  <si>
    <t>REF_TRIMESTRES</t>
  </si>
  <si>
    <t>=DECALER(PARAMETRES!$M$2;0;0;NBVAL(PARAMETRES!$M:$M)-1;1)</t>
  </si>
  <si>
    <t>Liste dynamique des trimestres</t>
  </si>
  <si>
    <t>REF_OUINON</t>
  </si>
  <si>
    <t>=DECALER(PARAMETRES!$N$2;0;0;NBVAL(PARAMETRES!$N:$N)-1;1)</t>
  </si>
  <si>
    <t>Liste dynamique Oui/Non/N/A</t>
  </si>
  <si>
    <t>Listes déroulantes dynamiques</t>
  </si>
  <si>
    <t>Les listes sont alimentées par des noms définis dans le Gestionnaire de noms : REF_AGENCES, REF_CYCLES, REF_STATUTS_ACTION, etc. Ajoutez simplement une valeur sous la colonne correspondante dans PARAMETRES pour l’intégrer automatiquement.</t>
  </si>
  <si>
    <t>Partiellement conforme</t>
  </si>
  <si>
    <t>À traiter</t>
  </si>
  <si>
    <t>Normale</t>
  </si>
  <si>
    <t>Moyenne</t>
  </si>
  <si>
    <t>Haute</t>
  </si>
  <si>
    <t>Très haute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</si>
</sst>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1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4" fontId="3" fillId="4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38"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rPr lang="fr-FR"/>
              <a:t>Contrôles et non-conformités par cycle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Points préchargés</c:v>
          </c:tx>
          <c:invertIfNegative val="1"/>
          <c:cat>
            <c:strRef>
              <c:f>DASHBOARD!$A$10:$A$18</c:f>
              <c:strCache>
                <c:ptCount val="9"/>
                <c:pt idx="0">
                  <c:v>Cycle crédit</c:v>
                </c:pt>
                <c:pt idx="1">
                  <c:v>Cycle épargne</c:v>
                </c:pt>
                <c:pt idx="2">
                  <c:v>Cycle caisse et guichet</c:v>
                </c:pt>
                <c:pt idx="3">
                  <c:v>Cycle trésorerie et banque</c:v>
                </c:pt>
                <c:pt idx="4">
                  <c:v>Cycle comptable et financier</c:v>
                </c:pt>
                <c:pt idx="5">
                  <c:v>Cycle ressources humaines et administration</c:v>
                </c:pt>
                <c:pt idx="6">
                  <c:v>Cycle achats et patrimoine</c:v>
                </c:pt>
                <c:pt idx="7">
                  <c:v>Sécurité du système d'information</c:v>
                </c:pt>
                <c:pt idx="8">
                  <c:v>Reporting et suivi du contrôle interne</c:v>
                </c:pt>
              </c:strCache>
            </c:strRef>
          </c:cat>
          <c:val>
            <c:numRef>
              <c:f>DASHBOARD!$B$10:$B$18</c:f>
              <c:numCache>
                <c:formatCode>0</c:formatCode>
                <c:ptCount val="9"/>
                <c:pt idx="0">
                  <c:v>1</c:v>
                </c:pt>
                <c:pt idx="1">
                  <c:v>8</c:v>
                </c:pt>
                <c:pt idx="2">
                  <c:v>10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1-47A9-B32E-684A5624749B}"/>
            </c:ext>
          </c:extLst>
        </c:ser>
        <c:ser>
          <c:idx val="1"/>
          <c:order val="1"/>
          <c:tx>
            <c:v>Contrôles réalisés</c:v>
          </c:tx>
          <c:invertIfNegative val="1"/>
          <c:cat>
            <c:strRef>
              <c:f>DASHBOARD!$A$10:$A$18</c:f>
              <c:strCache>
                <c:ptCount val="9"/>
                <c:pt idx="0">
                  <c:v>Cycle crédit</c:v>
                </c:pt>
                <c:pt idx="1">
                  <c:v>Cycle épargne</c:v>
                </c:pt>
                <c:pt idx="2">
                  <c:v>Cycle caisse et guichet</c:v>
                </c:pt>
                <c:pt idx="3">
                  <c:v>Cycle trésorerie et banque</c:v>
                </c:pt>
                <c:pt idx="4">
                  <c:v>Cycle comptable et financier</c:v>
                </c:pt>
                <c:pt idx="5">
                  <c:v>Cycle ressources humaines et administration</c:v>
                </c:pt>
                <c:pt idx="6">
                  <c:v>Cycle achats et patrimoine</c:v>
                </c:pt>
                <c:pt idx="7">
                  <c:v>Sécurité du système d'information</c:v>
                </c:pt>
                <c:pt idx="8">
                  <c:v>Reporting et suivi du contrôle interne</c:v>
                </c:pt>
              </c:strCache>
            </c:strRef>
          </c:cat>
          <c:val>
            <c:numRef>
              <c:f>DASHBOARD!$C$10:$C$18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91-47A9-B32E-684A5624749B}"/>
            </c:ext>
          </c:extLst>
        </c:ser>
        <c:ser>
          <c:idx val="2"/>
          <c:order val="2"/>
          <c:tx>
            <c:v>Conformes</c:v>
          </c:tx>
          <c:invertIfNegative val="1"/>
          <c:cat>
            <c:strRef>
              <c:f>DASHBOARD!$A$10:$A$18</c:f>
              <c:strCache>
                <c:ptCount val="9"/>
                <c:pt idx="0">
                  <c:v>Cycle crédit</c:v>
                </c:pt>
                <c:pt idx="1">
                  <c:v>Cycle épargne</c:v>
                </c:pt>
                <c:pt idx="2">
                  <c:v>Cycle caisse et guichet</c:v>
                </c:pt>
                <c:pt idx="3">
                  <c:v>Cycle trésorerie et banque</c:v>
                </c:pt>
                <c:pt idx="4">
                  <c:v>Cycle comptable et financier</c:v>
                </c:pt>
                <c:pt idx="5">
                  <c:v>Cycle ressources humaines et administration</c:v>
                </c:pt>
                <c:pt idx="6">
                  <c:v>Cycle achats et patrimoine</c:v>
                </c:pt>
                <c:pt idx="7">
                  <c:v>Sécurité du système d'information</c:v>
                </c:pt>
                <c:pt idx="8">
                  <c:v>Reporting et suivi du contrôle interne</c:v>
                </c:pt>
              </c:strCache>
            </c:strRef>
          </c:cat>
          <c:val>
            <c:numRef>
              <c:f>DASHBOARD!$D$10:$D$18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91-47A9-B32E-684A5624749B}"/>
            </c:ext>
          </c:extLst>
        </c:ser>
        <c:ser>
          <c:idx val="3"/>
          <c:order val="3"/>
          <c:tx>
            <c:v>Non conformes</c:v>
          </c:tx>
          <c:invertIfNegative val="1"/>
          <c:cat>
            <c:strRef>
              <c:f>DASHBOARD!$A$10:$A$18</c:f>
              <c:strCache>
                <c:ptCount val="9"/>
                <c:pt idx="0">
                  <c:v>Cycle crédit</c:v>
                </c:pt>
                <c:pt idx="1">
                  <c:v>Cycle épargne</c:v>
                </c:pt>
                <c:pt idx="2">
                  <c:v>Cycle caisse et guichet</c:v>
                </c:pt>
                <c:pt idx="3">
                  <c:v>Cycle trésorerie et banque</c:v>
                </c:pt>
                <c:pt idx="4">
                  <c:v>Cycle comptable et financier</c:v>
                </c:pt>
                <c:pt idx="5">
                  <c:v>Cycle ressources humaines et administration</c:v>
                </c:pt>
                <c:pt idx="6">
                  <c:v>Cycle achats et patrimoine</c:v>
                </c:pt>
                <c:pt idx="7">
                  <c:v>Sécurité du système d'information</c:v>
                </c:pt>
                <c:pt idx="8">
                  <c:v>Reporting et suivi du contrôle interne</c:v>
                </c:pt>
              </c:strCache>
            </c:strRef>
          </c:cat>
          <c:val>
            <c:numRef>
              <c:f>DASHBOARD!$E$10:$E$18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91-47A9-B32E-684A56247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odeleBD" displayName="TblModeleBD" ref="A1:E8">
  <tableColumns count="5">
    <tableColumn id="1" xr3:uid="{00000000-0010-0000-0000-000001000000}" name="Table / Feuille"/>
    <tableColumn id="2" xr3:uid="{00000000-0010-0000-0000-000002000000}" name="Description"/>
    <tableColumn id="3" xr3:uid="{00000000-0010-0000-0000-000003000000}" name="Clé primaire"/>
    <tableColumn id="4" xr3:uid="{00000000-0010-0000-0000-000004000000}" name="Champs importants"/>
    <tableColumn id="5" xr3:uid="{00000000-0010-0000-0000-000005000000}" name="Relations / us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blCredit" displayName="TblCredit" ref="A1:W297">
  <tableColumns count="23">
    <tableColumn id="1" xr3:uid="{00000000-0010-0000-0100-000001000000}" name="ID_Controle"/>
    <tableColumn id="2" xr3:uid="{00000000-0010-0000-0100-000002000000}" name="Date_controle"/>
    <tableColumn id="3" xr3:uid="{00000000-0010-0000-0100-000003000000}" name="Agence"/>
    <tableColumn id="4" xr3:uid="{00000000-0010-0000-0100-000004000000}" name="Cycle"/>
    <tableColumn id="5" xr3:uid="{00000000-0010-0000-0100-000005000000}" name="Sous_cycle"/>
    <tableColumn id="6" xr3:uid="{00000000-0010-0000-0100-000006000000}" name="Objectif"/>
    <tableColumn id="7" xr3:uid="{00000000-0010-0000-0100-000007000000}" name="Point_de_controle"/>
    <tableColumn id="8" xr3:uid="{00000000-0010-0000-0100-000008000000}" name="Fréquence"/>
    <tableColumn id="9" xr3:uid="{00000000-0010-0000-0100-000009000000}" name="Responsable_controle"/>
    <tableColumn id="10" xr3:uid="{00000000-0010-0000-0100-00000A000000}" name="Niveau_risque"/>
    <tableColumn id="11" xr3:uid="{00000000-0010-0000-0100-00000B000000}" name="Document_preuve_attendu"/>
    <tableColumn id="12" xr3:uid="{00000000-0010-0000-0100-00000C000000}" name="Résultat_controle"/>
    <tableColumn id="13" xr3:uid="{00000000-0010-0000-0100-00000D000000}" name="Gravité_anomalie"/>
    <tableColumn id="14" xr3:uid="{00000000-0010-0000-0100-00000E000000}" name="Constat"/>
    <tableColumn id="15" xr3:uid="{00000000-0010-0000-0100-00000F000000}" name="Recommandation"/>
    <tableColumn id="16" xr3:uid="{00000000-0010-0000-0100-000010000000}" name="Responsable_action"/>
    <tableColumn id="17" xr3:uid="{00000000-0010-0000-0100-000011000000}" name="Date_échéance"/>
    <tableColumn id="18" xr3:uid="{00000000-0010-0000-0100-000012000000}" name="Date_réalisation"/>
    <tableColumn id="19" xr3:uid="{00000000-0010-0000-0100-000013000000}" name="Statut_action"/>
    <tableColumn id="20" xr3:uid="{00000000-0010-0000-0100-000014000000}" name="Jours_retard"/>
    <tableColumn id="21" xr3:uid="{00000000-0010-0000-0100-000015000000}" name="Priorité"/>
    <tableColumn id="22" xr3:uid="{00000000-0010-0000-0100-000016000000}" name="Référence_manuel"/>
    <tableColumn id="23" xr3:uid="{00000000-0010-0000-0100-000017000000}" name="Commentai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PlanControle" displayName="TblPlanControle" ref="A1:M497">
  <tableColumns count="13">
    <tableColumn id="1" xr3:uid="{00000000-0010-0000-0200-000001000000}" name="ID_Mission"/>
    <tableColumn id="2" xr3:uid="{00000000-0010-0000-0200-000002000000}" name="Année"/>
    <tableColumn id="3" xr3:uid="{00000000-0010-0000-0200-000003000000}" name="Trimestre"/>
    <tableColumn id="4" xr3:uid="{00000000-0010-0000-0200-000004000000}" name="Cycle"/>
    <tableColumn id="5" xr3:uid="{00000000-0010-0000-0200-000005000000}" name="Agence"/>
    <tableColumn id="6" xr3:uid="{00000000-0010-0000-0200-000006000000}" name="Type_mission"/>
    <tableColumn id="7" xr3:uid="{00000000-0010-0000-0200-000007000000}" name="Objectif_mission"/>
    <tableColumn id="8" xr3:uid="{00000000-0010-0000-0200-000008000000}" name="Fréquence"/>
    <tableColumn id="9" xr3:uid="{00000000-0010-0000-0200-000009000000}" name="Responsable"/>
    <tableColumn id="10" xr3:uid="{00000000-0010-0000-0200-00000A000000}" name="Date_prévue"/>
    <tableColumn id="11" xr3:uid="{00000000-0010-0000-0200-00000B000000}" name="Date_réalisation"/>
    <tableColumn id="12" xr3:uid="{00000000-0010-0000-0200-00000C000000}" name="Statut"/>
    <tableColumn id="13" xr3:uid="{00000000-0010-0000-0200-00000D000000}" name="Commentai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Risques" displayName="TblRisques" ref="A1:N497">
  <tableColumns count="14">
    <tableColumn id="1" xr3:uid="{00000000-0010-0000-0300-000001000000}" name="ID_Risque"/>
    <tableColumn id="2" xr3:uid="{00000000-0010-0000-0300-000002000000}" name="Cycle"/>
    <tableColumn id="3" xr3:uid="{00000000-0010-0000-0300-000003000000}" name="Risque"/>
    <tableColumn id="4" xr3:uid="{00000000-0010-0000-0300-000004000000}" name="Cause"/>
    <tableColumn id="5" xr3:uid="{00000000-0010-0000-0300-000005000000}" name="Impact_attendu"/>
    <tableColumn id="6" xr3:uid="{00000000-0010-0000-0300-000006000000}" name="Probabilité_1_5"/>
    <tableColumn id="7" xr3:uid="{00000000-0010-0000-0300-000007000000}" name="Impact_1_5"/>
    <tableColumn id="8" xr3:uid="{00000000-0010-0000-0300-000008000000}" name="Score"/>
    <tableColumn id="9" xr3:uid="{00000000-0010-0000-0300-000009000000}" name="Niveau"/>
    <tableColumn id="10" xr3:uid="{00000000-0010-0000-0300-00000A000000}" name="Seuil_tolérance"/>
    <tableColumn id="11" xr3:uid="{00000000-0010-0000-0300-00000B000000}" name="Contrôle_associe"/>
    <tableColumn id="12" xr3:uid="{00000000-0010-0000-0300-00000C000000}" name="Traitement"/>
    <tableColumn id="13" xr3:uid="{00000000-0010-0000-0300-00000D000000}" name="Responsable"/>
    <tableColumn id="14" xr3:uid="{00000000-0010-0000-0300-00000E000000}" name="Statu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Incidents" displayName="TblIncidents" ref="A1:N497">
  <tableColumns count="14">
    <tableColumn id="1" xr3:uid="{00000000-0010-0000-0400-000001000000}" name="ID_Incident"/>
    <tableColumn id="2" xr3:uid="{00000000-0010-0000-0400-000002000000}" name="Date_incident"/>
    <tableColumn id="3" xr3:uid="{00000000-0010-0000-0400-000003000000}" name="Agence"/>
    <tableColumn id="4" xr3:uid="{00000000-0010-0000-0400-000004000000}" name="Cycle"/>
    <tableColumn id="5" xr3:uid="{00000000-0010-0000-0400-000005000000}" name="Type_incident"/>
    <tableColumn id="6" xr3:uid="{00000000-0010-0000-0400-000006000000}" name="Description"/>
    <tableColumn id="7" xr3:uid="{00000000-0010-0000-0400-000007000000}" name="Gravité"/>
    <tableColumn id="8" xr3:uid="{00000000-0010-0000-0400-000008000000}" name="Montant_estimé"/>
    <tableColumn id="9" xr3:uid="{00000000-0010-0000-0400-000009000000}" name="Action_immédiate"/>
    <tableColumn id="10" xr3:uid="{00000000-0010-0000-0400-00000A000000}" name="Responsable"/>
    <tableColumn id="11" xr3:uid="{00000000-0010-0000-0400-00000B000000}" name="Statut"/>
    <tableColumn id="12" xr3:uid="{00000000-0010-0000-0400-00000C000000}" name="Date_clôture"/>
    <tableColumn id="13" xr3:uid="{00000000-0010-0000-0400-00000D000000}" name="Lien_preuve"/>
    <tableColumn id="14" xr3:uid="{00000000-0010-0000-0400-00000E000000}" name="Commentair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blRecommandations" displayName="TblRecommandations" ref="A1:N497">
  <tableColumns count="14">
    <tableColumn id="1" xr3:uid="{00000000-0010-0000-0500-000001000000}" name="ID_Reco"/>
    <tableColumn id="2" xr3:uid="{00000000-0010-0000-0500-000002000000}" name="Source"/>
    <tableColumn id="3" xr3:uid="{00000000-0010-0000-0500-000003000000}" name="Cycle"/>
    <tableColumn id="4" xr3:uid="{00000000-0010-0000-0500-000004000000}" name="Agence"/>
    <tableColumn id="5" xr3:uid="{00000000-0010-0000-0500-000005000000}" name="Constat"/>
    <tableColumn id="6" xr3:uid="{00000000-0010-0000-0500-000006000000}" name="Risque"/>
    <tableColumn id="7" xr3:uid="{00000000-0010-0000-0500-000007000000}" name="Recommandation"/>
    <tableColumn id="8" xr3:uid="{00000000-0010-0000-0500-000008000000}" name="Responsable_action"/>
    <tableColumn id="9" xr3:uid="{00000000-0010-0000-0500-000009000000}" name="Date_émission"/>
    <tableColumn id="10" xr3:uid="{00000000-0010-0000-0500-00000A000000}" name="Date_échéance"/>
    <tableColumn id="11" xr3:uid="{00000000-0010-0000-0500-00000B000000}" name="Date_réalisation"/>
    <tableColumn id="12" xr3:uid="{00000000-0010-0000-0500-00000C000000}" name="Statut"/>
    <tableColumn id="13" xr3:uid="{00000000-0010-0000-0500-00000D000000}" name="Jours_retard"/>
    <tableColumn id="14" xr3:uid="{00000000-0010-0000-0500-00000E000000}" name="Lien_preuv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Epargne" displayName="TblEpargne" ref="A1:W297">
  <tableColumns count="23">
    <tableColumn id="1" xr3:uid="{00000000-0010-0000-0600-000001000000}" name="ID_Controle"/>
    <tableColumn id="2" xr3:uid="{00000000-0010-0000-0600-000002000000}" name="Date_controle"/>
    <tableColumn id="3" xr3:uid="{00000000-0010-0000-0600-000003000000}" name="Agence"/>
    <tableColumn id="4" xr3:uid="{00000000-0010-0000-0600-000004000000}" name="Cycle"/>
    <tableColumn id="5" xr3:uid="{00000000-0010-0000-0600-000005000000}" name="Sous_cycle"/>
    <tableColumn id="6" xr3:uid="{00000000-0010-0000-0600-000006000000}" name="Objectif"/>
    <tableColumn id="7" xr3:uid="{00000000-0010-0000-0600-000007000000}" name="Point_de_controle"/>
    <tableColumn id="8" xr3:uid="{00000000-0010-0000-0600-000008000000}" name="Fréquence"/>
    <tableColumn id="9" xr3:uid="{00000000-0010-0000-0600-000009000000}" name="Responsable_controle"/>
    <tableColumn id="10" xr3:uid="{00000000-0010-0000-0600-00000A000000}" name="Niveau_risque"/>
    <tableColumn id="11" xr3:uid="{00000000-0010-0000-0600-00000B000000}" name="Document_preuve_attendu"/>
    <tableColumn id="12" xr3:uid="{00000000-0010-0000-0600-00000C000000}" name="Résultat_controle"/>
    <tableColumn id="13" xr3:uid="{00000000-0010-0000-0600-00000D000000}" name="Gravité_anomalie"/>
    <tableColumn id="14" xr3:uid="{00000000-0010-0000-0600-00000E000000}" name="Constat"/>
    <tableColumn id="15" xr3:uid="{00000000-0010-0000-0600-00000F000000}" name="Recommandation"/>
    <tableColumn id="16" xr3:uid="{00000000-0010-0000-0600-000010000000}" name="Responsable_action"/>
    <tableColumn id="17" xr3:uid="{00000000-0010-0000-0600-000011000000}" name="Date_échéance"/>
    <tableColumn id="18" xr3:uid="{00000000-0010-0000-0600-000012000000}" name="Date_réalisation"/>
    <tableColumn id="19" xr3:uid="{00000000-0010-0000-0600-000013000000}" name="Statut_action"/>
    <tableColumn id="20" xr3:uid="{00000000-0010-0000-0600-000014000000}" name="Jours_retard"/>
    <tableColumn id="21" xr3:uid="{00000000-0010-0000-0600-000015000000}" name="Priorité"/>
    <tableColumn id="22" xr3:uid="{00000000-0010-0000-0600-000016000000}" name="Référence_manuel"/>
    <tableColumn id="23" xr3:uid="{00000000-0010-0000-0600-000017000000}" name="Commentair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Caisse" displayName="TblCaisse" ref="A1:W297">
  <tableColumns count="23">
    <tableColumn id="1" xr3:uid="{00000000-0010-0000-0700-000001000000}" name="ID_Controle"/>
    <tableColumn id="2" xr3:uid="{00000000-0010-0000-0700-000002000000}" name="Date_controle"/>
    <tableColumn id="3" xr3:uid="{00000000-0010-0000-0700-000003000000}" name="Agence"/>
    <tableColumn id="4" xr3:uid="{00000000-0010-0000-0700-000004000000}" name="Cycle"/>
    <tableColumn id="5" xr3:uid="{00000000-0010-0000-0700-000005000000}" name="Sous_cycle"/>
    <tableColumn id="6" xr3:uid="{00000000-0010-0000-0700-000006000000}" name="Objectif"/>
    <tableColumn id="7" xr3:uid="{00000000-0010-0000-0700-000007000000}" name="Point_de_controle"/>
    <tableColumn id="8" xr3:uid="{00000000-0010-0000-0700-000008000000}" name="Fréquence"/>
    <tableColumn id="9" xr3:uid="{00000000-0010-0000-0700-000009000000}" name="Responsable_controle"/>
    <tableColumn id="10" xr3:uid="{00000000-0010-0000-0700-00000A000000}" name="Niveau_risque"/>
    <tableColumn id="11" xr3:uid="{00000000-0010-0000-0700-00000B000000}" name="Document_preuve_attendu"/>
    <tableColumn id="12" xr3:uid="{00000000-0010-0000-0700-00000C000000}" name="Résultat_controle"/>
    <tableColumn id="13" xr3:uid="{00000000-0010-0000-0700-00000D000000}" name="Gravité_anomalie"/>
    <tableColumn id="14" xr3:uid="{00000000-0010-0000-0700-00000E000000}" name="Constat"/>
    <tableColumn id="15" xr3:uid="{00000000-0010-0000-0700-00000F000000}" name="Recommandation"/>
    <tableColumn id="16" xr3:uid="{00000000-0010-0000-0700-000010000000}" name="Responsable_action"/>
    <tableColumn id="17" xr3:uid="{00000000-0010-0000-0700-000011000000}" name="Date_échéance"/>
    <tableColumn id="18" xr3:uid="{00000000-0010-0000-0700-000012000000}" name="Date_réalisation"/>
    <tableColumn id="19" xr3:uid="{00000000-0010-0000-0700-000013000000}" name="Statut_action"/>
    <tableColumn id="20" xr3:uid="{00000000-0010-0000-0700-000014000000}" name="Jours_retard"/>
    <tableColumn id="21" xr3:uid="{00000000-0010-0000-0700-000015000000}" name="Priorité"/>
    <tableColumn id="22" xr3:uid="{00000000-0010-0000-0700-000016000000}" name="Référence_manuel"/>
    <tableColumn id="23" xr3:uid="{00000000-0010-0000-0700-000017000000}" name="Commentair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Tresorerie" displayName="TblTresorerie" ref="A1:W297">
  <tableColumns count="23">
    <tableColumn id="1" xr3:uid="{00000000-0010-0000-0800-000001000000}" name="ID_Controle"/>
    <tableColumn id="2" xr3:uid="{00000000-0010-0000-0800-000002000000}" name="Date_controle"/>
    <tableColumn id="3" xr3:uid="{00000000-0010-0000-0800-000003000000}" name="Agence"/>
    <tableColumn id="4" xr3:uid="{00000000-0010-0000-0800-000004000000}" name="Cycle"/>
    <tableColumn id="5" xr3:uid="{00000000-0010-0000-0800-000005000000}" name="Sous_cycle"/>
    <tableColumn id="6" xr3:uid="{00000000-0010-0000-0800-000006000000}" name="Objectif"/>
    <tableColumn id="7" xr3:uid="{00000000-0010-0000-0800-000007000000}" name="Point_de_controle"/>
    <tableColumn id="8" xr3:uid="{00000000-0010-0000-0800-000008000000}" name="Fréquence"/>
    <tableColumn id="9" xr3:uid="{00000000-0010-0000-0800-000009000000}" name="Responsable_controle"/>
    <tableColumn id="10" xr3:uid="{00000000-0010-0000-0800-00000A000000}" name="Niveau_risque"/>
    <tableColumn id="11" xr3:uid="{00000000-0010-0000-0800-00000B000000}" name="Document_preuve_attendu"/>
    <tableColumn id="12" xr3:uid="{00000000-0010-0000-0800-00000C000000}" name="Résultat_controle"/>
    <tableColumn id="13" xr3:uid="{00000000-0010-0000-0800-00000D000000}" name="Gravité_anomalie"/>
    <tableColumn id="14" xr3:uid="{00000000-0010-0000-0800-00000E000000}" name="Constat"/>
    <tableColumn id="15" xr3:uid="{00000000-0010-0000-0800-00000F000000}" name="Recommandation"/>
    <tableColumn id="16" xr3:uid="{00000000-0010-0000-0800-000010000000}" name="Responsable_action"/>
    <tableColumn id="17" xr3:uid="{00000000-0010-0000-0800-000011000000}" name="Date_échéance"/>
    <tableColumn id="18" xr3:uid="{00000000-0010-0000-0800-000012000000}" name="Date_réalisation"/>
    <tableColumn id="19" xr3:uid="{00000000-0010-0000-0800-000013000000}" name="Statut_action"/>
    <tableColumn id="20" xr3:uid="{00000000-0010-0000-0800-000014000000}" name="Jours_retard"/>
    <tableColumn id="21" xr3:uid="{00000000-0010-0000-0800-000015000000}" name="Priorité"/>
    <tableColumn id="22" xr3:uid="{00000000-0010-0000-0800-000016000000}" name="Référence_manuel"/>
    <tableColumn id="23" xr3:uid="{00000000-0010-0000-0800-000017000000}" name="Commentair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Compta" displayName="TblCompta" ref="A1:W297">
  <tableColumns count="23">
    <tableColumn id="1" xr3:uid="{00000000-0010-0000-0900-000001000000}" name="ID_Controle"/>
    <tableColumn id="2" xr3:uid="{00000000-0010-0000-0900-000002000000}" name="Date_controle"/>
    <tableColumn id="3" xr3:uid="{00000000-0010-0000-0900-000003000000}" name="Agence"/>
    <tableColumn id="4" xr3:uid="{00000000-0010-0000-0900-000004000000}" name="Cycle"/>
    <tableColumn id="5" xr3:uid="{00000000-0010-0000-0900-000005000000}" name="Sous_cycle"/>
    <tableColumn id="6" xr3:uid="{00000000-0010-0000-0900-000006000000}" name="Objectif"/>
    <tableColumn id="7" xr3:uid="{00000000-0010-0000-0900-000007000000}" name="Point_de_controle"/>
    <tableColumn id="8" xr3:uid="{00000000-0010-0000-0900-000008000000}" name="Fréquence"/>
    <tableColumn id="9" xr3:uid="{00000000-0010-0000-0900-000009000000}" name="Responsable_controle"/>
    <tableColumn id="10" xr3:uid="{00000000-0010-0000-0900-00000A000000}" name="Niveau_risque"/>
    <tableColumn id="11" xr3:uid="{00000000-0010-0000-0900-00000B000000}" name="Document_preuve_attendu"/>
    <tableColumn id="12" xr3:uid="{00000000-0010-0000-0900-00000C000000}" name="Résultat_controle"/>
    <tableColumn id="13" xr3:uid="{00000000-0010-0000-0900-00000D000000}" name="Gravité_anomalie"/>
    <tableColumn id="14" xr3:uid="{00000000-0010-0000-0900-00000E000000}" name="Constat"/>
    <tableColumn id="15" xr3:uid="{00000000-0010-0000-0900-00000F000000}" name="Recommandation"/>
    <tableColumn id="16" xr3:uid="{00000000-0010-0000-0900-000010000000}" name="Responsable_action"/>
    <tableColumn id="17" xr3:uid="{00000000-0010-0000-0900-000011000000}" name="Date_échéance"/>
    <tableColumn id="18" xr3:uid="{00000000-0010-0000-0900-000012000000}" name="Date_réalisation"/>
    <tableColumn id="19" xr3:uid="{00000000-0010-0000-0900-000013000000}" name="Statut_action"/>
    <tableColumn id="20" xr3:uid="{00000000-0010-0000-0900-000014000000}" name="Jours_retard"/>
    <tableColumn id="21" xr3:uid="{00000000-0010-0000-0900-000015000000}" name="Priorité"/>
    <tableColumn id="22" xr3:uid="{00000000-0010-0000-0900-000016000000}" name="Référence_manuel"/>
    <tableColumn id="23" xr3:uid="{00000000-0010-0000-0900-000017000000}" name="Commentair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RH" displayName="TblRH" ref="A1:W297">
  <tableColumns count="23">
    <tableColumn id="1" xr3:uid="{00000000-0010-0000-0A00-000001000000}" name="ID_Controle"/>
    <tableColumn id="2" xr3:uid="{00000000-0010-0000-0A00-000002000000}" name="Date_controle"/>
    <tableColumn id="3" xr3:uid="{00000000-0010-0000-0A00-000003000000}" name="Agence"/>
    <tableColumn id="4" xr3:uid="{00000000-0010-0000-0A00-000004000000}" name="Cycle"/>
    <tableColumn id="5" xr3:uid="{00000000-0010-0000-0A00-000005000000}" name="Sous_cycle"/>
    <tableColumn id="6" xr3:uid="{00000000-0010-0000-0A00-000006000000}" name="Objectif"/>
    <tableColumn id="7" xr3:uid="{00000000-0010-0000-0A00-000007000000}" name="Point_de_controle"/>
    <tableColumn id="8" xr3:uid="{00000000-0010-0000-0A00-000008000000}" name="Fréquence"/>
    <tableColumn id="9" xr3:uid="{00000000-0010-0000-0A00-000009000000}" name="Responsable_controle"/>
    <tableColumn id="10" xr3:uid="{00000000-0010-0000-0A00-00000A000000}" name="Niveau_risque"/>
    <tableColumn id="11" xr3:uid="{00000000-0010-0000-0A00-00000B000000}" name="Document_preuve_attendu"/>
    <tableColumn id="12" xr3:uid="{00000000-0010-0000-0A00-00000C000000}" name="Résultat_controle"/>
    <tableColumn id="13" xr3:uid="{00000000-0010-0000-0A00-00000D000000}" name="Gravité_anomalie"/>
    <tableColumn id="14" xr3:uid="{00000000-0010-0000-0A00-00000E000000}" name="Constat"/>
    <tableColumn id="15" xr3:uid="{00000000-0010-0000-0A00-00000F000000}" name="Recommandation"/>
    <tableColumn id="16" xr3:uid="{00000000-0010-0000-0A00-000010000000}" name="Responsable_action"/>
    <tableColumn id="17" xr3:uid="{00000000-0010-0000-0A00-000011000000}" name="Date_échéance"/>
    <tableColumn id="18" xr3:uid="{00000000-0010-0000-0A00-000012000000}" name="Date_réalisation"/>
    <tableColumn id="19" xr3:uid="{00000000-0010-0000-0A00-000013000000}" name="Statut_action"/>
    <tableColumn id="20" xr3:uid="{00000000-0010-0000-0A00-000014000000}" name="Jours_retard"/>
    <tableColumn id="21" xr3:uid="{00000000-0010-0000-0A00-000015000000}" name="Priorité"/>
    <tableColumn id="22" xr3:uid="{00000000-0010-0000-0A00-000016000000}" name="Référence_manuel"/>
    <tableColumn id="23" xr3:uid="{00000000-0010-0000-0A00-000017000000}" name="Commentair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Achats" displayName="TblAchats" ref="A1:W297">
  <tableColumns count="23">
    <tableColumn id="1" xr3:uid="{00000000-0010-0000-0B00-000001000000}" name="ID_Controle"/>
    <tableColumn id="2" xr3:uid="{00000000-0010-0000-0B00-000002000000}" name="Date_controle"/>
    <tableColumn id="3" xr3:uid="{00000000-0010-0000-0B00-000003000000}" name="Agence"/>
    <tableColumn id="4" xr3:uid="{00000000-0010-0000-0B00-000004000000}" name="Cycle"/>
    <tableColumn id="5" xr3:uid="{00000000-0010-0000-0B00-000005000000}" name="Sous_cycle"/>
    <tableColumn id="6" xr3:uid="{00000000-0010-0000-0B00-000006000000}" name="Objectif"/>
    <tableColumn id="7" xr3:uid="{00000000-0010-0000-0B00-000007000000}" name="Point_de_controle"/>
    <tableColumn id="8" xr3:uid="{00000000-0010-0000-0B00-000008000000}" name="Fréquence"/>
    <tableColumn id="9" xr3:uid="{00000000-0010-0000-0B00-000009000000}" name="Responsable_controle"/>
    <tableColumn id="10" xr3:uid="{00000000-0010-0000-0B00-00000A000000}" name="Niveau_risque"/>
    <tableColumn id="11" xr3:uid="{00000000-0010-0000-0B00-00000B000000}" name="Document_preuve_attendu"/>
    <tableColumn id="12" xr3:uid="{00000000-0010-0000-0B00-00000C000000}" name="Résultat_controle"/>
    <tableColumn id="13" xr3:uid="{00000000-0010-0000-0B00-00000D000000}" name="Gravité_anomalie"/>
    <tableColumn id="14" xr3:uid="{00000000-0010-0000-0B00-00000E000000}" name="Constat"/>
    <tableColumn id="15" xr3:uid="{00000000-0010-0000-0B00-00000F000000}" name="Recommandation"/>
    <tableColumn id="16" xr3:uid="{00000000-0010-0000-0B00-000010000000}" name="Responsable_action"/>
    <tableColumn id="17" xr3:uid="{00000000-0010-0000-0B00-000011000000}" name="Date_échéance"/>
    <tableColumn id="18" xr3:uid="{00000000-0010-0000-0B00-000012000000}" name="Date_réalisation"/>
    <tableColumn id="19" xr3:uid="{00000000-0010-0000-0B00-000013000000}" name="Statut_action"/>
    <tableColumn id="20" xr3:uid="{00000000-0010-0000-0B00-000014000000}" name="Jours_retard"/>
    <tableColumn id="21" xr3:uid="{00000000-0010-0000-0B00-000015000000}" name="Priorité"/>
    <tableColumn id="22" xr3:uid="{00000000-0010-0000-0B00-000016000000}" name="Référence_manuel"/>
    <tableColumn id="23" xr3:uid="{00000000-0010-0000-0B00-000017000000}" name="Commentair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SI" displayName="TblSI" ref="A1:W297">
  <tableColumns count="23">
    <tableColumn id="1" xr3:uid="{00000000-0010-0000-0C00-000001000000}" name="ID_Controle"/>
    <tableColumn id="2" xr3:uid="{00000000-0010-0000-0C00-000002000000}" name="Date_controle"/>
    <tableColumn id="3" xr3:uid="{00000000-0010-0000-0C00-000003000000}" name="Agence"/>
    <tableColumn id="4" xr3:uid="{00000000-0010-0000-0C00-000004000000}" name="Cycle"/>
    <tableColumn id="5" xr3:uid="{00000000-0010-0000-0C00-000005000000}" name="Sous_cycle"/>
    <tableColumn id="6" xr3:uid="{00000000-0010-0000-0C00-000006000000}" name="Objectif"/>
    <tableColumn id="7" xr3:uid="{00000000-0010-0000-0C00-000007000000}" name="Point_de_controle"/>
    <tableColumn id="8" xr3:uid="{00000000-0010-0000-0C00-000008000000}" name="Fréquence"/>
    <tableColumn id="9" xr3:uid="{00000000-0010-0000-0C00-000009000000}" name="Responsable_controle"/>
    <tableColumn id="10" xr3:uid="{00000000-0010-0000-0C00-00000A000000}" name="Niveau_risque"/>
    <tableColumn id="11" xr3:uid="{00000000-0010-0000-0C00-00000B000000}" name="Document_preuve_attendu"/>
    <tableColumn id="12" xr3:uid="{00000000-0010-0000-0C00-00000C000000}" name="Résultat_controle"/>
    <tableColumn id="13" xr3:uid="{00000000-0010-0000-0C00-00000D000000}" name="Gravité_anomalie"/>
    <tableColumn id="14" xr3:uid="{00000000-0010-0000-0C00-00000E000000}" name="Constat"/>
    <tableColumn id="15" xr3:uid="{00000000-0010-0000-0C00-00000F000000}" name="Recommandation"/>
    <tableColumn id="16" xr3:uid="{00000000-0010-0000-0C00-000010000000}" name="Responsable_action"/>
    <tableColumn id="17" xr3:uid="{00000000-0010-0000-0C00-000011000000}" name="Date_échéance"/>
    <tableColumn id="18" xr3:uid="{00000000-0010-0000-0C00-000012000000}" name="Date_réalisation"/>
    <tableColumn id="19" xr3:uid="{00000000-0010-0000-0C00-000013000000}" name="Statut_action"/>
    <tableColumn id="20" xr3:uid="{00000000-0010-0000-0C00-000014000000}" name="Jours_retard"/>
    <tableColumn id="21" xr3:uid="{00000000-0010-0000-0C00-000015000000}" name="Priorité"/>
    <tableColumn id="22" xr3:uid="{00000000-0010-0000-0C00-000016000000}" name="Référence_manuel"/>
    <tableColumn id="23" xr3:uid="{00000000-0010-0000-0C00-000017000000}" name="Commentair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Reporting" displayName="TblReporting" ref="A1:W297">
  <tableColumns count="23">
    <tableColumn id="1" xr3:uid="{00000000-0010-0000-0D00-000001000000}" name="ID_Controle"/>
    <tableColumn id="2" xr3:uid="{00000000-0010-0000-0D00-000002000000}" name="Date_controle"/>
    <tableColumn id="3" xr3:uid="{00000000-0010-0000-0D00-000003000000}" name="Agence"/>
    <tableColumn id="4" xr3:uid="{00000000-0010-0000-0D00-000004000000}" name="Cycle"/>
    <tableColumn id="5" xr3:uid="{00000000-0010-0000-0D00-000005000000}" name="Sous_cycle"/>
    <tableColumn id="6" xr3:uid="{00000000-0010-0000-0D00-000006000000}" name="Objectif"/>
    <tableColumn id="7" xr3:uid="{00000000-0010-0000-0D00-000007000000}" name="Point_de_controle"/>
    <tableColumn id="8" xr3:uid="{00000000-0010-0000-0D00-000008000000}" name="Fréquence"/>
    <tableColumn id="9" xr3:uid="{00000000-0010-0000-0D00-000009000000}" name="Responsable_controle"/>
    <tableColumn id="10" xr3:uid="{00000000-0010-0000-0D00-00000A000000}" name="Niveau_risque"/>
    <tableColumn id="11" xr3:uid="{00000000-0010-0000-0D00-00000B000000}" name="Document_preuve_attendu"/>
    <tableColumn id="12" xr3:uid="{00000000-0010-0000-0D00-00000C000000}" name="Résultat_controle"/>
    <tableColumn id="13" xr3:uid="{00000000-0010-0000-0D00-00000D000000}" name="Gravité_anomalie"/>
    <tableColumn id="14" xr3:uid="{00000000-0010-0000-0D00-00000E000000}" name="Constat"/>
    <tableColumn id="15" xr3:uid="{00000000-0010-0000-0D00-00000F000000}" name="Recommandation"/>
    <tableColumn id="16" xr3:uid="{00000000-0010-0000-0D00-000010000000}" name="Responsable_action"/>
    <tableColumn id="17" xr3:uid="{00000000-0010-0000-0D00-000011000000}" name="Date_échéance"/>
    <tableColumn id="18" xr3:uid="{00000000-0010-0000-0D00-000012000000}" name="Date_réalisation"/>
    <tableColumn id="19" xr3:uid="{00000000-0010-0000-0D00-000013000000}" name="Statut_action"/>
    <tableColumn id="20" xr3:uid="{00000000-0010-0000-0D00-000014000000}" name="Jours_retard"/>
    <tableColumn id="21" xr3:uid="{00000000-0010-0000-0D00-000015000000}" name="Priorité"/>
    <tableColumn id="22" xr3:uid="{00000000-0010-0000-0D00-000016000000}" name="Référence_manuel"/>
    <tableColumn id="23" xr3:uid="{00000000-0010-0000-0D00-000017000000}" name="Commentai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baseColWidth="10" defaultColWidth="9" defaultRowHeight="14.25"/>
  <cols>
    <col min="1" max="1" width="22" customWidth="1"/>
    <col min="2" max="2" width="48" customWidth="1"/>
    <col min="3" max="4" width="18" customWidth="1"/>
    <col min="5" max="5" width="55" customWidth="1"/>
    <col min="6" max="9" width="12" customWidth="1"/>
  </cols>
  <sheetData>
    <row r="1" spans="1:5" ht="32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>
      <c r="A6" s="1" t="s">
        <v>25</v>
      </c>
      <c r="B6" s="1" t="s">
        <v>26</v>
      </c>
      <c r="C6" s="1" t="s">
        <v>22</v>
      </c>
      <c r="D6" s="1" t="s">
        <v>27</v>
      </c>
      <c r="E6" s="1" t="s">
        <v>28</v>
      </c>
    </row>
    <row r="7" spans="1:5">
      <c r="A7" s="1" t="s">
        <v>29</v>
      </c>
      <c r="B7" s="1" t="s">
        <v>30</v>
      </c>
      <c r="C7" s="1" t="s">
        <v>22</v>
      </c>
      <c r="D7" s="1" t="s">
        <v>31</v>
      </c>
      <c r="E7" s="1" t="s">
        <v>32</v>
      </c>
    </row>
    <row r="8" spans="1:5">
      <c r="A8" s="1" t="s">
        <v>33</v>
      </c>
      <c r="B8" s="1" t="s">
        <v>34</v>
      </c>
      <c r="C8" s="1" t="s">
        <v>22</v>
      </c>
      <c r="D8" s="1" t="s">
        <v>35</v>
      </c>
      <c r="E8" s="1" t="s">
        <v>36</v>
      </c>
    </row>
    <row r="9" spans="1:5">
      <c r="A9" s="1" t="s">
        <v>37</v>
      </c>
      <c r="B9" s="1" t="s">
        <v>38</v>
      </c>
      <c r="C9" s="1" t="s">
        <v>22</v>
      </c>
      <c r="D9" s="1" t="s">
        <v>39</v>
      </c>
      <c r="E9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"/>
  <sheetViews>
    <sheetView tabSelected="1" topLeftCell="D1" zoomScale="115" zoomScaleNormal="115" workbookViewId="0">
      <selection activeCell="N6" sqref="N6"/>
    </sheetView>
  </sheetViews>
  <sheetFormatPr baseColWidth="10" defaultColWidth="9" defaultRowHeight="14.25"/>
  <cols>
    <col min="1" max="1" width="17.5" bestFit="1" customWidth="1"/>
    <col min="2" max="2" width="19.875" bestFit="1" customWidth="1"/>
    <col min="3" max="3" width="19.125" bestFit="1" customWidth="1"/>
    <col min="4" max="4" width="12.75" bestFit="1" customWidth="1"/>
    <col min="5" max="5" width="14.75" bestFit="1" customWidth="1"/>
    <col min="6" max="6" width="17.75" bestFit="1" customWidth="1"/>
    <col min="7" max="7" width="16.5" bestFit="1" customWidth="1"/>
    <col min="8" max="8" width="13.5" bestFit="1" customWidth="1"/>
    <col min="9" max="9" width="17.875" bestFit="1" customWidth="1"/>
    <col min="10" max="10" width="20.25" bestFit="1" customWidth="1"/>
    <col min="11" max="11" width="8.5" bestFit="1" customWidth="1"/>
    <col min="12" max="12" width="16.125" bestFit="1" customWidth="1"/>
    <col min="13" max="13" width="10.5" bestFit="1" customWidth="1"/>
    <col min="14" max="14" width="7.625" bestFit="1" customWidth="1"/>
    <col min="15" max="15" width="0" hidden="1" customWidth="1"/>
    <col min="16" max="16" width="24" hidden="1" customWidth="1"/>
    <col min="17" max="17" width="58" hidden="1" customWidth="1"/>
    <col min="18" max="18" width="48" hidden="1" customWidth="1"/>
  </cols>
  <sheetData>
    <row r="1" spans="1:18" ht="32.1" customHeight="1">
      <c r="A1" s="14" t="s">
        <v>41</v>
      </c>
      <c r="B1" s="14" t="s">
        <v>42</v>
      </c>
      <c r="C1" s="14" t="s">
        <v>43</v>
      </c>
      <c r="D1" s="14" t="s">
        <v>44</v>
      </c>
      <c r="E1" s="14" t="s">
        <v>45</v>
      </c>
      <c r="F1" s="14" t="s">
        <v>46</v>
      </c>
      <c r="G1" s="14" t="s">
        <v>47</v>
      </c>
      <c r="H1" s="14" t="s">
        <v>48</v>
      </c>
      <c r="I1" s="14" t="s">
        <v>49</v>
      </c>
      <c r="J1" s="14" t="s">
        <v>50</v>
      </c>
      <c r="K1" s="14" t="s">
        <v>51</v>
      </c>
      <c r="L1" s="14" t="s">
        <v>52</v>
      </c>
      <c r="M1" s="14" t="s">
        <v>53</v>
      </c>
      <c r="N1" s="14" t="s">
        <v>54</v>
      </c>
      <c r="P1" s="14" t="s">
        <v>565</v>
      </c>
      <c r="Q1" s="14" t="s">
        <v>566</v>
      </c>
      <c r="R1" s="14" t="s">
        <v>4</v>
      </c>
    </row>
    <row r="2" spans="1:18" ht="28.5">
      <c r="A2" s="1" t="s">
        <v>113</v>
      </c>
      <c r="B2" s="1" t="s">
        <v>118</v>
      </c>
      <c r="C2" s="1" t="s">
        <v>107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612</v>
      </c>
      <c r="I2" s="1" t="s">
        <v>63</v>
      </c>
      <c r="J2" s="1" t="s">
        <v>64</v>
      </c>
      <c r="K2" s="1" t="s">
        <v>613</v>
      </c>
      <c r="L2" s="1" t="s">
        <v>65</v>
      </c>
      <c r="M2" s="1" t="s">
        <v>66</v>
      </c>
      <c r="N2" s="1" t="s">
        <v>67</v>
      </c>
      <c r="P2" s="1" t="s">
        <v>567</v>
      </c>
      <c r="Q2" s="1" t="s">
        <v>568</v>
      </c>
      <c r="R2" s="1" t="s">
        <v>569</v>
      </c>
    </row>
    <row r="3" spans="1:18" ht="28.5">
      <c r="A3" s="1" t="s">
        <v>105</v>
      </c>
      <c r="B3" s="1" t="s">
        <v>82</v>
      </c>
      <c r="C3" s="1" t="s">
        <v>70</v>
      </c>
      <c r="D3" s="1" t="s">
        <v>71</v>
      </c>
      <c r="E3" s="1" t="s">
        <v>72</v>
      </c>
      <c r="F3" s="17" t="s">
        <v>611</v>
      </c>
      <c r="G3" s="1" t="s">
        <v>74</v>
      </c>
      <c r="H3" s="1" t="s">
        <v>62</v>
      </c>
      <c r="I3" s="1" t="s">
        <v>76</v>
      </c>
      <c r="J3" s="1" t="s">
        <v>77</v>
      </c>
      <c r="K3" s="1" t="s">
        <v>614</v>
      </c>
      <c r="L3" s="1" t="s">
        <v>78</v>
      </c>
      <c r="M3" s="1" t="s">
        <v>79</v>
      </c>
      <c r="N3" s="1" t="s">
        <v>80</v>
      </c>
      <c r="P3" s="1" t="s">
        <v>570</v>
      </c>
      <c r="Q3" s="1" t="s">
        <v>571</v>
      </c>
      <c r="R3" s="1" t="s">
        <v>572</v>
      </c>
    </row>
    <row r="4" spans="1:18" ht="28.5">
      <c r="A4" s="1" t="s">
        <v>81</v>
      </c>
      <c r="B4" s="1" t="s">
        <v>106</v>
      </c>
      <c r="C4" s="1" t="s">
        <v>57</v>
      </c>
      <c r="D4" s="1" t="s">
        <v>84</v>
      </c>
      <c r="E4" s="1" t="s">
        <v>85</v>
      </c>
      <c r="F4" s="1" t="s">
        <v>73</v>
      </c>
      <c r="G4" s="1" t="s">
        <v>87</v>
      </c>
      <c r="H4" s="1" t="s">
        <v>75</v>
      </c>
      <c r="I4" s="1" t="s">
        <v>89</v>
      </c>
      <c r="J4" s="1" t="s">
        <v>90</v>
      </c>
      <c r="K4" s="1" t="s">
        <v>615</v>
      </c>
      <c r="L4" s="1" t="s">
        <v>91</v>
      </c>
      <c r="M4" s="1" t="s">
        <v>92</v>
      </c>
      <c r="N4" s="1" t="s">
        <v>61</v>
      </c>
      <c r="P4" s="1" t="s">
        <v>573</v>
      </c>
      <c r="Q4" s="1" t="s">
        <v>574</v>
      </c>
      <c r="R4" s="1" t="s">
        <v>575</v>
      </c>
    </row>
    <row r="5" spans="1:18" ht="28.5">
      <c r="A5" s="1" t="s">
        <v>68</v>
      </c>
      <c r="B5" s="1" t="s">
        <v>56</v>
      </c>
      <c r="C5" s="1" t="s">
        <v>83</v>
      </c>
      <c r="D5" s="1" t="s">
        <v>96</v>
      </c>
      <c r="E5" s="1" t="s">
        <v>97</v>
      </c>
      <c r="F5" s="1" t="s">
        <v>86</v>
      </c>
      <c r="G5" s="1" t="s">
        <v>99</v>
      </c>
      <c r="H5" s="1" t="s">
        <v>88</v>
      </c>
      <c r="I5" s="1" t="s">
        <v>101</v>
      </c>
      <c r="J5" s="1" t="s">
        <v>102</v>
      </c>
      <c r="K5" s="1" t="s">
        <v>616</v>
      </c>
      <c r="L5" s="1" t="s">
        <v>103</v>
      </c>
      <c r="M5" s="1" t="s">
        <v>104</v>
      </c>
      <c r="N5" s="1"/>
      <c r="P5" s="1" t="s">
        <v>576</v>
      </c>
      <c r="Q5" s="1" t="s">
        <v>577</v>
      </c>
      <c r="R5" s="1" t="s">
        <v>578</v>
      </c>
    </row>
    <row r="6" spans="1:18" ht="28.5">
      <c r="A6" s="1" t="s">
        <v>93</v>
      </c>
      <c r="B6" s="1" t="s">
        <v>69</v>
      </c>
      <c r="C6" s="1" t="s">
        <v>95</v>
      </c>
      <c r="D6" s="1" t="s">
        <v>108</v>
      </c>
      <c r="E6" s="1"/>
      <c r="F6" s="1" t="s">
        <v>98</v>
      </c>
      <c r="G6" s="1" t="s">
        <v>97</v>
      </c>
      <c r="H6" s="1" t="s">
        <v>100</v>
      </c>
      <c r="I6" s="1" t="s">
        <v>110</v>
      </c>
      <c r="J6" s="1" t="s">
        <v>111</v>
      </c>
      <c r="K6" s="1"/>
      <c r="L6" s="1" t="s">
        <v>112</v>
      </c>
      <c r="M6" s="1"/>
      <c r="N6" s="1"/>
      <c r="P6" s="1" t="s">
        <v>579</v>
      </c>
      <c r="Q6" s="1" t="s">
        <v>580</v>
      </c>
      <c r="R6" s="1" t="s">
        <v>581</v>
      </c>
    </row>
    <row r="7" spans="1:18" ht="42.75">
      <c r="A7" s="1" t="s">
        <v>55</v>
      </c>
      <c r="B7" s="1" t="s">
        <v>114</v>
      </c>
      <c r="C7" s="1"/>
      <c r="D7" s="1" t="s">
        <v>115</v>
      </c>
      <c r="E7" s="1"/>
      <c r="G7" s="1"/>
      <c r="H7" s="1" t="s">
        <v>109</v>
      </c>
      <c r="I7" s="1" t="s">
        <v>116</v>
      </c>
      <c r="J7" s="1" t="s">
        <v>117</v>
      </c>
      <c r="K7" s="1"/>
      <c r="L7" s="1"/>
      <c r="M7" s="1"/>
      <c r="N7" s="1"/>
      <c r="P7" s="1" t="s">
        <v>582</v>
      </c>
      <c r="Q7" s="1" t="s">
        <v>583</v>
      </c>
      <c r="R7" s="1" t="s">
        <v>584</v>
      </c>
    </row>
    <row r="8" spans="1:18" ht="28.5">
      <c r="A8" s="1"/>
      <c r="B8" s="1" t="s">
        <v>94</v>
      </c>
      <c r="C8" s="1"/>
      <c r="D8" s="1" t="s">
        <v>119</v>
      </c>
      <c r="E8" s="1"/>
      <c r="G8" s="1"/>
      <c r="I8" s="1" t="s">
        <v>120</v>
      </c>
      <c r="J8" s="1" t="s">
        <v>121</v>
      </c>
      <c r="K8" s="1"/>
      <c r="L8" s="1"/>
      <c r="M8" s="1"/>
      <c r="N8" s="1"/>
      <c r="P8" s="1" t="s">
        <v>585</v>
      </c>
      <c r="Q8" s="1" t="s">
        <v>586</v>
      </c>
      <c r="R8" s="1" t="s">
        <v>587</v>
      </c>
    </row>
    <row r="9" spans="1:18" ht="28.5">
      <c r="A9" s="1"/>
      <c r="B9" s="1" t="s">
        <v>123</v>
      </c>
      <c r="C9" s="1"/>
      <c r="D9" s="1"/>
      <c r="E9" s="1"/>
      <c r="G9" s="1"/>
      <c r="I9" s="1"/>
      <c r="J9" s="1" t="s">
        <v>112</v>
      </c>
      <c r="K9" s="1"/>
      <c r="L9" s="1"/>
      <c r="M9" s="1"/>
      <c r="N9" s="1"/>
      <c r="P9" s="1" t="s">
        <v>588</v>
      </c>
      <c r="Q9" s="1" t="s">
        <v>589</v>
      </c>
      <c r="R9" s="1" t="s">
        <v>590</v>
      </c>
    </row>
    <row r="10" spans="1:18" ht="28.5">
      <c r="A10" s="1"/>
      <c r="B10" s="1" t="s">
        <v>122</v>
      </c>
      <c r="C10" s="1"/>
      <c r="D10" s="1"/>
      <c r="E10" s="1"/>
      <c r="F10" s="1"/>
      <c r="G10" s="1"/>
      <c r="I10" s="1"/>
      <c r="J10" s="1"/>
      <c r="K10" s="1"/>
      <c r="L10" s="1"/>
      <c r="M10" s="1"/>
      <c r="N10" s="1"/>
      <c r="P10" s="1" t="s">
        <v>591</v>
      </c>
      <c r="Q10" s="1" t="s">
        <v>592</v>
      </c>
      <c r="R10" s="1" t="s">
        <v>593</v>
      </c>
    </row>
    <row r="11" spans="1:18" ht="28.5">
      <c r="B11" s="1"/>
      <c r="P11" s="1" t="s">
        <v>594</v>
      </c>
      <c r="Q11" s="1" t="s">
        <v>595</v>
      </c>
      <c r="R11" s="1" t="s">
        <v>596</v>
      </c>
    </row>
    <row r="12" spans="1:18" ht="28.5">
      <c r="P12" s="1" t="s">
        <v>597</v>
      </c>
      <c r="Q12" s="1" t="s">
        <v>598</v>
      </c>
      <c r="R12" s="1" t="s">
        <v>599</v>
      </c>
    </row>
    <row r="13" spans="1:18" ht="28.5">
      <c r="P13" s="1" t="s">
        <v>600</v>
      </c>
      <c r="Q13" s="1" t="s">
        <v>601</v>
      </c>
      <c r="R13" s="1" t="s">
        <v>602</v>
      </c>
    </row>
    <row r="14" spans="1:18" ht="28.5">
      <c r="P14" s="1" t="s">
        <v>603</v>
      </c>
      <c r="Q14" s="1" t="s">
        <v>604</v>
      </c>
      <c r="R14" s="1" t="s">
        <v>605</v>
      </c>
    </row>
    <row r="15" spans="1:18" ht="28.5">
      <c r="P15" s="1" t="s">
        <v>606</v>
      </c>
      <c r="Q15" s="1" t="s">
        <v>607</v>
      </c>
      <c r="R15" s="1" t="s">
        <v>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sqref="A1:M1"/>
    </sheetView>
  </sheetViews>
  <sheetFormatPr baseColWidth="10" defaultColWidth="9" defaultRowHeight="14.25"/>
  <cols>
    <col min="1" max="1" width="24" customWidth="1"/>
    <col min="2" max="2" width="36" customWidth="1"/>
    <col min="3" max="3" width="18" customWidth="1"/>
    <col min="4" max="4" width="45" customWidth="1"/>
    <col min="5" max="5" width="50" customWidth="1"/>
    <col min="7" max="7" width="70" customWidth="1"/>
  </cols>
  <sheetData>
    <row r="1" spans="1:7" ht="32.1" customHeight="1">
      <c r="A1" s="2" t="s">
        <v>124</v>
      </c>
      <c r="B1" s="2" t="s">
        <v>125</v>
      </c>
      <c r="C1" s="2" t="s">
        <v>126</v>
      </c>
      <c r="D1" s="2" t="s">
        <v>127</v>
      </c>
      <c r="E1" s="2" t="s">
        <v>128</v>
      </c>
      <c r="G1" s="13" t="s">
        <v>609</v>
      </c>
    </row>
    <row r="2" spans="1:7" ht="57">
      <c r="A2" s="1" t="s">
        <v>5</v>
      </c>
      <c r="B2" s="1" t="s">
        <v>129</v>
      </c>
      <c r="C2" s="1" t="s">
        <v>8</v>
      </c>
      <c r="D2" s="1" t="s">
        <v>130</v>
      </c>
      <c r="E2" s="1" t="s">
        <v>131</v>
      </c>
      <c r="G2" s="1" t="s">
        <v>610</v>
      </c>
    </row>
    <row r="3" spans="1:7" ht="28.5">
      <c r="A3" s="1" t="s">
        <v>20</v>
      </c>
      <c r="B3" s="1" t="s">
        <v>132</v>
      </c>
      <c r="C3" s="1" t="s">
        <v>23</v>
      </c>
      <c r="D3" s="1" t="s">
        <v>133</v>
      </c>
      <c r="E3" s="1" t="s">
        <v>134</v>
      </c>
    </row>
    <row r="4" spans="1:7">
      <c r="A4" s="1" t="s">
        <v>25</v>
      </c>
      <c r="B4" s="1" t="s">
        <v>135</v>
      </c>
      <c r="C4" s="1" t="s">
        <v>27</v>
      </c>
      <c r="D4" s="1" t="s">
        <v>136</v>
      </c>
      <c r="E4" s="1" t="s">
        <v>137</v>
      </c>
    </row>
    <row r="5" spans="1:7">
      <c r="A5" s="1" t="s">
        <v>37</v>
      </c>
      <c r="B5" s="1" t="s">
        <v>138</v>
      </c>
      <c r="C5" s="1" t="s">
        <v>39</v>
      </c>
      <c r="D5" s="1" t="s">
        <v>139</v>
      </c>
      <c r="E5" s="1" t="s">
        <v>140</v>
      </c>
    </row>
    <row r="6" spans="1:7">
      <c r="A6" s="1" t="s">
        <v>29</v>
      </c>
      <c r="B6" s="1" t="s">
        <v>141</v>
      </c>
      <c r="C6" s="1" t="s">
        <v>31</v>
      </c>
      <c r="D6" s="1" t="s">
        <v>142</v>
      </c>
      <c r="E6" s="1" t="s">
        <v>143</v>
      </c>
    </row>
    <row r="7" spans="1:7" ht="28.5">
      <c r="A7" s="1" t="s">
        <v>33</v>
      </c>
      <c r="B7" s="1" t="s">
        <v>144</v>
      </c>
      <c r="C7" s="1" t="s">
        <v>35</v>
      </c>
      <c r="D7" s="1" t="s">
        <v>145</v>
      </c>
      <c r="E7" s="1" t="s">
        <v>146</v>
      </c>
    </row>
    <row r="8" spans="1:7">
      <c r="A8" s="1" t="s">
        <v>15</v>
      </c>
      <c r="B8" s="1" t="s">
        <v>147</v>
      </c>
      <c r="C8" s="1" t="s">
        <v>18</v>
      </c>
      <c r="D8" s="1" t="s">
        <v>148</v>
      </c>
      <c r="E8" s="1" t="s">
        <v>149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"/>
  <sheetViews>
    <sheetView workbookViewId="0">
      <selection sqref="A1:M1"/>
    </sheetView>
  </sheetViews>
  <sheetFormatPr baseColWidth="10" defaultColWidth="9" defaultRowHeight="14.25"/>
  <cols>
    <col min="1" max="1" width="34" customWidth="1"/>
    <col min="2" max="3" width="15" customWidth="1"/>
    <col min="4" max="4" width="12" customWidth="1"/>
    <col min="5" max="5" width="14" customWidth="1"/>
    <col min="6" max="7" width="16" customWidth="1"/>
    <col min="8" max="9" width="14" customWidth="1"/>
    <col min="10" max="10" width="3" customWidth="1"/>
    <col min="11" max="13" width="18" customWidth="1"/>
  </cols>
  <sheetData>
    <row r="1" spans="1:13" ht="27.95" customHeight="1">
      <c r="A1" s="15" t="s">
        <v>150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24" customHeight="1">
      <c r="A2" s="16" t="s">
        <v>151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spans="1:13" ht="32.1" customHeight="1">
      <c r="A4" s="2" t="s">
        <v>152</v>
      </c>
      <c r="B4" s="2" t="s">
        <v>8</v>
      </c>
      <c r="C4" s="2"/>
      <c r="D4" s="2" t="s">
        <v>152</v>
      </c>
      <c r="E4" s="2" t="s">
        <v>8</v>
      </c>
      <c r="F4" s="2"/>
      <c r="G4" s="2" t="s">
        <v>152</v>
      </c>
      <c r="H4" s="2" t="s">
        <v>8</v>
      </c>
    </row>
    <row r="5" spans="1:13" ht="26.1" customHeight="1">
      <c r="A5" s="3" t="s">
        <v>153</v>
      </c>
      <c r="B5" s="4">
        <f>SUM(B10:B18)</f>
        <v>62</v>
      </c>
      <c r="C5" s="3"/>
      <c r="D5" s="3" t="s">
        <v>154</v>
      </c>
      <c r="E5" s="4">
        <f>SUM(C10:C18)</f>
        <v>0</v>
      </c>
      <c r="F5" s="3"/>
      <c r="G5" s="3" t="s">
        <v>155</v>
      </c>
      <c r="H5" s="5">
        <f>IFERROR(SUM(D10:D18)/(SUM(D10:E18)),0)</f>
        <v>0</v>
      </c>
    </row>
    <row r="6" spans="1:13" ht="26.1" customHeight="1">
      <c r="A6" s="3" t="s">
        <v>156</v>
      </c>
      <c r="B6" s="4">
        <f>SUM(E10:E18)</f>
        <v>0</v>
      </c>
      <c r="C6" s="3"/>
      <c r="D6" s="3" t="s">
        <v>157</v>
      </c>
      <c r="E6" s="4">
        <f ca="1">SUM(H10:H18)</f>
        <v>0</v>
      </c>
      <c r="F6" s="3"/>
      <c r="G6" s="3" t="s">
        <v>158</v>
      </c>
      <c r="H6" s="4">
        <f>COUNTIFS(INCIDENTS_FRAUDES!$K$2:$K$497,"&lt;&gt;Clôturée",INCIDENTS_FRAUDES!$A$2:$A$497,"&lt;&gt;")</f>
        <v>0</v>
      </c>
    </row>
    <row r="7" spans="1:13" ht="26.1" customHeight="1">
      <c r="A7" s="3" t="s">
        <v>159</v>
      </c>
      <c r="B7" s="4">
        <f>SUM(G10:G18)</f>
        <v>0</v>
      </c>
      <c r="C7" s="3"/>
      <c r="D7" s="3" t="s">
        <v>160</v>
      </c>
      <c r="E7" s="4">
        <f ca="1">COUNTIFS(SUIVI_RECOMMANDATION!$M$1:$M$497,"&gt;0")</f>
        <v>0</v>
      </c>
      <c r="F7" s="3"/>
      <c r="G7" s="3" t="s">
        <v>161</v>
      </c>
      <c r="H7" s="4">
        <f>COUNTA(PLAN_CONTROLE!$A$2:$A$497)</f>
        <v>9</v>
      </c>
    </row>
    <row r="9" spans="1:13" ht="32.1" customHeight="1">
      <c r="A9" s="2" t="s">
        <v>18</v>
      </c>
      <c r="B9" s="2" t="s">
        <v>162</v>
      </c>
      <c r="C9" s="2" t="s">
        <v>154</v>
      </c>
      <c r="D9" s="2" t="s">
        <v>163</v>
      </c>
      <c r="E9" s="2" t="s">
        <v>164</v>
      </c>
      <c r="F9" s="2" t="s">
        <v>165</v>
      </c>
      <c r="G9" s="2" t="s">
        <v>159</v>
      </c>
      <c r="H9" s="2" t="s">
        <v>157</v>
      </c>
      <c r="I9" s="2" t="s">
        <v>155</v>
      </c>
    </row>
    <row r="10" spans="1:13">
      <c r="A10" s="1" t="s">
        <v>56</v>
      </c>
      <c r="B10" s="6">
        <f>COUNTA('CREDIT(CRE)'!$G$2:$G$297)</f>
        <v>1</v>
      </c>
      <c r="C10" s="6">
        <f>COUNT('CREDIT(CRE)'!$B$2:$B$297)</f>
        <v>0</v>
      </c>
      <c r="D10" s="6">
        <f>COUNTIF('CREDIT(CRE)'!$L$2:$L$297,"Conforme")</f>
        <v>0</v>
      </c>
      <c r="E10" s="6">
        <f>COUNTIF('CREDIT(CRE)'!$L$2:$L$297,"Non conforme")</f>
        <v>0</v>
      </c>
      <c r="F10" s="6">
        <f>COUNTIF('CREDIT(CRE)'!$M$2:$M$297,"Majeure")</f>
        <v>0</v>
      </c>
      <c r="G10" s="6">
        <f>COUNTIF('CREDIT(CRE)'!$M$2:$M$297,"Critique")</f>
        <v>0</v>
      </c>
      <c r="H10" s="6">
        <f ca="1">COUNTIF('CREDIT(CRE)'!$T$2:$T$297,"&gt;0")</f>
        <v>0</v>
      </c>
      <c r="I10" s="7">
        <f t="shared" ref="I10:I18" si="0">IFERROR(D10/(D10+E10),0)</f>
        <v>0</v>
      </c>
    </row>
    <row r="11" spans="1:13">
      <c r="A11" s="1" t="s">
        <v>69</v>
      </c>
      <c r="B11" s="6">
        <f>COUNTA('EPARGNE(EPA)'!$G$2:$G$297)</f>
        <v>8</v>
      </c>
      <c r="C11" s="6">
        <f>COUNT('EPARGNE(EPA)'!$B$2:$B$297)</f>
        <v>0</v>
      </c>
      <c r="D11" s="6">
        <f>COUNTIF('EPARGNE(EPA)'!$L$2:$L$297,"Conforme")</f>
        <v>0</v>
      </c>
      <c r="E11" s="6">
        <f>COUNTIF('EPARGNE(EPA)'!$L$2:$L$297,"Non conforme")</f>
        <v>0</v>
      </c>
      <c r="F11" s="6">
        <f>COUNTIF('EPARGNE(EPA)'!$M$2:$M$297,"Majeure")</f>
        <v>0</v>
      </c>
      <c r="G11" s="6">
        <f>COUNTIF('EPARGNE(EPA)'!$M$2:$M$297,"Critique")</f>
        <v>0</v>
      </c>
      <c r="H11" s="6">
        <f ca="1">COUNTIF('EPARGNE(EPA)'!$T$2:$T$297,"&gt;0")</f>
        <v>0</v>
      </c>
      <c r="I11" s="7">
        <f t="shared" si="0"/>
        <v>0</v>
      </c>
    </row>
    <row r="12" spans="1:13">
      <c r="A12" s="1" t="s">
        <v>82</v>
      </c>
      <c r="B12" s="6">
        <f>COUNTA('CAISSE_GUICHET(CAI)'!$G$2:$G$297)</f>
        <v>10</v>
      </c>
      <c r="C12" s="6">
        <f>COUNT('CAISSE_GUICHET(CAI)'!$B$2:$B$297)</f>
        <v>0</v>
      </c>
      <c r="D12" s="6">
        <f>COUNTIF('CAISSE_GUICHET(CAI)'!$L$2:$L$297,"Conforme")</f>
        <v>0</v>
      </c>
      <c r="E12" s="6">
        <f>COUNTIF('CAISSE_GUICHET(CAI)'!$L$2:$L$297,"Non conforme")</f>
        <v>0</v>
      </c>
      <c r="F12" s="6">
        <f>COUNTIF('CAISSE_GUICHET(CAI)'!$M$2:$M$297,"Majeure")</f>
        <v>0</v>
      </c>
      <c r="G12" s="6">
        <f>COUNTIF('CAISSE_GUICHET(CAI)'!$M$2:$M$297,"Critique")</f>
        <v>0</v>
      </c>
      <c r="H12" s="6">
        <f ca="1">COUNTIF('CAISSE_GUICHET(CAI)'!$T$2:$T$297,"&gt;0")</f>
        <v>0</v>
      </c>
      <c r="I12" s="7">
        <f t="shared" si="0"/>
        <v>0</v>
      </c>
    </row>
    <row r="13" spans="1:13">
      <c r="A13" s="1" t="s">
        <v>94</v>
      </c>
      <c r="B13" s="6">
        <f>COUNTA('TRESOR_BANQUE (TRE)'!$G$2:$G$297)</f>
        <v>7</v>
      </c>
      <c r="C13" s="6">
        <f>COUNT('TRESOR_BANQUE (TRE)'!$B$2:$B$297)</f>
        <v>0</v>
      </c>
      <c r="D13" s="6">
        <f>COUNTIF('TRESOR_BANQUE (TRE)'!$L$2:$L$297,"Conforme")</f>
        <v>0</v>
      </c>
      <c r="E13" s="6">
        <f>COUNTIF('TRESOR_BANQUE (TRE)'!$L$2:$L$297,"Non conforme")</f>
        <v>0</v>
      </c>
      <c r="F13" s="6">
        <f>COUNTIF('TRESOR_BANQUE (TRE)'!$M$2:$M$297,"Majeure")</f>
        <v>0</v>
      </c>
      <c r="G13" s="6">
        <f>COUNTIF('TRESOR_BANQUE (TRE)'!$M$2:$M$297,"Critique")</f>
        <v>0</v>
      </c>
      <c r="H13" s="6">
        <f ca="1">COUNTIF('TRESOR_BANQUE (TRE)'!$T$2:$T$297,"&gt;0")</f>
        <v>0</v>
      </c>
      <c r="I13" s="7">
        <f t="shared" si="0"/>
        <v>0</v>
      </c>
    </row>
    <row r="14" spans="1:13">
      <c r="A14" s="1" t="s">
        <v>106</v>
      </c>
      <c r="B14" s="6">
        <f>COUNTA('COMPTABLE_FINANCE(COM)'!$G$2:$G$297)</f>
        <v>8</v>
      </c>
      <c r="C14" s="6">
        <f>COUNT('COMPTABLE_FINANCE(COM)'!$B$2:$B$297)</f>
        <v>0</v>
      </c>
      <c r="D14" s="6">
        <f>COUNTIF('COMPTABLE_FINANCE(COM)'!$L$2:$L$297,"Conforme")</f>
        <v>0</v>
      </c>
      <c r="E14" s="6">
        <f>COUNTIF('COMPTABLE_FINANCE(COM)'!$L$2:$L$297,"Non conforme")</f>
        <v>0</v>
      </c>
      <c r="F14" s="6">
        <f>COUNTIF('COMPTABLE_FINANCE(COM)'!$M$2:$M$297,"Majeure")</f>
        <v>0</v>
      </c>
      <c r="G14" s="6">
        <f>COUNTIF('COMPTABLE_FINANCE(COM)'!$M$2:$M$297,"Critique")</f>
        <v>0</v>
      </c>
      <c r="H14" s="6">
        <f ca="1">COUNTIF('COMPTABLE_FINANCE(COM)'!$T$2:$T$297,"&gt;0")</f>
        <v>0</v>
      </c>
      <c r="I14" s="7">
        <f t="shared" si="0"/>
        <v>0</v>
      </c>
    </row>
    <row r="15" spans="1:13" ht="28.5">
      <c r="A15" s="1" t="s">
        <v>114</v>
      </c>
      <c r="B15" s="6">
        <f>COUNTA(RH!$G$2:$G$297)</f>
        <v>7</v>
      </c>
      <c r="C15" s="6">
        <f>COUNT(RH!$B$2:$B$297)</f>
        <v>0</v>
      </c>
      <c r="D15" s="6">
        <f>COUNTIF(RH!$L$2:$L$297,"Conforme")</f>
        <v>0</v>
      </c>
      <c r="E15" s="6">
        <f>COUNTIF(RH!$L$2:$L$297,"Non conforme")</f>
        <v>0</v>
      </c>
      <c r="F15" s="6">
        <f>COUNTIF(RH!$M$2:$M$297,"Majeure")</f>
        <v>0</v>
      </c>
      <c r="G15" s="6">
        <f>COUNTIF(RH!$M$2:$M$297,"Critique")</f>
        <v>0</v>
      </c>
      <c r="H15" s="6">
        <f ca="1">COUNTIF(RH!$T$2:$T$297,"&gt;0")</f>
        <v>0</v>
      </c>
      <c r="I15" s="7">
        <f t="shared" si="0"/>
        <v>0</v>
      </c>
    </row>
    <row r="16" spans="1:13">
      <c r="A16" s="1" t="s">
        <v>118</v>
      </c>
      <c r="B16" s="6">
        <f>COUNTA('ACHAT_PATRIMOINE (ACH)'!$G$2:$G$297)</f>
        <v>7</v>
      </c>
      <c r="C16" s="6">
        <f>COUNT('ACHAT_PATRIMOINE (ACH)'!$B$2:$B$297)</f>
        <v>0</v>
      </c>
      <c r="D16" s="6">
        <f>COUNTIF('ACHAT_PATRIMOINE (ACH)'!$L$2:$L$297,"Conforme")</f>
        <v>0</v>
      </c>
      <c r="E16" s="6">
        <f>COUNTIF('ACHAT_PATRIMOINE (ACH)'!$L$2:$L$297,"Non conforme")</f>
        <v>0</v>
      </c>
      <c r="F16" s="6">
        <f>COUNTIF('ACHAT_PATRIMOINE (ACH)'!$M$2:$M$297,"Majeure")</f>
        <v>0</v>
      </c>
      <c r="G16" s="6">
        <f>COUNTIF('ACHAT_PATRIMOINE (ACH)'!$M$2:$M$297,"Critique")</f>
        <v>0</v>
      </c>
      <c r="H16" s="6">
        <f ca="1">COUNTIF('ACHAT_PATRIMOINE (ACH)'!$T$2:$T$297,"&gt;0")</f>
        <v>0</v>
      </c>
      <c r="I16" s="7">
        <f t="shared" si="0"/>
        <v>0</v>
      </c>
    </row>
    <row r="17" spans="1:9">
      <c r="A17" s="1" t="s">
        <v>122</v>
      </c>
      <c r="B17" s="6">
        <f>COUNTA('SI_SECURITE(SI)'!$G$2:$G$297)</f>
        <v>8</v>
      </c>
      <c r="C17" s="6">
        <f>COUNT('SI_SECURITE(SI)'!$B$2:$B$297)</f>
        <v>0</v>
      </c>
      <c r="D17" s="6">
        <f>COUNTIF('SI_SECURITE(SI)'!$L$2:$L$297,"Conforme")</f>
        <v>0</v>
      </c>
      <c r="E17" s="6">
        <f>COUNTIF('SI_SECURITE(SI)'!$L$2:$L$297,"Non conforme")</f>
        <v>0</v>
      </c>
      <c r="F17" s="6">
        <f>COUNTIF('SI_SECURITE(SI)'!$M$2:$M$297,"Majeure")</f>
        <v>0</v>
      </c>
      <c r="G17" s="6">
        <f>COUNTIF('SI_SECURITE(SI)'!$M$2:$M$297,"Critique")</f>
        <v>0</v>
      </c>
      <c r="H17" s="6">
        <f ca="1">COUNTIF('SI_SECURITE(SI)'!$T$2:$T$297,"&gt;0")</f>
        <v>0</v>
      </c>
      <c r="I17" s="7">
        <f t="shared" si="0"/>
        <v>0</v>
      </c>
    </row>
    <row r="18" spans="1:9">
      <c r="A18" s="1" t="s">
        <v>123</v>
      </c>
      <c r="B18" s="6">
        <f>COUNTA('REPORTING_CONTROLE(REP)'!$G$2:$G$297)</f>
        <v>6</v>
      </c>
      <c r="C18" s="6">
        <f>COUNT('REPORTING_CONTROLE(REP)'!$B$2:$B$297)</f>
        <v>0</v>
      </c>
      <c r="D18" s="6">
        <f>COUNTIF('REPORTING_CONTROLE(REP)'!$L$2:$L$297,"Conforme")</f>
        <v>0</v>
      </c>
      <c r="E18" s="6">
        <f>COUNTIF('REPORTING_CONTROLE(REP)'!$L$2:$L$297,"Non conforme")</f>
        <v>0</v>
      </c>
      <c r="F18" s="6">
        <f>COUNTIF('REPORTING_CONTROLE(REP)'!$M$2:$M$297,"Majeure")</f>
        <v>0</v>
      </c>
      <c r="G18" s="6">
        <f>COUNTIF('REPORTING_CONTROLE(REP)'!$M$2:$M$297,"Critique")</f>
        <v>0</v>
      </c>
      <c r="H18" s="6">
        <f ca="1">COUNTIF('REPORTING_CONTROLE(REP)'!$T$2:$T$297,"&gt;0")</f>
        <v>0</v>
      </c>
      <c r="I18" s="7">
        <f t="shared" si="0"/>
        <v>0</v>
      </c>
    </row>
  </sheetData>
  <mergeCells count="2">
    <mergeCell ref="A1:M1"/>
    <mergeCell ref="A2:M2"/>
  </mergeCells>
  <conditionalFormatting sqref="H10:H18">
    <cfRule type="dataBar" priority="2">
      <dataBar>
        <cfvo type="min"/>
        <cfvo type="max"/>
        <color rgb="FFC00000"/>
      </dataBar>
    </cfRule>
    <cfRule type="dataBar" priority="3">
      <dataBar>
        <cfvo type="min"/>
        <cfvo type="max"/>
        <color rgb="FFC00000"/>
      </dataBar>
    </cfRule>
    <cfRule type="dataBar" priority="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{427FBFB4-E6E5-8C44-3070-0A9381FDC6F9}</x14:id>
        </ext>
      </extLst>
    </cfRule>
  </conditionalFormatting>
  <conditionalFormatting sqref="I10:I18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7FBFB4-E6E5-8C44-3070-0A9381FDC6F9}">
            <x14:dataBar>
              <x14:cfvo type="min"/>
              <x14:cfvo type="max"/>
              <x14:negativeFillColor auto="1"/>
              <x14:axisColor auto="1"/>
            </x14:dataBar>
          </x14:cfRule>
          <xm:sqref>H10:H18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W29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I2" sqref="I2"/>
    </sheetView>
  </sheetViews>
  <sheetFormatPr baseColWidth="10" defaultColWidth="9" defaultRowHeight="14.25"/>
  <cols>
    <col min="1" max="1" width="14" customWidth="1"/>
    <col min="2" max="2" width="14" style="12" customWidth="1"/>
    <col min="3" max="3" width="18" customWidth="1"/>
    <col min="4" max="4" width="28" customWidth="1"/>
    <col min="5" max="5" width="26" customWidth="1"/>
    <col min="6" max="6" width="42" customWidth="1"/>
    <col min="7" max="7" width="48" customWidth="1"/>
    <col min="8" max="8" width="16" customWidth="1"/>
    <col min="9" max="9" width="24" customWidth="1"/>
    <col min="10" max="10" width="14" customWidth="1"/>
    <col min="11" max="11" width="34" customWidth="1"/>
    <col min="12" max="12" width="18" customWidth="1"/>
    <col min="13" max="13" width="16" customWidth="1"/>
    <col min="14" max="14" width="42" customWidth="1"/>
    <col min="15" max="15" width="48" customWidth="1"/>
    <col min="16" max="16" width="22" customWidth="1"/>
    <col min="17" max="17" width="16.5" style="12" customWidth="1"/>
    <col min="18" max="18" width="14" style="12" customWidth="1"/>
    <col min="19" max="19" width="16" customWidth="1"/>
    <col min="20" max="20" width="12" customWidth="1"/>
    <col min="21" max="21" width="10" customWidth="1"/>
    <col min="22" max="22" width="20" customWidth="1"/>
    <col min="23" max="23" width="36" customWidth="1"/>
  </cols>
  <sheetData>
    <row r="1" spans="1:23" ht="32.1" customHeight="1">
      <c r="A1" s="2" t="s">
        <v>39</v>
      </c>
      <c r="B1" s="10" t="s">
        <v>166</v>
      </c>
      <c r="C1" s="2" t="s">
        <v>167</v>
      </c>
      <c r="D1" s="2" t="s">
        <v>18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47</v>
      </c>
      <c r="N1" s="2" t="s">
        <v>176</v>
      </c>
      <c r="O1" s="2" t="s">
        <v>177</v>
      </c>
      <c r="P1" s="2" t="s">
        <v>178</v>
      </c>
      <c r="Q1" s="10" t="s">
        <v>179</v>
      </c>
      <c r="R1" s="10" t="s">
        <v>180</v>
      </c>
      <c r="S1" s="2" t="s">
        <v>181</v>
      </c>
      <c r="T1" s="2" t="s">
        <v>182</v>
      </c>
      <c r="U1" s="2" t="s">
        <v>183</v>
      </c>
      <c r="V1" s="2" t="s">
        <v>184</v>
      </c>
      <c r="W1" s="2" t="s">
        <v>185</v>
      </c>
    </row>
    <row r="2" spans="1:23" ht="28.5">
      <c r="A2" s="1" t="s">
        <v>186</v>
      </c>
      <c r="B2" s="11"/>
      <c r="C2" s="1" t="s">
        <v>55</v>
      </c>
      <c r="D2" s="1" t="s">
        <v>56</v>
      </c>
      <c r="E2" s="1" t="s">
        <v>187</v>
      </c>
      <c r="F2" s="1" t="s">
        <v>188</v>
      </c>
      <c r="G2" s="1" t="s">
        <v>189</v>
      </c>
      <c r="H2" s="1" t="s">
        <v>84</v>
      </c>
      <c r="I2" s="1" t="s">
        <v>64</v>
      </c>
      <c r="J2" s="1" t="s">
        <v>85</v>
      </c>
      <c r="K2" s="1" t="s">
        <v>190</v>
      </c>
      <c r="L2" s="1"/>
      <c r="M2" s="1" t="s">
        <v>61</v>
      </c>
      <c r="N2" s="1"/>
      <c r="O2" s="1"/>
      <c r="P2" s="1"/>
      <c r="Q2" s="11"/>
      <c r="R2" s="11"/>
      <c r="S2" s="1" t="s">
        <v>62</v>
      </c>
      <c r="T2" s="6">
        <f t="shared" ref="T2:T65" ca="1" si="0">IF(AND(S2&lt;&gt;"Clôturée",Q2&lt;&gt;"",TODAY()&gt;Q2),TODAY()-Q2,0)</f>
        <v>0</v>
      </c>
      <c r="U2" s="1" t="str">
        <f t="shared" ref="U2:U65" si="1">IF(M2="Critique","P1",IF(M2="Majeure","P2",IF(M2="Mineure","P3","")))</f>
        <v/>
      </c>
      <c r="V2" s="1" t="s">
        <v>191</v>
      </c>
      <c r="W2" s="1"/>
    </row>
    <row r="3" spans="1:23">
      <c r="A3" s="1"/>
      <c r="B3" s="1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1"/>
      <c r="R3" s="11"/>
      <c r="S3" s="1"/>
      <c r="T3" s="6">
        <f t="shared" ca="1" si="0"/>
        <v>0</v>
      </c>
      <c r="U3" s="1"/>
      <c r="V3" s="1"/>
      <c r="W3" s="1"/>
    </row>
    <row r="4" spans="1:23">
      <c r="A4" s="1"/>
      <c r="B4" s="1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1"/>
      <c r="R4" s="11"/>
      <c r="S4" s="1"/>
      <c r="T4" s="6">
        <f t="shared" ca="1" si="0"/>
        <v>0</v>
      </c>
      <c r="U4" s="1"/>
      <c r="V4" s="1"/>
      <c r="W4" s="1"/>
    </row>
    <row r="5" spans="1:23">
      <c r="A5" s="1"/>
      <c r="B5" s="1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1"/>
      <c r="R5" s="11"/>
      <c r="S5" s="1"/>
      <c r="T5" s="6">
        <f t="shared" ca="1" si="0"/>
        <v>0</v>
      </c>
      <c r="U5" s="1"/>
      <c r="V5" s="1"/>
      <c r="W5" s="1"/>
    </row>
    <row r="6" spans="1:23">
      <c r="A6" s="1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1"/>
      <c r="R6" s="11"/>
      <c r="S6" s="1"/>
      <c r="T6" s="6">
        <f t="shared" ca="1" si="0"/>
        <v>0</v>
      </c>
      <c r="U6" s="1"/>
      <c r="V6" s="1"/>
      <c r="W6" s="1"/>
    </row>
    <row r="7" spans="1:23">
      <c r="A7" s="1"/>
      <c r="B7" s="1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1"/>
      <c r="R7" s="11"/>
      <c r="S7" s="1"/>
      <c r="T7" s="6">
        <f t="shared" ca="1" si="0"/>
        <v>0</v>
      </c>
      <c r="U7" s="1"/>
      <c r="V7" s="1"/>
      <c r="W7" s="1"/>
    </row>
    <row r="8" spans="1:23">
      <c r="A8" s="1"/>
      <c r="B8" s="1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1"/>
      <c r="R8" s="11"/>
      <c r="S8" s="1"/>
      <c r="T8" s="6">
        <f t="shared" ca="1" si="0"/>
        <v>0</v>
      </c>
      <c r="U8" s="1"/>
      <c r="V8" s="1"/>
      <c r="W8" s="1"/>
    </row>
    <row r="9" spans="1:23">
      <c r="A9" s="1"/>
      <c r="B9" s="1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1"/>
      <c r="R9" s="11"/>
      <c r="S9" s="1"/>
      <c r="T9" s="6">
        <f t="shared" ca="1" si="0"/>
        <v>0</v>
      </c>
      <c r="U9" s="1"/>
      <c r="V9" s="1"/>
      <c r="W9" s="1"/>
    </row>
    <row r="10" spans="1:23">
      <c r="A10" s="1"/>
      <c r="B10" s="1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1"/>
      <c r="R10" s="11"/>
      <c r="S10" s="1"/>
      <c r="T10" s="6">
        <f t="shared" ca="1" si="0"/>
        <v>0</v>
      </c>
      <c r="U10" s="1"/>
      <c r="V10" s="1"/>
      <c r="W10" s="1"/>
    </row>
    <row r="11" spans="1:23">
      <c r="A11" s="1"/>
      <c r="B11" s="1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1"/>
      <c r="R11" s="11"/>
      <c r="S11" s="1"/>
      <c r="T11" s="6">
        <f t="shared" ca="1" si="0"/>
        <v>0</v>
      </c>
      <c r="U11" s="1"/>
      <c r="V11" s="1"/>
      <c r="W11" s="1"/>
    </row>
    <row r="12" spans="1:23">
      <c r="A12" s="1"/>
      <c r="B12" s="1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1"/>
      <c r="R12" s="11"/>
      <c r="S12" s="1"/>
      <c r="T12" s="6">
        <f t="shared" ca="1" si="0"/>
        <v>0</v>
      </c>
      <c r="U12" s="1"/>
      <c r="V12" s="1"/>
      <c r="W12" s="1"/>
    </row>
    <row r="13" spans="1:23">
      <c r="A13" s="1"/>
      <c r="B13" s="1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1"/>
      <c r="R13" s="11"/>
      <c r="S13" s="1"/>
      <c r="T13" s="6">
        <f t="shared" ca="1" si="0"/>
        <v>0</v>
      </c>
      <c r="U13" s="1"/>
      <c r="V13" s="1"/>
      <c r="W13" s="1"/>
    </row>
    <row r="14" spans="1:23">
      <c r="A14" s="1"/>
      <c r="B14" s="1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1"/>
      <c r="R14" s="11"/>
      <c r="S14" s="1"/>
      <c r="T14" s="6">
        <f t="shared" ca="1" si="0"/>
        <v>0</v>
      </c>
      <c r="U14" s="1" t="str">
        <f t="shared" si="1"/>
        <v/>
      </c>
      <c r="V14" s="1"/>
      <c r="W14" s="1"/>
    </row>
    <row r="15" spans="1:23">
      <c r="A15" s="1"/>
      <c r="B15" s="1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1"/>
      <c r="R15" s="11"/>
      <c r="S15" s="1"/>
      <c r="T15" s="6">
        <f t="shared" ca="1" si="0"/>
        <v>0</v>
      </c>
      <c r="U15" s="1" t="str">
        <f t="shared" si="1"/>
        <v/>
      </c>
      <c r="V15" s="1"/>
      <c r="W15" s="1"/>
    </row>
    <row r="16" spans="1:23">
      <c r="A16" s="1"/>
      <c r="B16" s="1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1"/>
      <c r="R16" s="11"/>
      <c r="S16" s="1"/>
      <c r="T16" s="6">
        <f t="shared" ca="1" si="0"/>
        <v>0</v>
      </c>
      <c r="U16" s="1" t="str">
        <f t="shared" si="1"/>
        <v/>
      </c>
      <c r="V16" s="1"/>
      <c r="W16" s="1"/>
    </row>
    <row r="17" spans="1:23">
      <c r="A17" s="1"/>
      <c r="B17" s="1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1"/>
      <c r="R17" s="11"/>
      <c r="S17" s="1"/>
      <c r="T17" s="6">
        <f t="shared" ca="1" si="0"/>
        <v>0</v>
      </c>
      <c r="U17" s="1" t="str">
        <f t="shared" si="1"/>
        <v/>
      </c>
      <c r="V17" s="1"/>
      <c r="W17" s="1"/>
    </row>
    <row r="18" spans="1:23">
      <c r="A18" s="1"/>
      <c r="B18" s="1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1"/>
      <c r="R18" s="11"/>
      <c r="S18" s="1"/>
      <c r="T18" s="6">
        <f t="shared" ca="1" si="0"/>
        <v>0</v>
      </c>
      <c r="U18" s="1" t="str">
        <f t="shared" si="1"/>
        <v/>
      </c>
      <c r="V18" s="1"/>
      <c r="W18" s="1"/>
    </row>
    <row r="19" spans="1:23">
      <c r="A19" s="1"/>
      <c r="B19" s="1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1"/>
      <c r="R19" s="11"/>
      <c r="S19" s="1"/>
      <c r="T19" s="6">
        <f t="shared" ca="1" si="0"/>
        <v>0</v>
      </c>
      <c r="U19" s="1" t="str">
        <f t="shared" si="1"/>
        <v/>
      </c>
      <c r="V19" s="1"/>
      <c r="W19" s="1"/>
    </row>
    <row r="20" spans="1:23">
      <c r="A20" s="1"/>
      <c r="B20" s="1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1"/>
      <c r="R20" s="11"/>
      <c r="S20" s="1"/>
      <c r="T20" s="6">
        <f t="shared" ca="1" si="0"/>
        <v>0</v>
      </c>
      <c r="U20" s="1" t="str">
        <f t="shared" si="1"/>
        <v/>
      </c>
      <c r="V20" s="1"/>
      <c r="W20" s="1"/>
    </row>
    <row r="21" spans="1:23">
      <c r="A21" s="1"/>
      <c r="B21" s="1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1"/>
      <c r="R21" s="11"/>
      <c r="S21" s="1"/>
      <c r="T21" s="6">
        <f t="shared" ca="1" si="0"/>
        <v>0</v>
      </c>
      <c r="U21" s="1" t="str">
        <f t="shared" si="1"/>
        <v/>
      </c>
      <c r="V21" s="1"/>
      <c r="W21" s="1"/>
    </row>
    <row r="22" spans="1:23">
      <c r="A22" s="1"/>
      <c r="B22" s="1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1"/>
      <c r="R22" s="11"/>
      <c r="S22" s="1"/>
      <c r="T22" s="6">
        <f t="shared" ca="1" si="0"/>
        <v>0</v>
      </c>
      <c r="U22" s="1" t="str">
        <f t="shared" si="1"/>
        <v/>
      </c>
      <c r="V22" s="1"/>
      <c r="W22" s="1"/>
    </row>
    <row r="23" spans="1:23">
      <c r="A23" s="1"/>
      <c r="B23" s="1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1"/>
      <c r="R23" s="11"/>
      <c r="S23" s="1"/>
      <c r="T23" s="6">
        <f t="shared" ca="1" si="0"/>
        <v>0</v>
      </c>
      <c r="U23" s="1" t="str">
        <f t="shared" si="1"/>
        <v/>
      </c>
      <c r="V23" s="1"/>
      <c r="W23" s="1"/>
    </row>
    <row r="24" spans="1:23">
      <c r="A24" s="1"/>
      <c r="B24" s="1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1"/>
      <c r="R24" s="11"/>
      <c r="S24" s="1"/>
      <c r="T24" s="6">
        <f t="shared" ca="1" si="0"/>
        <v>0</v>
      </c>
      <c r="U24" s="1" t="str">
        <f t="shared" si="1"/>
        <v/>
      </c>
      <c r="V24" s="1"/>
      <c r="W24" s="1"/>
    </row>
    <row r="25" spans="1:23">
      <c r="A25" s="1"/>
      <c r="B25" s="1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1"/>
      <c r="R25" s="11"/>
      <c r="S25" s="1"/>
      <c r="T25" s="6">
        <f t="shared" ca="1" si="0"/>
        <v>0</v>
      </c>
      <c r="U25" s="1" t="str">
        <f t="shared" si="1"/>
        <v/>
      </c>
      <c r="V25" s="1"/>
      <c r="W25" s="1"/>
    </row>
    <row r="26" spans="1:23">
      <c r="A26" s="1"/>
      <c r="B26" s="1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1"/>
      <c r="R26" s="11"/>
      <c r="S26" s="1"/>
      <c r="T26" s="6">
        <f t="shared" ca="1" si="0"/>
        <v>0</v>
      </c>
      <c r="U26" s="1" t="str">
        <f t="shared" si="1"/>
        <v/>
      </c>
      <c r="V26" s="1"/>
      <c r="W26" s="1"/>
    </row>
    <row r="27" spans="1:23">
      <c r="A27" s="1"/>
      <c r="B27" s="1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1"/>
      <c r="R27" s="11"/>
      <c r="S27" s="1"/>
      <c r="T27" s="6">
        <f t="shared" ca="1" si="0"/>
        <v>0</v>
      </c>
      <c r="U27" s="1" t="str">
        <f t="shared" si="1"/>
        <v/>
      </c>
      <c r="V27" s="1"/>
      <c r="W27" s="1"/>
    </row>
    <row r="28" spans="1:23">
      <c r="A28" s="1"/>
      <c r="B28" s="1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1"/>
      <c r="R28" s="11"/>
      <c r="S28" s="1"/>
      <c r="T28" s="6">
        <f t="shared" ca="1" si="0"/>
        <v>0</v>
      </c>
      <c r="U28" s="1" t="str">
        <f t="shared" si="1"/>
        <v/>
      </c>
      <c r="V28" s="1"/>
      <c r="W28" s="1"/>
    </row>
    <row r="29" spans="1:23">
      <c r="A29" s="1"/>
      <c r="B29" s="1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1"/>
      <c r="R29" s="11"/>
      <c r="S29" s="1"/>
      <c r="T29" s="6">
        <f t="shared" ca="1" si="0"/>
        <v>0</v>
      </c>
      <c r="U29" s="1" t="str">
        <f t="shared" si="1"/>
        <v/>
      </c>
      <c r="V29" s="1"/>
      <c r="W29" s="1"/>
    </row>
    <row r="30" spans="1:23">
      <c r="A30" s="1"/>
      <c r="B30" s="1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1"/>
      <c r="R30" s="11"/>
      <c r="S30" s="1"/>
      <c r="T30" s="6">
        <f t="shared" ca="1" si="0"/>
        <v>0</v>
      </c>
      <c r="U30" s="1" t="str">
        <f t="shared" si="1"/>
        <v/>
      </c>
      <c r="V30" s="1"/>
      <c r="W30" s="1"/>
    </row>
    <row r="31" spans="1:23">
      <c r="A31" s="1"/>
      <c r="B31" s="1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1"/>
      <c r="R31" s="11"/>
      <c r="S31" s="1"/>
      <c r="T31" s="6">
        <f t="shared" ca="1" si="0"/>
        <v>0</v>
      </c>
      <c r="U31" s="1" t="str">
        <f t="shared" si="1"/>
        <v/>
      </c>
      <c r="V31" s="1"/>
      <c r="W31" s="1"/>
    </row>
    <row r="32" spans="1:23">
      <c r="A32" s="1"/>
      <c r="B32" s="1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1"/>
      <c r="R32" s="11"/>
      <c r="S32" s="1"/>
      <c r="T32" s="6">
        <f t="shared" ca="1" si="0"/>
        <v>0</v>
      </c>
      <c r="U32" s="1" t="str">
        <f t="shared" si="1"/>
        <v/>
      </c>
      <c r="V32" s="1"/>
      <c r="W32" s="1"/>
    </row>
    <row r="33" spans="1:23">
      <c r="A33" s="1"/>
      <c r="B33" s="1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1"/>
      <c r="R33" s="11"/>
      <c r="S33" s="1"/>
      <c r="T33" s="6">
        <f t="shared" ca="1" si="0"/>
        <v>0</v>
      </c>
      <c r="U33" s="1" t="str">
        <f t="shared" si="1"/>
        <v/>
      </c>
      <c r="V33" s="1"/>
      <c r="W33" s="1"/>
    </row>
    <row r="34" spans="1:23">
      <c r="A34" s="1"/>
      <c r="B34" s="1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1"/>
      <c r="R34" s="11"/>
      <c r="S34" s="1"/>
      <c r="T34" s="6">
        <f t="shared" ca="1" si="0"/>
        <v>0</v>
      </c>
      <c r="U34" s="1" t="str">
        <f t="shared" si="1"/>
        <v/>
      </c>
      <c r="V34" s="1"/>
      <c r="W34" s="1"/>
    </row>
    <row r="35" spans="1:23">
      <c r="A35" s="1"/>
      <c r="B35" s="1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1"/>
      <c r="R35" s="11"/>
      <c r="S35" s="1"/>
      <c r="T35" s="6">
        <f t="shared" ca="1" si="0"/>
        <v>0</v>
      </c>
      <c r="U35" s="1" t="str">
        <f t="shared" si="1"/>
        <v/>
      </c>
      <c r="V35" s="1"/>
      <c r="W35" s="1"/>
    </row>
    <row r="36" spans="1:23">
      <c r="A36" s="1"/>
      <c r="B36" s="1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1"/>
      <c r="R36" s="11"/>
      <c r="S36" s="1"/>
      <c r="T36" s="6">
        <f t="shared" ca="1" si="0"/>
        <v>0</v>
      </c>
      <c r="U36" s="1" t="str">
        <f t="shared" si="1"/>
        <v/>
      </c>
      <c r="V36" s="1"/>
      <c r="W36" s="1"/>
    </row>
    <row r="37" spans="1:23">
      <c r="A37" s="1"/>
      <c r="B37" s="1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1"/>
      <c r="R37" s="11"/>
      <c r="S37" s="1"/>
      <c r="T37" s="6">
        <f t="shared" ca="1" si="0"/>
        <v>0</v>
      </c>
      <c r="U37" s="1" t="str">
        <f t="shared" si="1"/>
        <v/>
      </c>
      <c r="V37" s="1"/>
      <c r="W37" s="1"/>
    </row>
    <row r="38" spans="1:23">
      <c r="A38" s="1"/>
      <c r="B38" s="1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1"/>
      <c r="R38" s="11"/>
      <c r="S38" s="1"/>
      <c r="T38" s="6">
        <f t="shared" ca="1" si="0"/>
        <v>0</v>
      </c>
      <c r="U38" s="1" t="str">
        <f t="shared" si="1"/>
        <v/>
      </c>
      <c r="V38" s="1"/>
      <c r="W38" s="1"/>
    </row>
    <row r="39" spans="1:23">
      <c r="A39" s="1"/>
      <c r="B39" s="1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1"/>
      <c r="R39" s="11"/>
      <c r="S39" s="1"/>
      <c r="T39" s="6">
        <f t="shared" ca="1" si="0"/>
        <v>0</v>
      </c>
      <c r="U39" s="1" t="str">
        <f t="shared" si="1"/>
        <v/>
      </c>
      <c r="V39" s="1"/>
      <c r="W39" s="1"/>
    </row>
    <row r="40" spans="1:23">
      <c r="A40" s="1"/>
      <c r="B40" s="1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1"/>
      <c r="R40" s="11"/>
      <c r="S40" s="1"/>
      <c r="T40" s="6">
        <f t="shared" ca="1" si="0"/>
        <v>0</v>
      </c>
      <c r="U40" s="1" t="str">
        <f t="shared" si="1"/>
        <v/>
      </c>
      <c r="V40" s="1"/>
      <c r="W40" s="1"/>
    </row>
    <row r="41" spans="1:23">
      <c r="A41" s="1"/>
      <c r="B41" s="1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1"/>
      <c r="R41" s="11"/>
      <c r="S41" s="1"/>
      <c r="T41" s="6">
        <f t="shared" ca="1" si="0"/>
        <v>0</v>
      </c>
      <c r="U41" s="1" t="str">
        <f t="shared" si="1"/>
        <v/>
      </c>
      <c r="V41" s="1"/>
      <c r="W41" s="1"/>
    </row>
    <row r="42" spans="1:23">
      <c r="A42" s="1"/>
      <c r="B42" s="1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1"/>
      <c r="R42" s="11"/>
      <c r="S42" s="1"/>
      <c r="T42" s="6">
        <f t="shared" ca="1" si="0"/>
        <v>0</v>
      </c>
      <c r="U42" s="1" t="str">
        <f t="shared" si="1"/>
        <v/>
      </c>
      <c r="V42" s="1"/>
      <c r="W42" s="1"/>
    </row>
    <row r="43" spans="1:23">
      <c r="A43" s="1"/>
      <c r="B43" s="1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1"/>
      <c r="R43" s="11"/>
      <c r="S43" s="1"/>
      <c r="T43" s="6">
        <f t="shared" ca="1" si="0"/>
        <v>0</v>
      </c>
      <c r="U43" s="1" t="str">
        <f t="shared" si="1"/>
        <v/>
      </c>
      <c r="V43" s="1"/>
      <c r="W43" s="1"/>
    </row>
    <row r="44" spans="1:23">
      <c r="A44" s="1"/>
      <c r="B44" s="1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1"/>
      <c r="R44" s="11"/>
      <c r="S44" s="1"/>
      <c r="T44" s="6">
        <f t="shared" ca="1" si="0"/>
        <v>0</v>
      </c>
      <c r="U44" s="1" t="str">
        <f t="shared" si="1"/>
        <v/>
      </c>
      <c r="V44" s="1"/>
      <c r="W44" s="1"/>
    </row>
    <row r="45" spans="1:23">
      <c r="A45" s="1"/>
      <c r="B45" s="1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1"/>
      <c r="R45" s="11"/>
      <c r="S45" s="1"/>
      <c r="T45" s="6">
        <f t="shared" ca="1" si="0"/>
        <v>0</v>
      </c>
      <c r="U45" s="1" t="str">
        <f t="shared" si="1"/>
        <v/>
      </c>
      <c r="V45" s="1"/>
      <c r="W45" s="1"/>
    </row>
    <row r="46" spans="1:23">
      <c r="A46" s="1"/>
      <c r="B46" s="1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1"/>
      <c r="R46" s="11"/>
      <c r="S46" s="1"/>
      <c r="T46" s="6">
        <f t="shared" ca="1" si="0"/>
        <v>0</v>
      </c>
      <c r="U46" s="1" t="str">
        <f t="shared" si="1"/>
        <v/>
      </c>
      <c r="V46" s="1"/>
      <c r="W46" s="1"/>
    </row>
    <row r="47" spans="1:23">
      <c r="A47" s="1"/>
      <c r="B47" s="1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1"/>
      <c r="R47" s="11"/>
      <c r="S47" s="1"/>
      <c r="T47" s="6">
        <f t="shared" ca="1" si="0"/>
        <v>0</v>
      </c>
      <c r="U47" s="1" t="str">
        <f t="shared" si="1"/>
        <v/>
      </c>
      <c r="V47" s="1"/>
      <c r="W47" s="1"/>
    </row>
    <row r="48" spans="1:23">
      <c r="A48" s="1"/>
      <c r="B48" s="1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1"/>
      <c r="R48" s="11"/>
      <c r="S48" s="1"/>
      <c r="T48" s="6">
        <f t="shared" ca="1" si="0"/>
        <v>0</v>
      </c>
      <c r="U48" s="1" t="str">
        <f t="shared" si="1"/>
        <v/>
      </c>
      <c r="V48" s="1"/>
      <c r="W48" s="1"/>
    </row>
    <row r="49" spans="1:23">
      <c r="A49" s="1"/>
      <c r="B49" s="1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1"/>
      <c r="R49" s="11"/>
      <c r="S49" s="1"/>
      <c r="T49" s="6">
        <f t="shared" ca="1" si="0"/>
        <v>0</v>
      </c>
      <c r="U49" s="1" t="str">
        <f t="shared" si="1"/>
        <v/>
      </c>
      <c r="V49" s="1"/>
      <c r="W49" s="1"/>
    </row>
    <row r="50" spans="1:23">
      <c r="A50" s="1"/>
      <c r="B50" s="1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1"/>
      <c r="R50" s="11"/>
      <c r="S50" s="1"/>
      <c r="T50" s="6">
        <f t="shared" ca="1" si="0"/>
        <v>0</v>
      </c>
      <c r="U50" s="1" t="str">
        <f t="shared" si="1"/>
        <v/>
      </c>
      <c r="V50" s="1"/>
      <c r="W50" s="1"/>
    </row>
    <row r="51" spans="1:23">
      <c r="A51" s="1"/>
      <c r="B51" s="1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1"/>
      <c r="R51" s="11"/>
      <c r="S51" s="1"/>
      <c r="T51" s="6">
        <f t="shared" ca="1" si="0"/>
        <v>0</v>
      </c>
      <c r="U51" s="1" t="str">
        <f t="shared" si="1"/>
        <v/>
      </c>
      <c r="V51" s="1"/>
      <c r="W51" s="1"/>
    </row>
    <row r="52" spans="1:23">
      <c r="A52" s="1"/>
      <c r="B52" s="1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1"/>
      <c r="R52" s="11"/>
      <c r="S52" s="1"/>
      <c r="T52" s="6">
        <f t="shared" ca="1" si="0"/>
        <v>0</v>
      </c>
      <c r="U52" s="1" t="str">
        <f t="shared" si="1"/>
        <v/>
      </c>
      <c r="V52" s="1"/>
      <c r="W52" s="1"/>
    </row>
    <row r="53" spans="1:23">
      <c r="A53" s="1"/>
      <c r="B53" s="1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1"/>
      <c r="R53" s="11"/>
      <c r="S53" s="1"/>
      <c r="T53" s="6">
        <f t="shared" ca="1" si="0"/>
        <v>0</v>
      </c>
      <c r="U53" s="1" t="str">
        <f t="shared" si="1"/>
        <v/>
      </c>
      <c r="V53" s="1"/>
      <c r="W53" s="1"/>
    </row>
    <row r="54" spans="1:23">
      <c r="A54" s="1"/>
      <c r="B54" s="1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1"/>
      <c r="R54" s="11"/>
      <c r="S54" s="1"/>
      <c r="T54" s="6">
        <f t="shared" ca="1" si="0"/>
        <v>0</v>
      </c>
      <c r="U54" s="1" t="str">
        <f t="shared" si="1"/>
        <v/>
      </c>
      <c r="V54" s="1"/>
      <c r="W54" s="1"/>
    </row>
    <row r="55" spans="1:23">
      <c r="A55" s="1"/>
      <c r="B55" s="1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1"/>
      <c r="R55" s="11"/>
      <c r="S55" s="1"/>
      <c r="T55" s="6">
        <f t="shared" ca="1" si="0"/>
        <v>0</v>
      </c>
      <c r="U55" s="1" t="str">
        <f t="shared" si="1"/>
        <v/>
      </c>
      <c r="V55" s="1"/>
      <c r="W55" s="1"/>
    </row>
    <row r="56" spans="1:23">
      <c r="A56" s="1"/>
      <c r="B56" s="1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1"/>
      <c r="R56" s="11"/>
      <c r="S56" s="1"/>
      <c r="T56" s="6">
        <f t="shared" ca="1" si="0"/>
        <v>0</v>
      </c>
      <c r="U56" s="1" t="str">
        <f t="shared" si="1"/>
        <v/>
      </c>
      <c r="V56" s="1"/>
      <c r="W56" s="1"/>
    </row>
    <row r="57" spans="1:23">
      <c r="A57" s="1"/>
      <c r="B57" s="1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1"/>
      <c r="R57" s="11"/>
      <c r="S57" s="1"/>
      <c r="T57" s="6">
        <f t="shared" ca="1" si="0"/>
        <v>0</v>
      </c>
      <c r="U57" s="1" t="str">
        <f t="shared" si="1"/>
        <v/>
      </c>
      <c r="V57" s="1"/>
      <c r="W57" s="1"/>
    </row>
    <row r="58" spans="1:23">
      <c r="A58" s="1"/>
      <c r="B58" s="1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1"/>
      <c r="R58" s="11"/>
      <c r="S58" s="1"/>
      <c r="T58" s="6">
        <f t="shared" ca="1" si="0"/>
        <v>0</v>
      </c>
      <c r="U58" s="1" t="str">
        <f t="shared" si="1"/>
        <v/>
      </c>
      <c r="V58" s="1"/>
      <c r="W58" s="1"/>
    </row>
    <row r="59" spans="1:23">
      <c r="A59" s="1"/>
      <c r="B59" s="1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1"/>
      <c r="R59" s="11"/>
      <c r="S59" s="1"/>
      <c r="T59" s="6">
        <f t="shared" ca="1" si="0"/>
        <v>0</v>
      </c>
      <c r="U59" s="1" t="str">
        <f t="shared" si="1"/>
        <v/>
      </c>
      <c r="V59" s="1"/>
      <c r="W59" s="1"/>
    </row>
    <row r="60" spans="1:23">
      <c r="A60" s="1"/>
      <c r="B60" s="1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1"/>
      <c r="R60" s="11"/>
      <c r="S60" s="1"/>
      <c r="T60" s="6">
        <f t="shared" ca="1" si="0"/>
        <v>0</v>
      </c>
      <c r="U60" s="1" t="str">
        <f t="shared" si="1"/>
        <v/>
      </c>
      <c r="V60" s="1"/>
      <c r="W60" s="1"/>
    </row>
    <row r="61" spans="1:23">
      <c r="A61" s="1"/>
      <c r="B61" s="1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1"/>
      <c r="R61" s="11"/>
      <c r="S61" s="1"/>
      <c r="T61" s="6">
        <f t="shared" ca="1" si="0"/>
        <v>0</v>
      </c>
      <c r="U61" s="1" t="str">
        <f t="shared" si="1"/>
        <v/>
      </c>
      <c r="V61" s="1"/>
      <c r="W61" s="1"/>
    </row>
    <row r="62" spans="1:23">
      <c r="A62" s="1"/>
      <c r="B62" s="1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1"/>
      <c r="R62" s="11"/>
      <c r="S62" s="1"/>
      <c r="T62" s="6">
        <f t="shared" ca="1" si="0"/>
        <v>0</v>
      </c>
      <c r="U62" s="1" t="str">
        <f t="shared" si="1"/>
        <v/>
      </c>
      <c r="V62" s="1"/>
      <c r="W62" s="1"/>
    </row>
    <row r="63" spans="1:23">
      <c r="A63" s="1"/>
      <c r="B63" s="1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1"/>
      <c r="R63" s="11"/>
      <c r="S63" s="1"/>
      <c r="T63" s="6">
        <f t="shared" ca="1" si="0"/>
        <v>0</v>
      </c>
      <c r="U63" s="1" t="str">
        <f t="shared" si="1"/>
        <v/>
      </c>
      <c r="V63" s="1"/>
      <c r="W63" s="1"/>
    </row>
    <row r="64" spans="1:23">
      <c r="A64" s="1"/>
      <c r="B64" s="1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1"/>
      <c r="R64" s="11"/>
      <c r="S64" s="1"/>
      <c r="T64" s="6">
        <f t="shared" ca="1" si="0"/>
        <v>0</v>
      </c>
      <c r="U64" s="1" t="str">
        <f t="shared" si="1"/>
        <v/>
      </c>
      <c r="V64" s="1"/>
      <c r="W64" s="1"/>
    </row>
    <row r="65" spans="1:23">
      <c r="A65" s="1"/>
      <c r="B65" s="1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1"/>
      <c r="R65" s="11"/>
      <c r="S65" s="1"/>
      <c r="T65" s="6">
        <f t="shared" ca="1" si="0"/>
        <v>0</v>
      </c>
      <c r="U65" s="1" t="str">
        <f t="shared" si="1"/>
        <v/>
      </c>
      <c r="V65" s="1"/>
      <c r="W65" s="1"/>
    </row>
    <row r="66" spans="1:23">
      <c r="A66" s="1"/>
      <c r="B66" s="1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1"/>
      <c r="R66" s="11"/>
      <c r="S66" s="1"/>
      <c r="T66" s="6">
        <f t="shared" ref="T66:T129" ca="1" si="2">IF(AND(S66&lt;&gt;"Clôturée",Q66&lt;&gt;"",TODAY()&gt;Q66),TODAY()-Q66,0)</f>
        <v>0</v>
      </c>
      <c r="U66" s="1" t="str">
        <f t="shared" ref="U66:U129" si="3">IF(M66="Critique","P1",IF(M66="Majeure","P2",IF(M66="Mineure","P3","")))</f>
        <v/>
      </c>
      <c r="V66" s="1"/>
      <c r="W66" s="1"/>
    </row>
    <row r="67" spans="1:23">
      <c r="A67" s="1"/>
      <c r="B67" s="1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1"/>
      <c r="R67" s="11"/>
      <c r="S67" s="1"/>
      <c r="T67" s="6">
        <f t="shared" ca="1" si="2"/>
        <v>0</v>
      </c>
      <c r="U67" s="1" t="str">
        <f t="shared" si="3"/>
        <v/>
      </c>
      <c r="V67" s="1"/>
      <c r="W67" s="1"/>
    </row>
    <row r="68" spans="1:23">
      <c r="A68" s="1"/>
      <c r="B68" s="1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1"/>
      <c r="R68" s="11"/>
      <c r="S68" s="1"/>
      <c r="T68" s="6">
        <f t="shared" ca="1" si="2"/>
        <v>0</v>
      </c>
      <c r="U68" s="1" t="str">
        <f t="shared" si="3"/>
        <v/>
      </c>
      <c r="V68" s="1"/>
      <c r="W68" s="1"/>
    </row>
    <row r="69" spans="1:23">
      <c r="A69" s="1"/>
      <c r="B69" s="1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1"/>
      <c r="R69" s="11"/>
      <c r="S69" s="1"/>
      <c r="T69" s="6">
        <f t="shared" ca="1" si="2"/>
        <v>0</v>
      </c>
      <c r="U69" s="1" t="str">
        <f t="shared" si="3"/>
        <v/>
      </c>
      <c r="V69" s="1"/>
      <c r="W69" s="1"/>
    </row>
    <row r="70" spans="1:23">
      <c r="A70" s="1"/>
      <c r="B70" s="1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1"/>
      <c r="R70" s="11"/>
      <c r="S70" s="1"/>
      <c r="T70" s="6">
        <f t="shared" ca="1" si="2"/>
        <v>0</v>
      </c>
      <c r="U70" s="1" t="str">
        <f t="shared" si="3"/>
        <v/>
      </c>
      <c r="V70" s="1"/>
      <c r="W70" s="1"/>
    </row>
    <row r="71" spans="1:23">
      <c r="A71" s="1"/>
      <c r="B71" s="1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1"/>
      <c r="R71" s="11"/>
      <c r="S71" s="1"/>
      <c r="T71" s="6">
        <f t="shared" ca="1" si="2"/>
        <v>0</v>
      </c>
      <c r="U71" s="1" t="str">
        <f t="shared" si="3"/>
        <v/>
      </c>
      <c r="V71" s="1"/>
      <c r="W71" s="1"/>
    </row>
    <row r="72" spans="1:23">
      <c r="A72" s="1"/>
      <c r="B72" s="1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1"/>
      <c r="R72" s="11"/>
      <c r="S72" s="1"/>
      <c r="T72" s="6">
        <f t="shared" ca="1" si="2"/>
        <v>0</v>
      </c>
      <c r="U72" s="1" t="str">
        <f t="shared" si="3"/>
        <v/>
      </c>
      <c r="V72" s="1"/>
      <c r="W72" s="1"/>
    </row>
    <row r="73" spans="1:23">
      <c r="A73" s="1"/>
      <c r="B73" s="1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1"/>
      <c r="R73" s="11"/>
      <c r="S73" s="1"/>
      <c r="T73" s="6">
        <f t="shared" ca="1" si="2"/>
        <v>0</v>
      </c>
      <c r="U73" s="1" t="str">
        <f t="shared" si="3"/>
        <v/>
      </c>
      <c r="V73" s="1"/>
      <c r="W73" s="1"/>
    </row>
    <row r="74" spans="1:23">
      <c r="A74" s="1"/>
      <c r="B74" s="1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1"/>
      <c r="R74" s="11"/>
      <c r="S74" s="1"/>
      <c r="T74" s="6">
        <f t="shared" ca="1" si="2"/>
        <v>0</v>
      </c>
      <c r="U74" s="1" t="str">
        <f t="shared" si="3"/>
        <v/>
      </c>
      <c r="V74" s="1"/>
      <c r="W74" s="1"/>
    </row>
    <row r="75" spans="1:23">
      <c r="A75" s="1"/>
      <c r="B75" s="1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1"/>
      <c r="R75" s="11"/>
      <c r="S75" s="1"/>
      <c r="T75" s="6">
        <f t="shared" ca="1" si="2"/>
        <v>0</v>
      </c>
      <c r="U75" s="1" t="str">
        <f t="shared" si="3"/>
        <v/>
      </c>
      <c r="V75" s="1"/>
      <c r="W75" s="1"/>
    </row>
    <row r="76" spans="1:23">
      <c r="A76" s="1"/>
      <c r="B76" s="1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1"/>
      <c r="R76" s="11"/>
      <c r="S76" s="1"/>
      <c r="T76" s="6">
        <f t="shared" ca="1" si="2"/>
        <v>0</v>
      </c>
      <c r="U76" s="1" t="str">
        <f t="shared" si="3"/>
        <v/>
      </c>
      <c r="V76" s="1"/>
      <c r="W76" s="1"/>
    </row>
    <row r="77" spans="1:23">
      <c r="A77" s="1"/>
      <c r="B77" s="1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1"/>
      <c r="R77" s="11"/>
      <c r="S77" s="1"/>
      <c r="T77" s="6">
        <f t="shared" ca="1" si="2"/>
        <v>0</v>
      </c>
      <c r="U77" s="1" t="str">
        <f t="shared" si="3"/>
        <v/>
      </c>
      <c r="V77" s="1"/>
      <c r="W77" s="1"/>
    </row>
    <row r="78" spans="1:23">
      <c r="A78" s="1"/>
      <c r="B78" s="1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1"/>
      <c r="R78" s="11"/>
      <c r="S78" s="1"/>
      <c r="T78" s="6">
        <f t="shared" ca="1" si="2"/>
        <v>0</v>
      </c>
      <c r="U78" s="1" t="str">
        <f t="shared" si="3"/>
        <v/>
      </c>
      <c r="V78" s="1"/>
      <c r="W78" s="1"/>
    </row>
    <row r="79" spans="1:23">
      <c r="A79" s="1"/>
      <c r="B79" s="1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1"/>
      <c r="R79" s="11"/>
      <c r="S79" s="1"/>
      <c r="T79" s="6">
        <f t="shared" ca="1" si="2"/>
        <v>0</v>
      </c>
      <c r="U79" s="1" t="str">
        <f t="shared" si="3"/>
        <v/>
      </c>
      <c r="V79" s="1"/>
      <c r="W79" s="1"/>
    </row>
    <row r="80" spans="1:23">
      <c r="A80" s="1"/>
      <c r="B80" s="1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1"/>
      <c r="R80" s="11"/>
      <c r="S80" s="1"/>
      <c r="T80" s="6">
        <f t="shared" ca="1" si="2"/>
        <v>0</v>
      </c>
      <c r="U80" s="1" t="str">
        <f t="shared" si="3"/>
        <v/>
      </c>
      <c r="V80" s="1"/>
      <c r="W80" s="1"/>
    </row>
    <row r="81" spans="1:23">
      <c r="A81" s="1"/>
      <c r="B81" s="1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1"/>
      <c r="R81" s="11"/>
      <c r="S81" s="1"/>
      <c r="T81" s="6">
        <f t="shared" ca="1" si="2"/>
        <v>0</v>
      </c>
      <c r="U81" s="1" t="str">
        <f t="shared" si="3"/>
        <v/>
      </c>
      <c r="V81" s="1"/>
      <c r="W81" s="1"/>
    </row>
    <row r="82" spans="1:23">
      <c r="A82" s="1"/>
      <c r="B82" s="1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1"/>
      <c r="R82" s="11"/>
      <c r="S82" s="1"/>
      <c r="T82" s="6">
        <f t="shared" ca="1" si="2"/>
        <v>0</v>
      </c>
      <c r="U82" s="1" t="str">
        <f t="shared" si="3"/>
        <v/>
      </c>
      <c r="V82" s="1"/>
      <c r="W82" s="1"/>
    </row>
    <row r="83" spans="1:23">
      <c r="A83" s="1"/>
      <c r="B83" s="1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1"/>
      <c r="R83" s="11"/>
      <c r="S83" s="1"/>
      <c r="T83" s="6">
        <f t="shared" ca="1" si="2"/>
        <v>0</v>
      </c>
      <c r="U83" s="1" t="str">
        <f t="shared" si="3"/>
        <v/>
      </c>
      <c r="V83" s="1"/>
      <c r="W83" s="1"/>
    </row>
    <row r="84" spans="1:23">
      <c r="A84" s="1"/>
      <c r="B84" s="1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1"/>
      <c r="R84" s="11"/>
      <c r="S84" s="1"/>
      <c r="T84" s="6">
        <f t="shared" ca="1" si="2"/>
        <v>0</v>
      </c>
      <c r="U84" s="1" t="str">
        <f t="shared" si="3"/>
        <v/>
      </c>
      <c r="V84" s="1"/>
      <c r="W84" s="1"/>
    </row>
    <row r="85" spans="1:23">
      <c r="A85" s="1"/>
      <c r="B85" s="1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1"/>
      <c r="R85" s="11"/>
      <c r="S85" s="1"/>
      <c r="T85" s="6">
        <f t="shared" ca="1" si="2"/>
        <v>0</v>
      </c>
      <c r="U85" s="1" t="str">
        <f t="shared" si="3"/>
        <v/>
      </c>
      <c r="V85" s="1"/>
      <c r="W85" s="1"/>
    </row>
    <row r="86" spans="1:23">
      <c r="A86" s="1"/>
      <c r="B86" s="1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1"/>
      <c r="R86" s="11"/>
      <c r="S86" s="1"/>
      <c r="T86" s="6">
        <f t="shared" ca="1" si="2"/>
        <v>0</v>
      </c>
      <c r="U86" s="1" t="str">
        <f t="shared" si="3"/>
        <v/>
      </c>
      <c r="V86" s="1"/>
      <c r="W86" s="1"/>
    </row>
    <row r="87" spans="1:23">
      <c r="A87" s="1"/>
      <c r="B87" s="1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1"/>
      <c r="R87" s="11"/>
      <c r="S87" s="1"/>
      <c r="T87" s="6">
        <f t="shared" ca="1" si="2"/>
        <v>0</v>
      </c>
      <c r="U87" s="1" t="str">
        <f t="shared" si="3"/>
        <v/>
      </c>
      <c r="V87" s="1"/>
      <c r="W87" s="1"/>
    </row>
    <row r="88" spans="1:23">
      <c r="A88" s="1"/>
      <c r="B88" s="1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1"/>
      <c r="R88" s="11"/>
      <c r="S88" s="1"/>
      <c r="T88" s="6">
        <f t="shared" ca="1" si="2"/>
        <v>0</v>
      </c>
      <c r="U88" s="1" t="str">
        <f t="shared" si="3"/>
        <v/>
      </c>
      <c r="V88" s="1"/>
      <c r="W88" s="1"/>
    </row>
    <row r="89" spans="1:23">
      <c r="A89" s="1"/>
      <c r="B89" s="1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1"/>
      <c r="R89" s="11"/>
      <c r="S89" s="1"/>
      <c r="T89" s="6">
        <f t="shared" ca="1" si="2"/>
        <v>0</v>
      </c>
      <c r="U89" s="1" t="str">
        <f t="shared" si="3"/>
        <v/>
      </c>
      <c r="V89" s="1"/>
      <c r="W89" s="1"/>
    </row>
    <row r="90" spans="1:23">
      <c r="A90" s="1"/>
      <c r="B90" s="1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1"/>
      <c r="R90" s="11"/>
      <c r="S90" s="1"/>
      <c r="T90" s="6">
        <f t="shared" ca="1" si="2"/>
        <v>0</v>
      </c>
      <c r="U90" s="1" t="str">
        <f t="shared" si="3"/>
        <v/>
      </c>
      <c r="V90" s="1"/>
      <c r="W90" s="1"/>
    </row>
    <row r="91" spans="1:23">
      <c r="A91" s="1"/>
      <c r="B91" s="1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1"/>
      <c r="R91" s="11"/>
      <c r="S91" s="1"/>
      <c r="T91" s="6">
        <f t="shared" ca="1" si="2"/>
        <v>0</v>
      </c>
      <c r="U91" s="1" t="str">
        <f t="shared" si="3"/>
        <v/>
      </c>
      <c r="V91" s="1"/>
      <c r="W91" s="1"/>
    </row>
    <row r="92" spans="1:23">
      <c r="A92" s="1"/>
      <c r="B92" s="1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1"/>
      <c r="R92" s="11"/>
      <c r="S92" s="1"/>
      <c r="T92" s="6">
        <f t="shared" ca="1" si="2"/>
        <v>0</v>
      </c>
      <c r="U92" s="1" t="str">
        <f t="shared" si="3"/>
        <v/>
      </c>
      <c r="V92" s="1"/>
      <c r="W92" s="1"/>
    </row>
    <row r="93" spans="1:23">
      <c r="A93" s="1"/>
      <c r="B93" s="1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1"/>
      <c r="R93" s="11"/>
      <c r="S93" s="1"/>
      <c r="T93" s="6">
        <f t="shared" ca="1" si="2"/>
        <v>0</v>
      </c>
      <c r="U93" s="1" t="str">
        <f t="shared" si="3"/>
        <v/>
      </c>
      <c r="V93" s="1"/>
      <c r="W93" s="1"/>
    </row>
    <row r="94" spans="1:23">
      <c r="A94" s="1"/>
      <c r="B94" s="1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1"/>
      <c r="R94" s="11"/>
      <c r="S94" s="1"/>
      <c r="T94" s="6">
        <f t="shared" ca="1" si="2"/>
        <v>0</v>
      </c>
      <c r="U94" s="1" t="str">
        <f t="shared" si="3"/>
        <v/>
      </c>
      <c r="V94" s="1"/>
      <c r="W94" s="1"/>
    </row>
    <row r="95" spans="1:23">
      <c r="A95" s="1"/>
      <c r="B95" s="1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1"/>
      <c r="R95" s="11"/>
      <c r="S95" s="1"/>
      <c r="T95" s="6">
        <f t="shared" ca="1" si="2"/>
        <v>0</v>
      </c>
      <c r="U95" s="1" t="str">
        <f t="shared" si="3"/>
        <v/>
      </c>
      <c r="V95" s="1"/>
      <c r="W95" s="1"/>
    </row>
    <row r="96" spans="1:23">
      <c r="A96" s="1"/>
      <c r="B96" s="1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1"/>
      <c r="R96" s="11"/>
      <c r="S96" s="1"/>
      <c r="T96" s="6">
        <f t="shared" ca="1" si="2"/>
        <v>0</v>
      </c>
      <c r="U96" s="1" t="str">
        <f t="shared" si="3"/>
        <v/>
      </c>
      <c r="V96" s="1"/>
      <c r="W96" s="1"/>
    </row>
    <row r="97" spans="1:23">
      <c r="A97" s="1"/>
      <c r="B97" s="1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1"/>
      <c r="R97" s="11"/>
      <c r="S97" s="1"/>
      <c r="T97" s="6">
        <f t="shared" ca="1" si="2"/>
        <v>0</v>
      </c>
      <c r="U97" s="1" t="str">
        <f t="shared" si="3"/>
        <v/>
      </c>
      <c r="V97" s="1"/>
      <c r="W97" s="1"/>
    </row>
    <row r="98" spans="1:23">
      <c r="A98" s="1"/>
      <c r="B98" s="1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1"/>
      <c r="R98" s="11"/>
      <c r="S98" s="1"/>
      <c r="T98" s="6">
        <f t="shared" ca="1" si="2"/>
        <v>0</v>
      </c>
      <c r="U98" s="1" t="str">
        <f t="shared" si="3"/>
        <v/>
      </c>
      <c r="V98" s="1"/>
      <c r="W98" s="1"/>
    </row>
    <row r="99" spans="1:23">
      <c r="A99" s="1"/>
      <c r="B99" s="1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1"/>
      <c r="R99" s="11"/>
      <c r="S99" s="1"/>
      <c r="T99" s="6">
        <f t="shared" ca="1" si="2"/>
        <v>0</v>
      </c>
      <c r="U99" s="1" t="str">
        <f t="shared" si="3"/>
        <v/>
      </c>
      <c r="V99" s="1"/>
      <c r="W99" s="1"/>
    </row>
    <row r="100" spans="1:23">
      <c r="A100" s="1"/>
      <c r="B100" s="1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1"/>
      <c r="R100" s="11"/>
      <c r="S100" s="1"/>
      <c r="T100" s="6">
        <f t="shared" ca="1" si="2"/>
        <v>0</v>
      </c>
      <c r="U100" s="1" t="str">
        <f t="shared" si="3"/>
        <v/>
      </c>
      <c r="V100" s="1"/>
      <c r="W100" s="1"/>
    </row>
    <row r="101" spans="1:23">
      <c r="A101" s="1"/>
      <c r="B101" s="1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1"/>
      <c r="R101" s="11"/>
      <c r="S101" s="1"/>
      <c r="T101" s="6">
        <f t="shared" ca="1" si="2"/>
        <v>0</v>
      </c>
      <c r="U101" s="1" t="str">
        <f t="shared" si="3"/>
        <v/>
      </c>
      <c r="V101" s="1"/>
      <c r="W101" s="1"/>
    </row>
    <row r="102" spans="1:23">
      <c r="A102" s="1"/>
      <c r="B102" s="1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1"/>
      <c r="R102" s="11"/>
      <c r="S102" s="1"/>
      <c r="T102" s="6">
        <f t="shared" ca="1" si="2"/>
        <v>0</v>
      </c>
      <c r="U102" s="1" t="str">
        <f t="shared" si="3"/>
        <v/>
      </c>
      <c r="V102" s="1"/>
      <c r="W102" s="1"/>
    </row>
    <row r="103" spans="1:23">
      <c r="A103" s="1"/>
      <c r="B103" s="1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1"/>
      <c r="R103" s="11"/>
      <c r="S103" s="1"/>
      <c r="T103" s="6">
        <f t="shared" ca="1" si="2"/>
        <v>0</v>
      </c>
      <c r="U103" s="1" t="str">
        <f t="shared" si="3"/>
        <v/>
      </c>
      <c r="V103" s="1"/>
      <c r="W103" s="1"/>
    </row>
    <row r="104" spans="1:23">
      <c r="A104" s="1"/>
      <c r="B104" s="1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1"/>
      <c r="R104" s="11"/>
      <c r="S104" s="1"/>
      <c r="T104" s="6">
        <f t="shared" ca="1" si="2"/>
        <v>0</v>
      </c>
      <c r="U104" s="1" t="str">
        <f t="shared" si="3"/>
        <v/>
      </c>
      <c r="V104" s="1"/>
      <c r="W104" s="1"/>
    </row>
    <row r="105" spans="1:23">
      <c r="A105" s="1"/>
      <c r="B105" s="1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1"/>
      <c r="R105" s="11"/>
      <c r="S105" s="1"/>
      <c r="T105" s="6">
        <f t="shared" ca="1" si="2"/>
        <v>0</v>
      </c>
      <c r="U105" s="1" t="str">
        <f t="shared" si="3"/>
        <v/>
      </c>
      <c r="V105" s="1"/>
      <c r="W105" s="1"/>
    </row>
    <row r="106" spans="1:23">
      <c r="A106" s="1"/>
      <c r="B106" s="1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1"/>
      <c r="R106" s="11"/>
      <c r="S106" s="1"/>
      <c r="T106" s="6">
        <f t="shared" ca="1" si="2"/>
        <v>0</v>
      </c>
      <c r="U106" s="1" t="str">
        <f t="shared" si="3"/>
        <v/>
      </c>
      <c r="V106" s="1"/>
      <c r="W106" s="1"/>
    </row>
    <row r="107" spans="1:23">
      <c r="A107" s="1"/>
      <c r="B107" s="1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1"/>
      <c r="R107" s="11"/>
      <c r="S107" s="1"/>
      <c r="T107" s="6">
        <f t="shared" ca="1" si="2"/>
        <v>0</v>
      </c>
      <c r="U107" s="1" t="str">
        <f t="shared" si="3"/>
        <v/>
      </c>
      <c r="V107" s="1"/>
      <c r="W107" s="1"/>
    </row>
    <row r="108" spans="1:23">
      <c r="A108" s="1"/>
      <c r="B108" s="1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1"/>
      <c r="R108" s="11"/>
      <c r="S108" s="1"/>
      <c r="T108" s="6">
        <f t="shared" ca="1" si="2"/>
        <v>0</v>
      </c>
      <c r="U108" s="1" t="str">
        <f t="shared" si="3"/>
        <v/>
      </c>
      <c r="V108" s="1"/>
      <c r="W108" s="1"/>
    </row>
    <row r="109" spans="1:23">
      <c r="A109" s="1"/>
      <c r="B109" s="1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1"/>
      <c r="R109" s="11"/>
      <c r="S109" s="1"/>
      <c r="T109" s="6">
        <f t="shared" ca="1" si="2"/>
        <v>0</v>
      </c>
      <c r="U109" s="1" t="str">
        <f t="shared" si="3"/>
        <v/>
      </c>
      <c r="V109" s="1"/>
      <c r="W109" s="1"/>
    </row>
    <row r="110" spans="1:23">
      <c r="A110" s="1"/>
      <c r="B110" s="1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1"/>
      <c r="R110" s="11"/>
      <c r="S110" s="1"/>
      <c r="T110" s="6">
        <f t="shared" ca="1" si="2"/>
        <v>0</v>
      </c>
      <c r="U110" s="1" t="str">
        <f t="shared" si="3"/>
        <v/>
      </c>
      <c r="V110" s="1"/>
      <c r="W110" s="1"/>
    </row>
    <row r="111" spans="1:23">
      <c r="A111" s="1"/>
      <c r="B111" s="1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1"/>
      <c r="R111" s="11"/>
      <c r="S111" s="1"/>
      <c r="T111" s="6">
        <f t="shared" ca="1" si="2"/>
        <v>0</v>
      </c>
      <c r="U111" s="1" t="str">
        <f t="shared" si="3"/>
        <v/>
      </c>
      <c r="V111" s="1"/>
      <c r="W111" s="1"/>
    </row>
    <row r="112" spans="1:23">
      <c r="A112" s="1"/>
      <c r="B112" s="1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1"/>
      <c r="R112" s="11"/>
      <c r="S112" s="1"/>
      <c r="T112" s="6">
        <f t="shared" ca="1" si="2"/>
        <v>0</v>
      </c>
      <c r="U112" s="1" t="str">
        <f t="shared" si="3"/>
        <v/>
      </c>
      <c r="V112" s="1"/>
      <c r="W112" s="1"/>
    </row>
    <row r="113" spans="1:23">
      <c r="A113" s="1"/>
      <c r="B113" s="1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1"/>
      <c r="R113" s="11"/>
      <c r="S113" s="1"/>
      <c r="T113" s="6">
        <f t="shared" ca="1" si="2"/>
        <v>0</v>
      </c>
      <c r="U113" s="1" t="str">
        <f t="shared" si="3"/>
        <v/>
      </c>
      <c r="V113" s="1"/>
      <c r="W113" s="1"/>
    </row>
    <row r="114" spans="1:23">
      <c r="A114" s="1"/>
      <c r="B114" s="1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1"/>
      <c r="R114" s="11"/>
      <c r="S114" s="1"/>
      <c r="T114" s="6">
        <f t="shared" ca="1" si="2"/>
        <v>0</v>
      </c>
      <c r="U114" s="1" t="str">
        <f t="shared" si="3"/>
        <v/>
      </c>
      <c r="V114" s="1"/>
      <c r="W114" s="1"/>
    </row>
    <row r="115" spans="1:23">
      <c r="A115" s="1"/>
      <c r="B115" s="1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1"/>
      <c r="R115" s="11"/>
      <c r="S115" s="1"/>
      <c r="T115" s="6">
        <f t="shared" ca="1" si="2"/>
        <v>0</v>
      </c>
      <c r="U115" s="1" t="str">
        <f t="shared" si="3"/>
        <v/>
      </c>
      <c r="V115" s="1"/>
      <c r="W115" s="1"/>
    </row>
    <row r="116" spans="1:23">
      <c r="A116" s="1"/>
      <c r="B116" s="1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1"/>
      <c r="R116" s="11"/>
      <c r="S116" s="1"/>
      <c r="T116" s="6">
        <f t="shared" ca="1" si="2"/>
        <v>0</v>
      </c>
      <c r="U116" s="1" t="str">
        <f t="shared" si="3"/>
        <v/>
      </c>
      <c r="V116" s="1"/>
      <c r="W116" s="1"/>
    </row>
    <row r="117" spans="1:23">
      <c r="A117" s="1"/>
      <c r="B117" s="1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1"/>
      <c r="R117" s="11"/>
      <c r="S117" s="1"/>
      <c r="T117" s="6">
        <f t="shared" ca="1" si="2"/>
        <v>0</v>
      </c>
      <c r="U117" s="1" t="str">
        <f t="shared" si="3"/>
        <v/>
      </c>
      <c r="V117" s="1"/>
      <c r="W117" s="1"/>
    </row>
    <row r="118" spans="1:23">
      <c r="A118" s="1"/>
      <c r="B118" s="1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1"/>
      <c r="R118" s="11"/>
      <c r="S118" s="1"/>
      <c r="T118" s="6">
        <f t="shared" ca="1" si="2"/>
        <v>0</v>
      </c>
      <c r="U118" s="1" t="str">
        <f t="shared" si="3"/>
        <v/>
      </c>
      <c r="V118" s="1"/>
      <c r="W118" s="1"/>
    </row>
    <row r="119" spans="1:23">
      <c r="A119" s="1"/>
      <c r="B119" s="1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1"/>
      <c r="R119" s="11"/>
      <c r="S119" s="1"/>
      <c r="T119" s="6">
        <f t="shared" ca="1" si="2"/>
        <v>0</v>
      </c>
      <c r="U119" s="1" t="str">
        <f t="shared" si="3"/>
        <v/>
      </c>
      <c r="V119" s="1"/>
      <c r="W119" s="1"/>
    </row>
    <row r="120" spans="1:23">
      <c r="A120" s="1"/>
      <c r="B120" s="1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1"/>
      <c r="R120" s="11"/>
      <c r="S120" s="1"/>
      <c r="T120" s="6">
        <f t="shared" ca="1" si="2"/>
        <v>0</v>
      </c>
      <c r="U120" s="1" t="str">
        <f t="shared" si="3"/>
        <v/>
      </c>
      <c r="V120" s="1"/>
      <c r="W120" s="1"/>
    </row>
    <row r="121" spans="1:23">
      <c r="A121" s="1"/>
      <c r="B121" s="1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1"/>
      <c r="R121" s="11"/>
      <c r="S121" s="1"/>
      <c r="T121" s="6">
        <f t="shared" ca="1" si="2"/>
        <v>0</v>
      </c>
      <c r="U121" s="1" t="str">
        <f t="shared" si="3"/>
        <v/>
      </c>
      <c r="V121" s="1"/>
      <c r="W121" s="1"/>
    </row>
    <row r="122" spans="1:23">
      <c r="A122" s="1"/>
      <c r="B122" s="1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1"/>
      <c r="R122" s="11"/>
      <c r="S122" s="1"/>
      <c r="T122" s="6">
        <f t="shared" ca="1" si="2"/>
        <v>0</v>
      </c>
      <c r="U122" s="1" t="str">
        <f t="shared" si="3"/>
        <v/>
      </c>
      <c r="V122" s="1"/>
      <c r="W122" s="1"/>
    </row>
    <row r="123" spans="1:23">
      <c r="A123" s="1"/>
      <c r="B123" s="1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1"/>
      <c r="R123" s="11"/>
      <c r="S123" s="1"/>
      <c r="T123" s="6">
        <f t="shared" ca="1" si="2"/>
        <v>0</v>
      </c>
      <c r="U123" s="1" t="str">
        <f t="shared" si="3"/>
        <v/>
      </c>
      <c r="V123" s="1"/>
      <c r="W123" s="1"/>
    </row>
    <row r="124" spans="1:23">
      <c r="A124" s="1"/>
      <c r="B124" s="1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1"/>
      <c r="R124" s="11"/>
      <c r="S124" s="1"/>
      <c r="T124" s="6">
        <f t="shared" ca="1" si="2"/>
        <v>0</v>
      </c>
      <c r="U124" s="1" t="str">
        <f t="shared" si="3"/>
        <v/>
      </c>
      <c r="V124" s="1"/>
      <c r="W124" s="1"/>
    </row>
    <row r="125" spans="1:23">
      <c r="A125" s="1"/>
      <c r="B125" s="1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1"/>
      <c r="R125" s="11"/>
      <c r="S125" s="1"/>
      <c r="T125" s="6">
        <f t="shared" ca="1" si="2"/>
        <v>0</v>
      </c>
      <c r="U125" s="1" t="str">
        <f t="shared" si="3"/>
        <v/>
      </c>
      <c r="V125" s="1"/>
      <c r="W125" s="1"/>
    </row>
    <row r="126" spans="1:23">
      <c r="A126" s="1"/>
      <c r="B126" s="1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1"/>
      <c r="R126" s="11"/>
      <c r="S126" s="1"/>
      <c r="T126" s="6">
        <f t="shared" ca="1" si="2"/>
        <v>0</v>
      </c>
      <c r="U126" s="1" t="str">
        <f t="shared" si="3"/>
        <v/>
      </c>
      <c r="V126" s="1"/>
      <c r="W126" s="1"/>
    </row>
    <row r="127" spans="1:23">
      <c r="A127" s="1"/>
      <c r="B127" s="1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1"/>
      <c r="R127" s="11"/>
      <c r="S127" s="1"/>
      <c r="T127" s="6">
        <f t="shared" ca="1" si="2"/>
        <v>0</v>
      </c>
      <c r="U127" s="1" t="str">
        <f t="shared" si="3"/>
        <v/>
      </c>
      <c r="V127" s="1"/>
      <c r="W127" s="1"/>
    </row>
    <row r="128" spans="1:23">
      <c r="A128" s="1"/>
      <c r="B128" s="1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1"/>
      <c r="R128" s="11"/>
      <c r="S128" s="1"/>
      <c r="T128" s="6">
        <f t="shared" ca="1" si="2"/>
        <v>0</v>
      </c>
      <c r="U128" s="1" t="str">
        <f t="shared" si="3"/>
        <v/>
      </c>
      <c r="V128" s="1"/>
      <c r="W128" s="1"/>
    </row>
    <row r="129" spans="1:23">
      <c r="A129" s="1"/>
      <c r="B129" s="1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1"/>
      <c r="R129" s="11"/>
      <c r="S129" s="1"/>
      <c r="T129" s="6">
        <f t="shared" ca="1" si="2"/>
        <v>0</v>
      </c>
      <c r="U129" s="1" t="str">
        <f t="shared" si="3"/>
        <v/>
      </c>
      <c r="V129" s="1"/>
      <c r="W129" s="1"/>
    </row>
    <row r="130" spans="1:23">
      <c r="A130" s="1"/>
      <c r="B130" s="1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1"/>
      <c r="R130" s="11"/>
      <c r="S130" s="1"/>
      <c r="T130" s="6">
        <f t="shared" ref="T130:T193" ca="1" si="4">IF(AND(S130&lt;&gt;"Clôturée",Q130&lt;&gt;"",TODAY()&gt;Q130),TODAY()-Q130,0)</f>
        <v>0</v>
      </c>
      <c r="U130" s="1" t="str">
        <f t="shared" ref="U130:U193" si="5">IF(M130="Critique","P1",IF(M130="Majeure","P2",IF(M130="Mineure","P3","")))</f>
        <v/>
      </c>
      <c r="V130" s="1"/>
      <c r="W130" s="1"/>
    </row>
    <row r="131" spans="1:23">
      <c r="A131" s="1"/>
      <c r="B131" s="1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1"/>
      <c r="R131" s="11"/>
      <c r="S131" s="1"/>
      <c r="T131" s="6">
        <f t="shared" ca="1" si="4"/>
        <v>0</v>
      </c>
      <c r="U131" s="1" t="str">
        <f t="shared" si="5"/>
        <v/>
      </c>
      <c r="V131" s="1"/>
      <c r="W131" s="1"/>
    </row>
    <row r="132" spans="1:23">
      <c r="A132" s="1"/>
      <c r="B132" s="1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1"/>
      <c r="R132" s="11"/>
      <c r="S132" s="1"/>
      <c r="T132" s="6">
        <f t="shared" ca="1" si="4"/>
        <v>0</v>
      </c>
      <c r="U132" s="1" t="str">
        <f t="shared" si="5"/>
        <v/>
      </c>
      <c r="V132" s="1"/>
      <c r="W132" s="1"/>
    </row>
    <row r="133" spans="1:23">
      <c r="A133" s="1"/>
      <c r="B133" s="1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1"/>
      <c r="R133" s="11"/>
      <c r="S133" s="1"/>
      <c r="T133" s="6">
        <f t="shared" ca="1" si="4"/>
        <v>0</v>
      </c>
      <c r="U133" s="1" t="str">
        <f t="shared" si="5"/>
        <v/>
      </c>
      <c r="V133" s="1"/>
      <c r="W133" s="1"/>
    </row>
    <row r="134" spans="1:23">
      <c r="A134" s="1"/>
      <c r="B134" s="1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1"/>
      <c r="R134" s="11"/>
      <c r="S134" s="1"/>
      <c r="T134" s="6">
        <f t="shared" ca="1" si="4"/>
        <v>0</v>
      </c>
      <c r="U134" s="1" t="str">
        <f t="shared" si="5"/>
        <v/>
      </c>
      <c r="V134" s="1"/>
      <c r="W134" s="1"/>
    </row>
    <row r="135" spans="1:23">
      <c r="A135" s="1"/>
      <c r="B135" s="1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1"/>
      <c r="R135" s="11"/>
      <c r="S135" s="1"/>
      <c r="T135" s="6">
        <f t="shared" ca="1" si="4"/>
        <v>0</v>
      </c>
      <c r="U135" s="1" t="str">
        <f t="shared" si="5"/>
        <v/>
      </c>
      <c r="V135" s="1"/>
      <c r="W135" s="1"/>
    </row>
    <row r="136" spans="1:23">
      <c r="A136" s="1"/>
      <c r="B136" s="1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1"/>
      <c r="R136" s="11"/>
      <c r="S136" s="1"/>
      <c r="T136" s="6">
        <f t="shared" ca="1" si="4"/>
        <v>0</v>
      </c>
      <c r="U136" s="1" t="str">
        <f t="shared" si="5"/>
        <v/>
      </c>
      <c r="V136" s="1"/>
      <c r="W136" s="1"/>
    </row>
    <row r="137" spans="1:23">
      <c r="A137" s="1"/>
      <c r="B137" s="1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1"/>
      <c r="R137" s="11"/>
      <c r="S137" s="1"/>
      <c r="T137" s="6">
        <f t="shared" ca="1" si="4"/>
        <v>0</v>
      </c>
      <c r="U137" s="1" t="str">
        <f t="shared" si="5"/>
        <v/>
      </c>
      <c r="V137" s="1"/>
      <c r="W137" s="1"/>
    </row>
    <row r="138" spans="1:23">
      <c r="A138" s="1"/>
      <c r="B138" s="1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1"/>
      <c r="R138" s="11"/>
      <c r="S138" s="1"/>
      <c r="T138" s="6">
        <f t="shared" ca="1" si="4"/>
        <v>0</v>
      </c>
      <c r="U138" s="1" t="str">
        <f t="shared" si="5"/>
        <v/>
      </c>
      <c r="V138" s="1"/>
      <c r="W138" s="1"/>
    </row>
    <row r="139" spans="1:23">
      <c r="A139" s="1"/>
      <c r="B139" s="1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1"/>
      <c r="R139" s="11"/>
      <c r="S139" s="1"/>
      <c r="T139" s="6">
        <f t="shared" ca="1" si="4"/>
        <v>0</v>
      </c>
      <c r="U139" s="1" t="str">
        <f t="shared" si="5"/>
        <v/>
      </c>
      <c r="V139" s="1"/>
      <c r="W139" s="1"/>
    </row>
    <row r="140" spans="1:23">
      <c r="A140" s="1"/>
      <c r="B140" s="1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1"/>
      <c r="R140" s="11"/>
      <c r="S140" s="1"/>
      <c r="T140" s="6">
        <f t="shared" ca="1" si="4"/>
        <v>0</v>
      </c>
      <c r="U140" s="1" t="str">
        <f t="shared" si="5"/>
        <v/>
      </c>
      <c r="V140" s="1"/>
      <c r="W140" s="1"/>
    </row>
    <row r="141" spans="1:23">
      <c r="A141" s="1"/>
      <c r="B141" s="1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1"/>
      <c r="R141" s="11"/>
      <c r="S141" s="1"/>
      <c r="T141" s="6">
        <f t="shared" ca="1" si="4"/>
        <v>0</v>
      </c>
      <c r="U141" s="1" t="str">
        <f t="shared" si="5"/>
        <v/>
      </c>
      <c r="V141" s="1"/>
      <c r="W141" s="1"/>
    </row>
    <row r="142" spans="1:23">
      <c r="A142" s="1"/>
      <c r="B142" s="1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1"/>
      <c r="R142" s="11"/>
      <c r="S142" s="1"/>
      <c r="T142" s="6">
        <f t="shared" ca="1" si="4"/>
        <v>0</v>
      </c>
      <c r="U142" s="1" t="str">
        <f t="shared" si="5"/>
        <v/>
      </c>
      <c r="V142" s="1"/>
      <c r="W142" s="1"/>
    </row>
    <row r="143" spans="1:23">
      <c r="A143" s="1"/>
      <c r="B143" s="1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1"/>
      <c r="R143" s="11"/>
      <c r="S143" s="1"/>
      <c r="T143" s="6">
        <f t="shared" ca="1" si="4"/>
        <v>0</v>
      </c>
      <c r="U143" s="1" t="str">
        <f t="shared" si="5"/>
        <v/>
      </c>
      <c r="V143" s="1"/>
      <c r="W143" s="1"/>
    </row>
    <row r="144" spans="1:23">
      <c r="A144" s="1"/>
      <c r="B144" s="1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1"/>
      <c r="R144" s="11"/>
      <c r="S144" s="1"/>
      <c r="T144" s="6">
        <f t="shared" ca="1" si="4"/>
        <v>0</v>
      </c>
      <c r="U144" s="1" t="str">
        <f t="shared" si="5"/>
        <v/>
      </c>
      <c r="V144" s="1"/>
      <c r="W144" s="1"/>
    </row>
    <row r="145" spans="1:23">
      <c r="A145" s="1"/>
      <c r="B145" s="1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1"/>
      <c r="R145" s="11"/>
      <c r="S145" s="1"/>
      <c r="T145" s="6">
        <f t="shared" ca="1" si="4"/>
        <v>0</v>
      </c>
      <c r="U145" s="1" t="str">
        <f t="shared" si="5"/>
        <v/>
      </c>
      <c r="V145" s="1"/>
      <c r="W145" s="1"/>
    </row>
    <row r="146" spans="1:23">
      <c r="A146" s="1"/>
      <c r="B146" s="1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1"/>
      <c r="R146" s="11"/>
      <c r="S146" s="1"/>
      <c r="T146" s="6">
        <f t="shared" ca="1" si="4"/>
        <v>0</v>
      </c>
      <c r="U146" s="1" t="str">
        <f t="shared" si="5"/>
        <v/>
      </c>
      <c r="V146" s="1"/>
      <c r="W146" s="1"/>
    </row>
    <row r="147" spans="1:23">
      <c r="A147" s="1"/>
      <c r="B147" s="1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1"/>
      <c r="R147" s="11"/>
      <c r="S147" s="1"/>
      <c r="T147" s="6">
        <f t="shared" ca="1" si="4"/>
        <v>0</v>
      </c>
      <c r="U147" s="1" t="str">
        <f t="shared" si="5"/>
        <v/>
      </c>
      <c r="V147" s="1"/>
      <c r="W147" s="1"/>
    </row>
    <row r="148" spans="1:23">
      <c r="A148" s="1"/>
      <c r="B148" s="1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1"/>
      <c r="R148" s="11"/>
      <c r="S148" s="1"/>
      <c r="T148" s="6">
        <f t="shared" ca="1" si="4"/>
        <v>0</v>
      </c>
      <c r="U148" s="1" t="str">
        <f t="shared" si="5"/>
        <v/>
      </c>
      <c r="V148" s="1"/>
      <c r="W148" s="1"/>
    </row>
    <row r="149" spans="1:23">
      <c r="A149" s="1"/>
      <c r="B149" s="1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1"/>
      <c r="R149" s="11"/>
      <c r="S149" s="1"/>
      <c r="T149" s="6">
        <f t="shared" ca="1" si="4"/>
        <v>0</v>
      </c>
      <c r="U149" s="1" t="str">
        <f t="shared" si="5"/>
        <v/>
      </c>
      <c r="V149" s="1"/>
      <c r="W149" s="1"/>
    </row>
    <row r="150" spans="1:23">
      <c r="A150" s="1"/>
      <c r="B150" s="1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1"/>
      <c r="R150" s="11"/>
      <c r="S150" s="1"/>
      <c r="T150" s="6">
        <f t="shared" ca="1" si="4"/>
        <v>0</v>
      </c>
      <c r="U150" s="1" t="str">
        <f t="shared" si="5"/>
        <v/>
      </c>
      <c r="V150" s="1"/>
      <c r="W150" s="1"/>
    </row>
    <row r="151" spans="1:23">
      <c r="A151" s="1"/>
      <c r="B151" s="1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1"/>
      <c r="R151" s="11"/>
      <c r="S151" s="1"/>
      <c r="T151" s="6">
        <f t="shared" ca="1" si="4"/>
        <v>0</v>
      </c>
      <c r="U151" s="1" t="str">
        <f t="shared" si="5"/>
        <v/>
      </c>
      <c r="V151" s="1"/>
      <c r="W151" s="1"/>
    </row>
    <row r="152" spans="1:23">
      <c r="A152" s="1"/>
      <c r="B152" s="1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1"/>
      <c r="R152" s="11"/>
      <c r="S152" s="1"/>
      <c r="T152" s="6">
        <f t="shared" ca="1" si="4"/>
        <v>0</v>
      </c>
      <c r="U152" s="1" t="str">
        <f t="shared" si="5"/>
        <v/>
      </c>
      <c r="V152" s="1"/>
      <c r="W152" s="1"/>
    </row>
    <row r="153" spans="1:23">
      <c r="A153" s="1"/>
      <c r="B153" s="1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1"/>
      <c r="R153" s="11"/>
      <c r="S153" s="1"/>
      <c r="T153" s="6">
        <f t="shared" ca="1" si="4"/>
        <v>0</v>
      </c>
      <c r="U153" s="1" t="str">
        <f t="shared" si="5"/>
        <v/>
      </c>
      <c r="V153" s="1"/>
      <c r="W153" s="1"/>
    </row>
    <row r="154" spans="1:23">
      <c r="A154" s="1"/>
      <c r="B154" s="1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1"/>
      <c r="R154" s="11"/>
      <c r="S154" s="1"/>
      <c r="T154" s="6">
        <f t="shared" ca="1" si="4"/>
        <v>0</v>
      </c>
      <c r="U154" s="1" t="str">
        <f t="shared" si="5"/>
        <v/>
      </c>
      <c r="V154" s="1"/>
      <c r="W154" s="1"/>
    </row>
    <row r="155" spans="1:23">
      <c r="A155" s="1"/>
      <c r="B155" s="1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1"/>
      <c r="R155" s="11"/>
      <c r="S155" s="1"/>
      <c r="T155" s="6">
        <f t="shared" ca="1" si="4"/>
        <v>0</v>
      </c>
      <c r="U155" s="1" t="str">
        <f t="shared" si="5"/>
        <v/>
      </c>
      <c r="V155" s="1"/>
      <c r="W155" s="1"/>
    </row>
    <row r="156" spans="1:23">
      <c r="A156" s="1"/>
      <c r="B156" s="1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1"/>
      <c r="R156" s="11"/>
      <c r="S156" s="1"/>
      <c r="T156" s="6">
        <f t="shared" ca="1" si="4"/>
        <v>0</v>
      </c>
      <c r="U156" s="1" t="str">
        <f t="shared" si="5"/>
        <v/>
      </c>
      <c r="V156" s="1"/>
      <c r="W156" s="1"/>
    </row>
    <row r="157" spans="1:23">
      <c r="A157" s="1"/>
      <c r="B157" s="1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1"/>
      <c r="R157" s="11"/>
      <c r="S157" s="1"/>
      <c r="T157" s="6">
        <f t="shared" ca="1" si="4"/>
        <v>0</v>
      </c>
      <c r="U157" s="1" t="str">
        <f t="shared" si="5"/>
        <v/>
      </c>
      <c r="V157" s="1"/>
      <c r="W157" s="1"/>
    </row>
    <row r="158" spans="1:23">
      <c r="A158" s="1"/>
      <c r="B158" s="1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1"/>
      <c r="R158" s="11"/>
      <c r="S158" s="1"/>
      <c r="T158" s="6">
        <f t="shared" ca="1" si="4"/>
        <v>0</v>
      </c>
      <c r="U158" s="1" t="str">
        <f t="shared" si="5"/>
        <v/>
      </c>
      <c r="V158" s="1"/>
      <c r="W158" s="1"/>
    </row>
    <row r="159" spans="1:23">
      <c r="A159" s="1"/>
      <c r="B159" s="1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1"/>
      <c r="R159" s="11"/>
      <c r="S159" s="1"/>
      <c r="T159" s="6">
        <f t="shared" ca="1" si="4"/>
        <v>0</v>
      </c>
      <c r="U159" s="1" t="str">
        <f t="shared" si="5"/>
        <v/>
      </c>
      <c r="V159" s="1"/>
      <c r="W159" s="1"/>
    </row>
    <row r="160" spans="1:23">
      <c r="A160" s="1"/>
      <c r="B160" s="1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1"/>
      <c r="R160" s="11"/>
      <c r="S160" s="1"/>
      <c r="T160" s="6">
        <f t="shared" ca="1" si="4"/>
        <v>0</v>
      </c>
      <c r="U160" s="1" t="str">
        <f t="shared" si="5"/>
        <v/>
      </c>
      <c r="V160" s="1"/>
      <c r="W160" s="1"/>
    </row>
    <row r="161" spans="1:23">
      <c r="A161" s="1"/>
      <c r="B161" s="1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1"/>
      <c r="R161" s="11"/>
      <c r="S161" s="1"/>
      <c r="T161" s="6">
        <f t="shared" ca="1" si="4"/>
        <v>0</v>
      </c>
      <c r="U161" s="1" t="str">
        <f t="shared" si="5"/>
        <v/>
      </c>
      <c r="V161" s="1"/>
      <c r="W161" s="1"/>
    </row>
    <row r="162" spans="1:23">
      <c r="A162" s="1"/>
      <c r="B162" s="1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1"/>
      <c r="R162" s="11"/>
      <c r="S162" s="1"/>
      <c r="T162" s="6">
        <f t="shared" ca="1" si="4"/>
        <v>0</v>
      </c>
      <c r="U162" s="1" t="str">
        <f t="shared" si="5"/>
        <v/>
      </c>
      <c r="V162" s="1"/>
      <c r="W162" s="1"/>
    </row>
    <row r="163" spans="1:23">
      <c r="A163" s="1"/>
      <c r="B163" s="1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1"/>
      <c r="R163" s="11"/>
      <c r="S163" s="1"/>
      <c r="T163" s="6">
        <f t="shared" ca="1" si="4"/>
        <v>0</v>
      </c>
      <c r="U163" s="1" t="str">
        <f t="shared" si="5"/>
        <v/>
      </c>
      <c r="V163" s="1"/>
      <c r="W163" s="1"/>
    </row>
    <row r="164" spans="1:23">
      <c r="A164" s="1"/>
      <c r="B164" s="1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1"/>
      <c r="R164" s="11"/>
      <c r="S164" s="1"/>
      <c r="T164" s="6">
        <f t="shared" ca="1" si="4"/>
        <v>0</v>
      </c>
      <c r="U164" s="1" t="str">
        <f t="shared" si="5"/>
        <v/>
      </c>
      <c r="V164" s="1"/>
      <c r="W164" s="1"/>
    </row>
    <row r="165" spans="1:23">
      <c r="A165" s="1"/>
      <c r="B165" s="1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1"/>
      <c r="R165" s="11"/>
      <c r="S165" s="1"/>
      <c r="T165" s="6">
        <f t="shared" ca="1" si="4"/>
        <v>0</v>
      </c>
      <c r="U165" s="1" t="str">
        <f t="shared" si="5"/>
        <v/>
      </c>
      <c r="V165" s="1"/>
      <c r="W165" s="1"/>
    </row>
    <row r="166" spans="1:23">
      <c r="A166" s="1"/>
      <c r="B166" s="1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1"/>
      <c r="R166" s="11"/>
      <c r="S166" s="1"/>
      <c r="T166" s="6">
        <f t="shared" ca="1" si="4"/>
        <v>0</v>
      </c>
      <c r="U166" s="1" t="str">
        <f t="shared" si="5"/>
        <v/>
      </c>
      <c r="V166" s="1"/>
      <c r="W166" s="1"/>
    </row>
    <row r="167" spans="1:23">
      <c r="A167" s="1"/>
      <c r="B167" s="1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1"/>
      <c r="R167" s="11"/>
      <c r="S167" s="1"/>
      <c r="T167" s="6">
        <f t="shared" ca="1" si="4"/>
        <v>0</v>
      </c>
      <c r="U167" s="1" t="str">
        <f t="shared" si="5"/>
        <v/>
      </c>
      <c r="V167" s="1"/>
      <c r="W167" s="1"/>
    </row>
    <row r="168" spans="1:23">
      <c r="A168" s="1"/>
      <c r="B168" s="1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1"/>
      <c r="R168" s="11"/>
      <c r="S168" s="1"/>
      <c r="T168" s="6">
        <f t="shared" ca="1" si="4"/>
        <v>0</v>
      </c>
      <c r="U168" s="1" t="str">
        <f t="shared" si="5"/>
        <v/>
      </c>
      <c r="V168" s="1"/>
      <c r="W168" s="1"/>
    </row>
    <row r="169" spans="1:23">
      <c r="A169" s="1"/>
      <c r="B169" s="1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1"/>
      <c r="R169" s="11"/>
      <c r="S169" s="1"/>
      <c r="T169" s="6">
        <f t="shared" ca="1" si="4"/>
        <v>0</v>
      </c>
      <c r="U169" s="1" t="str">
        <f t="shared" si="5"/>
        <v/>
      </c>
      <c r="V169" s="1"/>
      <c r="W169" s="1"/>
    </row>
    <row r="170" spans="1:23">
      <c r="A170" s="1"/>
      <c r="B170" s="1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1"/>
      <c r="R170" s="11"/>
      <c r="S170" s="1"/>
      <c r="T170" s="6">
        <f t="shared" ca="1" si="4"/>
        <v>0</v>
      </c>
      <c r="U170" s="1" t="str">
        <f t="shared" si="5"/>
        <v/>
      </c>
      <c r="V170" s="1"/>
      <c r="W170" s="1"/>
    </row>
    <row r="171" spans="1:23">
      <c r="A171" s="1"/>
      <c r="B171" s="1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1"/>
      <c r="R171" s="11"/>
      <c r="S171" s="1"/>
      <c r="T171" s="6">
        <f t="shared" ca="1" si="4"/>
        <v>0</v>
      </c>
      <c r="U171" s="1" t="str">
        <f t="shared" si="5"/>
        <v/>
      </c>
      <c r="V171" s="1"/>
      <c r="W171" s="1"/>
    </row>
    <row r="172" spans="1:23">
      <c r="A172" s="1"/>
      <c r="B172" s="1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1"/>
      <c r="R172" s="11"/>
      <c r="S172" s="1"/>
      <c r="T172" s="6">
        <f t="shared" ca="1" si="4"/>
        <v>0</v>
      </c>
      <c r="U172" s="1" t="str">
        <f t="shared" si="5"/>
        <v/>
      </c>
      <c r="V172" s="1"/>
      <c r="W172" s="1"/>
    </row>
    <row r="173" spans="1:23">
      <c r="A173" s="1"/>
      <c r="B173" s="1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1"/>
      <c r="R173" s="11"/>
      <c r="S173" s="1"/>
      <c r="T173" s="6">
        <f t="shared" ca="1" si="4"/>
        <v>0</v>
      </c>
      <c r="U173" s="1" t="str">
        <f t="shared" si="5"/>
        <v/>
      </c>
      <c r="V173" s="1"/>
      <c r="W173" s="1"/>
    </row>
    <row r="174" spans="1:23">
      <c r="A174" s="1"/>
      <c r="B174" s="1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1"/>
      <c r="R174" s="11"/>
      <c r="S174" s="1"/>
      <c r="T174" s="6">
        <f t="shared" ca="1" si="4"/>
        <v>0</v>
      </c>
      <c r="U174" s="1" t="str">
        <f t="shared" si="5"/>
        <v/>
      </c>
      <c r="V174" s="1"/>
      <c r="W174" s="1"/>
    </row>
    <row r="175" spans="1:23">
      <c r="A175" s="1"/>
      <c r="B175" s="1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1"/>
      <c r="R175" s="11"/>
      <c r="S175" s="1"/>
      <c r="T175" s="6">
        <f t="shared" ca="1" si="4"/>
        <v>0</v>
      </c>
      <c r="U175" s="1" t="str">
        <f t="shared" si="5"/>
        <v/>
      </c>
      <c r="V175" s="1"/>
      <c r="W175" s="1"/>
    </row>
    <row r="176" spans="1:23">
      <c r="A176" s="1"/>
      <c r="B176" s="1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1"/>
      <c r="R176" s="11"/>
      <c r="S176" s="1"/>
      <c r="T176" s="6">
        <f t="shared" ca="1" si="4"/>
        <v>0</v>
      </c>
      <c r="U176" s="1" t="str">
        <f t="shared" si="5"/>
        <v/>
      </c>
      <c r="V176" s="1"/>
      <c r="W176" s="1"/>
    </row>
    <row r="177" spans="1:23">
      <c r="A177" s="1"/>
      <c r="B177" s="1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1"/>
      <c r="R177" s="11"/>
      <c r="S177" s="1"/>
      <c r="T177" s="6">
        <f t="shared" ca="1" si="4"/>
        <v>0</v>
      </c>
      <c r="U177" s="1" t="str">
        <f t="shared" si="5"/>
        <v/>
      </c>
      <c r="V177" s="1"/>
      <c r="W177" s="1"/>
    </row>
    <row r="178" spans="1:23">
      <c r="A178" s="1"/>
      <c r="B178" s="1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1"/>
      <c r="R178" s="11"/>
      <c r="S178" s="1"/>
      <c r="T178" s="6">
        <f t="shared" ca="1" si="4"/>
        <v>0</v>
      </c>
      <c r="U178" s="1" t="str">
        <f t="shared" si="5"/>
        <v/>
      </c>
      <c r="V178" s="1"/>
      <c r="W178" s="1"/>
    </row>
    <row r="179" spans="1:23">
      <c r="A179" s="1"/>
      <c r="B179" s="1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1"/>
      <c r="R179" s="11"/>
      <c r="S179" s="1"/>
      <c r="T179" s="6">
        <f t="shared" ca="1" si="4"/>
        <v>0</v>
      </c>
      <c r="U179" s="1" t="str">
        <f t="shared" si="5"/>
        <v/>
      </c>
      <c r="V179" s="1"/>
      <c r="W179" s="1"/>
    </row>
    <row r="180" spans="1:23">
      <c r="A180" s="1"/>
      <c r="B180" s="1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1"/>
      <c r="R180" s="11"/>
      <c r="S180" s="1"/>
      <c r="T180" s="6">
        <f t="shared" ca="1" si="4"/>
        <v>0</v>
      </c>
      <c r="U180" s="1" t="str">
        <f t="shared" si="5"/>
        <v/>
      </c>
      <c r="V180" s="1"/>
      <c r="W180" s="1"/>
    </row>
    <row r="181" spans="1:23">
      <c r="A181" s="1"/>
      <c r="B181" s="1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1"/>
      <c r="R181" s="11"/>
      <c r="S181" s="1"/>
      <c r="T181" s="6">
        <f t="shared" ca="1" si="4"/>
        <v>0</v>
      </c>
      <c r="U181" s="1" t="str">
        <f t="shared" si="5"/>
        <v/>
      </c>
      <c r="V181" s="1"/>
      <c r="W181" s="1"/>
    </row>
    <row r="182" spans="1:23">
      <c r="A182" s="1"/>
      <c r="B182" s="1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1"/>
      <c r="R182" s="11"/>
      <c r="S182" s="1"/>
      <c r="T182" s="6">
        <f t="shared" ca="1" si="4"/>
        <v>0</v>
      </c>
      <c r="U182" s="1" t="str">
        <f t="shared" si="5"/>
        <v/>
      </c>
      <c r="V182" s="1"/>
      <c r="W182" s="1"/>
    </row>
    <row r="183" spans="1:23">
      <c r="A183" s="1"/>
      <c r="B183" s="1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1"/>
      <c r="R183" s="11"/>
      <c r="S183" s="1"/>
      <c r="T183" s="6">
        <f t="shared" ca="1" si="4"/>
        <v>0</v>
      </c>
      <c r="U183" s="1" t="str">
        <f t="shared" si="5"/>
        <v/>
      </c>
      <c r="V183" s="1"/>
      <c r="W183" s="1"/>
    </row>
    <row r="184" spans="1:23">
      <c r="A184" s="1"/>
      <c r="B184" s="1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1"/>
      <c r="R184" s="11"/>
      <c r="S184" s="1"/>
      <c r="T184" s="6">
        <f t="shared" ca="1" si="4"/>
        <v>0</v>
      </c>
      <c r="U184" s="1" t="str">
        <f t="shared" si="5"/>
        <v/>
      </c>
      <c r="V184" s="1"/>
      <c r="W184" s="1"/>
    </row>
    <row r="185" spans="1:23">
      <c r="A185" s="1"/>
      <c r="B185" s="1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1"/>
      <c r="R185" s="11"/>
      <c r="S185" s="1"/>
      <c r="T185" s="6">
        <f t="shared" ca="1" si="4"/>
        <v>0</v>
      </c>
      <c r="U185" s="1" t="str">
        <f t="shared" si="5"/>
        <v/>
      </c>
      <c r="V185" s="1"/>
      <c r="W185" s="1"/>
    </row>
    <row r="186" spans="1:23">
      <c r="A186" s="1"/>
      <c r="B186" s="1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1"/>
      <c r="R186" s="11"/>
      <c r="S186" s="1"/>
      <c r="T186" s="6">
        <f t="shared" ca="1" si="4"/>
        <v>0</v>
      </c>
      <c r="U186" s="1" t="str">
        <f t="shared" si="5"/>
        <v/>
      </c>
      <c r="V186" s="1"/>
      <c r="W186" s="1"/>
    </row>
    <row r="187" spans="1:23">
      <c r="A187" s="1"/>
      <c r="B187" s="1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1"/>
      <c r="R187" s="11"/>
      <c r="S187" s="1"/>
      <c r="T187" s="6">
        <f t="shared" ca="1" si="4"/>
        <v>0</v>
      </c>
      <c r="U187" s="1" t="str">
        <f t="shared" si="5"/>
        <v/>
      </c>
      <c r="V187" s="1"/>
      <c r="W187" s="1"/>
    </row>
    <row r="188" spans="1:23">
      <c r="A188" s="1"/>
      <c r="B188" s="1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1"/>
      <c r="R188" s="11"/>
      <c r="S188" s="1"/>
      <c r="T188" s="6">
        <f t="shared" ca="1" si="4"/>
        <v>0</v>
      </c>
      <c r="U188" s="1" t="str">
        <f t="shared" si="5"/>
        <v/>
      </c>
      <c r="V188" s="1"/>
      <c r="W188" s="1"/>
    </row>
    <row r="189" spans="1:23">
      <c r="A189" s="1"/>
      <c r="B189" s="1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1"/>
      <c r="R189" s="11"/>
      <c r="S189" s="1"/>
      <c r="T189" s="6">
        <f t="shared" ca="1" si="4"/>
        <v>0</v>
      </c>
      <c r="U189" s="1" t="str">
        <f t="shared" si="5"/>
        <v/>
      </c>
      <c r="V189" s="1"/>
      <c r="W189" s="1"/>
    </row>
    <row r="190" spans="1:23">
      <c r="A190" s="1"/>
      <c r="B190" s="1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1"/>
      <c r="R190" s="11"/>
      <c r="S190" s="1"/>
      <c r="T190" s="6">
        <f t="shared" ca="1" si="4"/>
        <v>0</v>
      </c>
      <c r="U190" s="1" t="str">
        <f t="shared" si="5"/>
        <v/>
      </c>
      <c r="V190" s="1"/>
      <c r="W190" s="1"/>
    </row>
    <row r="191" spans="1:23">
      <c r="A191" s="1"/>
      <c r="B191" s="1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1"/>
      <c r="R191" s="11"/>
      <c r="S191" s="1"/>
      <c r="T191" s="6">
        <f t="shared" ca="1" si="4"/>
        <v>0</v>
      </c>
      <c r="U191" s="1" t="str">
        <f t="shared" si="5"/>
        <v/>
      </c>
      <c r="V191" s="1"/>
      <c r="W191" s="1"/>
    </row>
    <row r="192" spans="1:23">
      <c r="A192" s="1"/>
      <c r="B192" s="1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1"/>
      <c r="R192" s="11"/>
      <c r="S192" s="1"/>
      <c r="T192" s="6">
        <f t="shared" ca="1" si="4"/>
        <v>0</v>
      </c>
      <c r="U192" s="1" t="str">
        <f t="shared" si="5"/>
        <v/>
      </c>
      <c r="V192" s="1"/>
      <c r="W192" s="1"/>
    </row>
    <row r="193" spans="1:23">
      <c r="A193" s="1"/>
      <c r="B193" s="1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1"/>
      <c r="R193" s="11"/>
      <c r="S193" s="1"/>
      <c r="T193" s="6">
        <f t="shared" ca="1" si="4"/>
        <v>0</v>
      </c>
      <c r="U193" s="1" t="str">
        <f t="shared" si="5"/>
        <v/>
      </c>
      <c r="V193" s="1"/>
      <c r="W193" s="1"/>
    </row>
    <row r="194" spans="1:23">
      <c r="A194" s="1"/>
      <c r="B194" s="1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1"/>
      <c r="R194" s="11"/>
      <c r="S194" s="1"/>
      <c r="T194" s="6">
        <f t="shared" ref="T194:T257" ca="1" si="6">IF(AND(S194&lt;&gt;"Clôturée",Q194&lt;&gt;"",TODAY()&gt;Q194),TODAY()-Q194,0)</f>
        <v>0</v>
      </c>
      <c r="U194" s="1" t="str">
        <f t="shared" ref="U194:U257" si="7">IF(M194="Critique","P1",IF(M194="Majeure","P2",IF(M194="Mineure","P3","")))</f>
        <v/>
      </c>
      <c r="V194" s="1"/>
      <c r="W194" s="1"/>
    </row>
    <row r="195" spans="1:23">
      <c r="A195" s="1"/>
      <c r="B195" s="1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1"/>
      <c r="R195" s="11"/>
      <c r="S195" s="1"/>
      <c r="T195" s="6">
        <f t="shared" ca="1" si="6"/>
        <v>0</v>
      </c>
      <c r="U195" s="1" t="str">
        <f t="shared" si="7"/>
        <v/>
      </c>
      <c r="V195" s="1"/>
      <c r="W195" s="1"/>
    </row>
    <row r="196" spans="1:23">
      <c r="A196" s="1"/>
      <c r="B196" s="1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1"/>
      <c r="R196" s="11"/>
      <c r="S196" s="1"/>
      <c r="T196" s="6">
        <f t="shared" ca="1" si="6"/>
        <v>0</v>
      </c>
      <c r="U196" s="1" t="str">
        <f t="shared" si="7"/>
        <v/>
      </c>
      <c r="V196" s="1"/>
      <c r="W196" s="1"/>
    </row>
    <row r="197" spans="1:23">
      <c r="A197" s="1"/>
      <c r="B197" s="1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1"/>
      <c r="R197" s="11"/>
      <c r="S197" s="1"/>
      <c r="T197" s="6">
        <f t="shared" ca="1" si="6"/>
        <v>0</v>
      </c>
      <c r="U197" s="1" t="str">
        <f t="shared" si="7"/>
        <v/>
      </c>
      <c r="V197" s="1"/>
      <c r="W197" s="1"/>
    </row>
    <row r="198" spans="1:23">
      <c r="A198" s="1"/>
      <c r="B198" s="1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1"/>
      <c r="R198" s="11"/>
      <c r="S198" s="1"/>
      <c r="T198" s="6">
        <f t="shared" ca="1" si="6"/>
        <v>0</v>
      </c>
      <c r="U198" s="1" t="str">
        <f t="shared" si="7"/>
        <v/>
      </c>
      <c r="V198" s="1"/>
      <c r="W198" s="1"/>
    </row>
    <row r="199" spans="1:23">
      <c r="A199" s="1"/>
      <c r="B199" s="1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1"/>
      <c r="R199" s="11"/>
      <c r="S199" s="1"/>
      <c r="T199" s="6">
        <f t="shared" ca="1" si="6"/>
        <v>0</v>
      </c>
      <c r="U199" s="1" t="str">
        <f t="shared" si="7"/>
        <v/>
      </c>
      <c r="V199" s="1"/>
      <c r="W199" s="1"/>
    </row>
    <row r="200" spans="1:23">
      <c r="A200" s="1"/>
      <c r="B200" s="1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1"/>
      <c r="R200" s="11"/>
      <c r="S200" s="1"/>
      <c r="T200" s="6">
        <f t="shared" ca="1" si="6"/>
        <v>0</v>
      </c>
      <c r="U200" s="1" t="str">
        <f t="shared" si="7"/>
        <v/>
      </c>
      <c r="V200" s="1"/>
      <c r="W200" s="1"/>
    </row>
    <row r="201" spans="1:23">
      <c r="A201" s="1"/>
      <c r="B201" s="1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1"/>
      <c r="R201" s="11"/>
      <c r="S201" s="1"/>
      <c r="T201" s="6">
        <f t="shared" ca="1" si="6"/>
        <v>0</v>
      </c>
      <c r="U201" s="1" t="str">
        <f t="shared" si="7"/>
        <v/>
      </c>
      <c r="V201" s="1"/>
      <c r="W201" s="1"/>
    </row>
    <row r="202" spans="1:23">
      <c r="A202" s="1"/>
      <c r="B202" s="1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1"/>
      <c r="R202" s="11"/>
      <c r="S202" s="1"/>
      <c r="T202" s="6">
        <f t="shared" ca="1" si="6"/>
        <v>0</v>
      </c>
      <c r="U202" s="1" t="str">
        <f t="shared" si="7"/>
        <v/>
      </c>
      <c r="V202" s="1"/>
      <c r="W202" s="1"/>
    </row>
    <row r="203" spans="1:23">
      <c r="A203" s="1"/>
      <c r="B203" s="1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1"/>
      <c r="R203" s="11"/>
      <c r="S203" s="1"/>
      <c r="T203" s="6">
        <f t="shared" ca="1" si="6"/>
        <v>0</v>
      </c>
      <c r="U203" s="1" t="str">
        <f t="shared" si="7"/>
        <v/>
      </c>
      <c r="V203" s="1"/>
      <c r="W203" s="1"/>
    </row>
    <row r="204" spans="1:23">
      <c r="A204" s="1"/>
      <c r="B204" s="1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1"/>
      <c r="R204" s="11"/>
      <c r="S204" s="1"/>
      <c r="T204" s="6">
        <f t="shared" ca="1" si="6"/>
        <v>0</v>
      </c>
      <c r="U204" s="1" t="str">
        <f t="shared" si="7"/>
        <v/>
      </c>
      <c r="V204" s="1"/>
      <c r="W204" s="1"/>
    </row>
    <row r="205" spans="1:23">
      <c r="A205" s="1"/>
      <c r="B205" s="1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1"/>
      <c r="R205" s="11"/>
      <c r="S205" s="1"/>
      <c r="T205" s="6">
        <f t="shared" ca="1" si="6"/>
        <v>0</v>
      </c>
      <c r="U205" s="1" t="str">
        <f t="shared" si="7"/>
        <v/>
      </c>
      <c r="V205" s="1"/>
      <c r="W205" s="1"/>
    </row>
    <row r="206" spans="1:23">
      <c r="A206" s="1"/>
      <c r="B206" s="1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1"/>
      <c r="R206" s="11"/>
      <c r="S206" s="1"/>
      <c r="T206" s="6">
        <f t="shared" ca="1" si="6"/>
        <v>0</v>
      </c>
      <c r="U206" s="1" t="str">
        <f t="shared" si="7"/>
        <v/>
      </c>
      <c r="V206" s="1"/>
      <c r="W206" s="1"/>
    </row>
    <row r="207" spans="1:23">
      <c r="A207" s="1"/>
      <c r="B207" s="1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1"/>
      <c r="R207" s="11"/>
      <c r="S207" s="1"/>
      <c r="T207" s="6">
        <f t="shared" ca="1" si="6"/>
        <v>0</v>
      </c>
      <c r="U207" s="1" t="str">
        <f t="shared" si="7"/>
        <v/>
      </c>
      <c r="V207" s="1"/>
      <c r="W207" s="1"/>
    </row>
    <row r="208" spans="1:23">
      <c r="A208" s="1"/>
      <c r="B208" s="1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1"/>
      <c r="R208" s="11"/>
      <c r="S208" s="1"/>
      <c r="T208" s="6">
        <f t="shared" ca="1" si="6"/>
        <v>0</v>
      </c>
      <c r="U208" s="1" t="str">
        <f t="shared" si="7"/>
        <v/>
      </c>
      <c r="V208" s="1"/>
      <c r="W208" s="1"/>
    </row>
    <row r="209" spans="1:23">
      <c r="A209" s="1"/>
      <c r="B209" s="1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1"/>
      <c r="R209" s="11"/>
      <c r="S209" s="1"/>
      <c r="T209" s="6">
        <f t="shared" ca="1" si="6"/>
        <v>0</v>
      </c>
      <c r="U209" s="1" t="str">
        <f t="shared" si="7"/>
        <v/>
      </c>
      <c r="V209" s="1"/>
      <c r="W209" s="1"/>
    </row>
    <row r="210" spans="1:23">
      <c r="A210" s="1"/>
      <c r="B210" s="1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1"/>
      <c r="R210" s="11"/>
      <c r="S210" s="1"/>
      <c r="T210" s="6">
        <f t="shared" ca="1" si="6"/>
        <v>0</v>
      </c>
      <c r="U210" s="1" t="str">
        <f t="shared" si="7"/>
        <v/>
      </c>
      <c r="V210" s="1"/>
      <c r="W210" s="1"/>
    </row>
    <row r="211" spans="1:23">
      <c r="A211" s="1"/>
      <c r="B211" s="1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1"/>
      <c r="R211" s="11"/>
      <c r="S211" s="1"/>
      <c r="T211" s="6">
        <f t="shared" ca="1" si="6"/>
        <v>0</v>
      </c>
      <c r="U211" s="1" t="str">
        <f t="shared" si="7"/>
        <v/>
      </c>
      <c r="V211" s="1"/>
      <c r="W211" s="1"/>
    </row>
    <row r="212" spans="1:23">
      <c r="A212" s="1"/>
      <c r="B212" s="1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1"/>
      <c r="R212" s="11"/>
      <c r="S212" s="1"/>
      <c r="T212" s="6">
        <f t="shared" ca="1" si="6"/>
        <v>0</v>
      </c>
      <c r="U212" s="1" t="str">
        <f t="shared" si="7"/>
        <v/>
      </c>
      <c r="V212" s="1"/>
      <c r="W212" s="1"/>
    </row>
    <row r="213" spans="1:23">
      <c r="A213" s="1"/>
      <c r="B213" s="1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1"/>
      <c r="R213" s="11"/>
      <c r="S213" s="1"/>
      <c r="T213" s="6">
        <f t="shared" ca="1" si="6"/>
        <v>0</v>
      </c>
      <c r="U213" s="1" t="str">
        <f t="shared" si="7"/>
        <v/>
      </c>
      <c r="V213" s="1"/>
      <c r="W213" s="1"/>
    </row>
    <row r="214" spans="1:23">
      <c r="A214" s="1"/>
      <c r="B214" s="1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1"/>
      <c r="R214" s="11"/>
      <c r="S214" s="1"/>
      <c r="T214" s="6">
        <f t="shared" ca="1" si="6"/>
        <v>0</v>
      </c>
      <c r="U214" s="1" t="str">
        <f t="shared" si="7"/>
        <v/>
      </c>
      <c r="V214" s="1"/>
      <c r="W214" s="1"/>
    </row>
    <row r="215" spans="1:23">
      <c r="A215" s="1"/>
      <c r="B215" s="1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1"/>
      <c r="R215" s="11"/>
      <c r="S215" s="1"/>
      <c r="T215" s="6">
        <f t="shared" ca="1" si="6"/>
        <v>0</v>
      </c>
      <c r="U215" s="1" t="str">
        <f t="shared" si="7"/>
        <v/>
      </c>
      <c r="V215" s="1"/>
      <c r="W215" s="1"/>
    </row>
    <row r="216" spans="1:23">
      <c r="A216" s="1"/>
      <c r="B216" s="1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1"/>
      <c r="R216" s="11"/>
      <c r="S216" s="1"/>
      <c r="T216" s="6">
        <f t="shared" ca="1" si="6"/>
        <v>0</v>
      </c>
      <c r="U216" s="1" t="str">
        <f t="shared" si="7"/>
        <v/>
      </c>
      <c r="V216" s="1"/>
      <c r="W216" s="1"/>
    </row>
    <row r="217" spans="1:23">
      <c r="A217" s="1"/>
      <c r="B217" s="1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1"/>
      <c r="R217" s="11"/>
      <c r="S217" s="1"/>
      <c r="T217" s="6">
        <f t="shared" ca="1" si="6"/>
        <v>0</v>
      </c>
      <c r="U217" s="1" t="str">
        <f t="shared" si="7"/>
        <v/>
      </c>
      <c r="V217" s="1"/>
      <c r="W217" s="1"/>
    </row>
    <row r="218" spans="1:23">
      <c r="A218" s="1"/>
      <c r="B218" s="1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1"/>
      <c r="R218" s="11"/>
      <c r="S218" s="1"/>
      <c r="T218" s="6">
        <f t="shared" ca="1" si="6"/>
        <v>0</v>
      </c>
      <c r="U218" s="1" t="str">
        <f t="shared" si="7"/>
        <v/>
      </c>
      <c r="V218" s="1"/>
      <c r="W218" s="1"/>
    </row>
    <row r="219" spans="1:23">
      <c r="A219" s="1"/>
      <c r="B219" s="1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1"/>
      <c r="R219" s="11"/>
      <c r="S219" s="1"/>
      <c r="T219" s="6">
        <f t="shared" ca="1" si="6"/>
        <v>0</v>
      </c>
      <c r="U219" s="1" t="str">
        <f t="shared" si="7"/>
        <v/>
      </c>
      <c r="V219" s="1"/>
      <c r="W219" s="1"/>
    </row>
    <row r="220" spans="1:23">
      <c r="A220" s="1"/>
      <c r="B220" s="1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1"/>
      <c r="R220" s="11"/>
      <c r="S220" s="1"/>
      <c r="T220" s="6">
        <f t="shared" ca="1" si="6"/>
        <v>0</v>
      </c>
      <c r="U220" s="1" t="str">
        <f t="shared" si="7"/>
        <v/>
      </c>
      <c r="V220" s="1"/>
      <c r="W220" s="1"/>
    </row>
    <row r="221" spans="1:23">
      <c r="A221" s="1"/>
      <c r="B221" s="1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1"/>
      <c r="R221" s="11"/>
      <c r="S221" s="1"/>
      <c r="T221" s="6">
        <f t="shared" ca="1" si="6"/>
        <v>0</v>
      </c>
      <c r="U221" s="1" t="str">
        <f t="shared" si="7"/>
        <v/>
      </c>
      <c r="V221" s="1"/>
      <c r="W221" s="1"/>
    </row>
    <row r="222" spans="1:23">
      <c r="A222" s="1"/>
      <c r="B222" s="1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1"/>
      <c r="R222" s="11"/>
      <c r="S222" s="1"/>
      <c r="T222" s="6">
        <f t="shared" ca="1" si="6"/>
        <v>0</v>
      </c>
      <c r="U222" s="1" t="str">
        <f t="shared" si="7"/>
        <v/>
      </c>
      <c r="V222" s="1"/>
      <c r="W222" s="1"/>
    </row>
    <row r="223" spans="1:23">
      <c r="A223" s="1"/>
      <c r="B223" s="1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1"/>
      <c r="R223" s="11"/>
      <c r="S223" s="1"/>
      <c r="T223" s="6">
        <f t="shared" ca="1" si="6"/>
        <v>0</v>
      </c>
      <c r="U223" s="1" t="str">
        <f t="shared" si="7"/>
        <v/>
      </c>
      <c r="V223" s="1"/>
      <c r="W223" s="1"/>
    </row>
    <row r="224" spans="1:23">
      <c r="A224" s="1"/>
      <c r="B224" s="1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1"/>
      <c r="R224" s="11"/>
      <c r="S224" s="1"/>
      <c r="T224" s="6">
        <f t="shared" ca="1" si="6"/>
        <v>0</v>
      </c>
      <c r="U224" s="1" t="str">
        <f t="shared" si="7"/>
        <v/>
      </c>
      <c r="V224" s="1"/>
      <c r="W224" s="1"/>
    </row>
    <row r="225" spans="1:23">
      <c r="A225" s="1"/>
      <c r="B225" s="1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1"/>
      <c r="R225" s="11"/>
      <c r="S225" s="1"/>
      <c r="T225" s="6">
        <f t="shared" ca="1" si="6"/>
        <v>0</v>
      </c>
      <c r="U225" s="1" t="str">
        <f t="shared" si="7"/>
        <v/>
      </c>
      <c r="V225" s="1"/>
      <c r="W225" s="1"/>
    </row>
    <row r="226" spans="1:23">
      <c r="A226" s="1"/>
      <c r="B226" s="1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1"/>
      <c r="R226" s="11"/>
      <c r="S226" s="1"/>
      <c r="T226" s="6">
        <f t="shared" ca="1" si="6"/>
        <v>0</v>
      </c>
      <c r="U226" s="1" t="str">
        <f t="shared" si="7"/>
        <v/>
      </c>
      <c r="V226" s="1"/>
      <c r="W226" s="1"/>
    </row>
    <row r="227" spans="1:23">
      <c r="A227" s="1"/>
      <c r="B227" s="1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1"/>
      <c r="R227" s="11"/>
      <c r="S227" s="1"/>
      <c r="T227" s="6">
        <f t="shared" ca="1" si="6"/>
        <v>0</v>
      </c>
      <c r="U227" s="1" t="str">
        <f t="shared" si="7"/>
        <v/>
      </c>
      <c r="V227" s="1"/>
      <c r="W227" s="1"/>
    </row>
    <row r="228" spans="1:23">
      <c r="A228" s="1"/>
      <c r="B228" s="1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1"/>
      <c r="R228" s="11"/>
      <c r="S228" s="1"/>
      <c r="T228" s="6">
        <f t="shared" ca="1" si="6"/>
        <v>0</v>
      </c>
      <c r="U228" s="1" t="str">
        <f t="shared" si="7"/>
        <v/>
      </c>
      <c r="V228" s="1"/>
      <c r="W228" s="1"/>
    </row>
    <row r="229" spans="1:23">
      <c r="A229" s="1"/>
      <c r="B229" s="1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1"/>
      <c r="R229" s="11"/>
      <c r="S229" s="1"/>
      <c r="T229" s="6">
        <f t="shared" ca="1" si="6"/>
        <v>0</v>
      </c>
      <c r="U229" s="1" t="str">
        <f t="shared" si="7"/>
        <v/>
      </c>
      <c r="V229" s="1"/>
      <c r="W229" s="1"/>
    </row>
    <row r="230" spans="1:23">
      <c r="A230" s="1"/>
      <c r="B230" s="1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1"/>
      <c r="R230" s="11"/>
      <c r="S230" s="1"/>
      <c r="T230" s="6">
        <f t="shared" ca="1" si="6"/>
        <v>0</v>
      </c>
      <c r="U230" s="1" t="str">
        <f t="shared" si="7"/>
        <v/>
      </c>
      <c r="V230" s="1"/>
      <c r="W230" s="1"/>
    </row>
    <row r="231" spans="1:23">
      <c r="A231" s="1"/>
      <c r="B231" s="1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1"/>
      <c r="R231" s="11"/>
      <c r="S231" s="1"/>
      <c r="T231" s="6">
        <f t="shared" ca="1" si="6"/>
        <v>0</v>
      </c>
      <c r="U231" s="1" t="str">
        <f t="shared" si="7"/>
        <v/>
      </c>
      <c r="V231" s="1"/>
      <c r="W231" s="1"/>
    </row>
    <row r="232" spans="1:23">
      <c r="A232" s="1"/>
      <c r="B232" s="1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1"/>
      <c r="R232" s="11"/>
      <c r="S232" s="1"/>
      <c r="T232" s="6">
        <f t="shared" ca="1" si="6"/>
        <v>0</v>
      </c>
      <c r="U232" s="1" t="str">
        <f t="shared" si="7"/>
        <v/>
      </c>
      <c r="V232" s="1"/>
      <c r="W232" s="1"/>
    </row>
    <row r="233" spans="1:23">
      <c r="A233" s="1"/>
      <c r="B233" s="1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1"/>
      <c r="R233" s="11"/>
      <c r="S233" s="1"/>
      <c r="T233" s="6">
        <f t="shared" ca="1" si="6"/>
        <v>0</v>
      </c>
      <c r="U233" s="1" t="str">
        <f t="shared" si="7"/>
        <v/>
      </c>
      <c r="V233" s="1"/>
      <c r="W233" s="1"/>
    </row>
    <row r="234" spans="1:23">
      <c r="A234" s="1"/>
      <c r="B234" s="1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1"/>
      <c r="R234" s="11"/>
      <c r="S234" s="1"/>
      <c r="T234" s="6">
        <f t="shared" ca="1" si="6"/>
        <v>0</v>
      </c>
      <c r="U234" s="1" t="str">
        <f t="shared" si="7"/>
        <v/>
      </c>
      <c r="V234" s="1"/>
      <c r="W234" s="1"/>
    </row>
    <row r="235" spans="1:23">
      <c r="A235" s="1"/>
      <c r="B235" s="1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1"/>
      <c r="R235" s="11"/>
      <c r="S235" s="1"/>
      <c r="T235" s="6">
        <f t="shared" ca="1" si="6"/>
        <v>0</v>
      </c>
      <c r="U235" s="1" t="str">
        <f t="shared" si="7"/>
        <v/>
      </c>
      <c r="V235" s="1"/>
      <c r="W235" s="1"/>
    </row>
    <row r="236" spans="1:23">
      <c r="A236" s="1"/>
      <c r="B236" s="1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1"/>
      <c r="R236" s="11"/>
      <c r="S236" s="1"/>
      <c r="T236" s="6">
        <f t="shared" ca="1" si="6"/>
        <v>0</v>
      </c>
      <c r="U236" s="1" t="str">
        <f t="shared" si="7"/>
        <v/>
      </c>
      <c r="V236" s="1"/>
      <c r="W236" s="1"/>
    </row>
    <row r="237" spans="1:23">
      <c r="A237" s="1"/>
      <c r="B237" s="1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1"/>
      <c r="R237" s="11"/>
      <c r="S237" s="1"/>
      <c r="T237" s="6">
        <f t="shared" ca="1" si="6"/>
        <v>0</v>
      </c>
      <c r="U237" s="1" t="str">
        <f t="shared" si="7"/>
        <v/>
      </c>
      <c r="V237" s="1"/>
      <c r="W237" s="1"/>
    </row>
    <row r="238" spans="1:23">
      <c r="A238" s="1"/>
      <c r="B238" s="1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1"/>
      <c r="R238" s="11"/>
      <c r="S238" s="1"/>
      <c r="T238" s="6">
        <f t="shared" ca="1" si="6"/>
        <v>0</v>
      </c>
      <c r="U238" s="1" t="str">
        <f t="shared" si="7"/>
        <v/>
      </c>
      <c r="V238" s="1"/>
      <c r="W238" s="1"/>
    </row>
    <row r="239" spans="1:23">
      <c r="A239" s="1"/>
      <c r="B239" s="1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1"/>
      <c r="R239" s="11"/>
      <c r="S239" s="1"/>
      <c r="T239" s="6">
        <f t="shared" ca="1" si="6"/>
        <v>0</v>
      </c>
      <c r="U239" s="1" t="str">
        <f t="shared" si="7"/>
        <v/>
      </c>
      <c r="V239" s="1"/>
      <c r="W239" s="1"/>
    </row>
    <row r="240" spans="1:23">
      <c r="A240" s="1"/>
      <c r="B240" s="1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1"/>
      <c r="R240" s="11"/>
      <c r="S240" s="1"/>
      <c r="T240" s="6">
        <f t="shared" ca="1" si="6"/>
        <v>0</v>
      </c>
      <c r="U240" s="1" t="str">
        <f t="shared" si="7"/>
        <v/>
      </c>
      <c r="V240" s="1"/>
      <c r="W240" s="1"/>
    </row>
    <row r="241" spans="1:23">
      <c r="A241" s="1"/>
      <c r="B241" s="1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1"/>
      <c r="R241" s="11"/>
      <c r="S241" s="1"/>
      <c r="T241" s="6">
        <f t="shared" ca="1" si="6"/>
        <v>0</v>
      </c>
      <c r="U241" s="1" t="str">
        <f t="shared" si="7"/>
        <v/>
      </c>
      <c r="V241" s="1"/>
      <c r="W241" s="1"/>
    </row>
    <row r="242" spans="1:23">
      <c r="A242" s="1"/>
      <c r="B242" s="1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1"/>
      <c r="R242" s="11"/>
      <c r="S242" s="1"/>
      <c r="T242" s="6">
        <f t="shared" ca="1" si="6"/>
        <v>0</v>
      </c>
      <c r="U242" s="1" t="str">
        <f t="shared" si="7"/>
        <v/>
      </c>
      <c r="V242" s="1"/>
      <c r="W242" s="1"/>
    </row>
    <row r="243" spans="1:23">
      <c r="A243" s="1"/>
      <c r="B243" s="1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1"/>
      <c r="R243" s="11"/>
      <c r="S243" s="1"/>
      <c r="T243" s="6">
        <f t="shared" ca="1" si="6"/>
        <v>0</v>
      </c>
      <c r="U243" s="1" t="str">
        <f t="shared" si="7"/>
        <v/>
      </c>
      <c r="V243" s="1"/>
      <c r="W243" s="1"/>
    </row>
    <row r="244" spans="1:23">
      <c r="A244" s="1"/>
      <c r="B244" s="1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1"/>
      <c r="R244" s="11"/>
      <c r="S244" s="1"/>
      <c r="T244" s="6">
        <f t="shared" ca="1" si="6"/>
        <v>0</v>
      </c>
      <c r="U244" s="1" t="str">
        <f t="shared" si="7"/>
        <v/>
      </c>
      <c r="V244" s="1"/>
      <c r="W244" s="1"/>
    </row>
    <row r="245" spans="1:23">
      <c r="A245" s="1"/>
      <c r="B245" s="1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1"/>
      <c r="R245" s="11"/>
      <c r="S245" s="1"/>
      <c r="T245" s="6">
        <f t="shared" ca="1" si="6"/>
        <v>0</v>
      </c>
      <c r="U245" s="1" t="str">
        <f t="shared" si="7"/>
        <v/>
      </c>
      <c r="V245" s="1"/>
      <c r="W245" s="1"/>
    </row>
    <row r="246" spans="1:23">
      <c r="A246" s="1"/>
      <c r="B246" s="1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1"/>
      <c r="R246" s="11"/>
      <c r="S246" s="1"/>
      <c r="T246" s="6">
        <f t="shared" ca="1" si="6"/>
        <v>0</v>
      </c>
      <c r="U246" s="1" t="str">
        <f t="shared" si="7"/>
        <v/>
      </c>
      <c r="V246" s="1"/>
      <c r="W246" s="1"/>
    </row>
    <row r="247" spans="1:23">
      <c r="A247" s="1"/>
      <c r="B247" s="1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1"/>
      <c r="R247" s="11"/>
      <c r="S247" s="1"/>
      <c r="T247" s="6">
        <f t="shared" ca="1" si="6"/>
        <v>0</v>
      </c>
      <c r="U247" s="1" t="str">
        <f t="shared" si="7"/>
        <v/>
      </c>
      <c r="V247" s="1"/>
      <c r="W247" s="1"/>
    </row>
    <row r="248" spans="1:23">
      <c r="A248" s="1"/>
      <c r="B248" s="1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1"/>
      <c r="R248" s="11"/>
      <c r="S248" s="1"/>
      <c r="T248" s="6">
        <f t="shared" ca="1" si="6"/>
        <v>0</v>
      </c>
      <c r="U248" s="1" t="str">
        <f t="shared" si="7"/>
        <v/>
      </c>
      <c r="V248" s="1"/>
      <c r="W248" s="1"/>
    </row>
    <row r="249" spans="1:23">
      <c r="A249" s="1"/>
      <c r="B249" s="1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1"/>
      <c r="R249" s="11"/>
      <c r="S249" s="1"/>
      <c r="T249" s="6">
        <f t="shared" ca="1" si="6"/>
        <v>0</v>
      </c>
      <c r="U249" s="1" t="str">
        <f t="shared" si="7"/>
        <v/>
      </c>
      <c r="V249" s="1"/>
      <c r="W249" s="1"/>
    </row>
    <row r="250" spans="1:23">
      <c r="A250" s="1"/>
      <c r="B250" s="1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1"/>
      <c r="R250" s="11"/>
      <c r="S250" s="1"/>
      <c r="T250" s="6">
        <f t="shared" ca="1" si="6"/>
        <v>0</v>
      </c>
      <c r="U250" s="1" t="str">
        <f t="shared" si="7"/>
        <v/>
      </c>
      <c r="V250" s="1"/>
      <c r="W250" s="1"/>
    </row>
    <row r="251" spans="1:23">
      <c r="A251" s="1"/>
      <c r="B251" s="1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1"/>
      <c r="R251" s="11"/>
      <c r="S251" s="1"/>
      <c r="T251" s="6">
        <f t="shared" ca="1" si="6"/>
        <v>0</v>
      </c>
      <c r="U251" s="1" t="str">
        <f t="shared" si="7"/>
        <v/>
      </c>
      <c r="V251" s="1"/>
      <c r="W251" s="1"/>
    </row>
    <row r="252" spans="1:23">
      <c r="A252" s="1"/>
      <c r="B252" s="1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1"/>
      <c r="R252" s="11"/>
      <c r="S252" s="1"/>
      <c r="T252" s="6">
        <f t="shared" ca="1" si="6"/>
        <v>0</v>
      </c>
      <c r="U252" s="1" t="str">
        <f t="shared" si="7"/>
        <v/>
      </c>
      <c r="V252" s="1"/>
      <c r="W252" s="1"/>
    </row>
    <row r="253" spans="1:23">
      <c r="A253" s="1"/>
      <c r="B253" s="1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1"/>
      <c r="R253" s="11"/>
      <c r="S253" s="1"/>
      <c r="T253" s="6">
        <f t="shared" ca="1" si="6"/>
        <v>0</v>
      </c>
      <c r="U253" s="1" t="str">
        <f t="shared" si="7"/>
        <v/>
      </c>
      <c r="V253" s="1"/>
      <c r="W253" s="1"/>
    </row>
    <row r="254" spans="1:23">
      <c r="A254" s="1"/>
      <c r="B254" s="1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1"/>
      <c r="R254" s="11"/>
      <c r="S254" s="1"/>
      <c r="T254" s="6">
        <f t="shared" ca="1" si="6"/>
        <v>0</v>
      </c>
      <c r="U254" s="1" t="str">
        <f t="shared" si="7"/>
        <v/>
      </c>
      <c r="V254" s="1"/>
      <c r="W254" s="1"/>
    </row>
    <row r="255" spans="1:23">
      <c r="A255" s="1"/>
      <c r="B255" s="1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1"/>
      <c r="R255" s="11"/>
      <c r="S255" s="1"/>
      <c r="T255" s="6">
        <f t="shared" ca="1" si="6"/>
        <v>0</v>
      </c>
      <c r="U255" s="1" t="str">
        <f t="shared" si="7"/>
        <v/>
      </c>
      <c r="V255" s="1"/>
      <c r="W255" s="1"/>
    </row>
    <row r="256" spans="1:23">
      <c r="A256" s="1"/>
      <c r="B256" s="1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1"/>
      <c r="R256" s="11"/>
      <c r="S256" s="1"/>
      <c r="T256" s="6">
        <f t="shared" ca="1" si="6"/>
        <v>0</v>
      </c>
      <c r="U256" s="1" t="str">
        <f t="shared" si="7"/>
        <v/>
      </c>
      <c r="V256" s="1"/>
      <c r="W256" s="1"/>
    </row>
    <row r="257" spans="1:23">
      <c r="A257" s="1"/>
      <c r="B257" s="1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1"/>
      <c r="R257" s="11"/>
      <c r="S257" s="1"/>
      <c r="T257" s="6">
        <f t="shared" ca="1" si="6"/>
        <v>0</v>
      </c>
      <c r="U257" s="1" t="str">
        <f t="shared" si="7"/>
        <v/>
      </c>
      <c r="V257" s="1"/>
      <c r="W257" s="1"/>
    </row>
    <row r="258" spans="1:23">
      <c r="A258" s="1"/>
      <c r="B258" s="1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1"/>
      <c r="R258" s="11"/>
      <c r="S258" s="1"/>
      <c r="T258" s="6">
        <f t="shared" ref="T258:T297" ca="1" si="8">IF(AND(S258&lt;&gt;"Clôturée",Q258&lt;&gt;"",TODAY()&gt;Q258),TODAY()-Q258,0)</f>
        <v>0</v>
      </c>
      <c r="U258" s="1" t="str">
        <f t="shared" ref="U258:U297" si="9">IF(M258="Critique","P1",IF(M258="Majeure","P2",IF(M258="Mineure","P3","")))</f>
        <v/>
      </c>
      <c r="V258" s="1"/>
      <c r="W258" s="1"/>
    </row>
    <row r="259" spans="1:23">
      <c r="A259" s="1"/>
      <c r="B259" s="1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1"/>
      <c r="R259" s="11"/>
      <c r="S259" s="1"/>
      <c r="T259" s="6">
        <f t="shared" ca="1" si="8"/>
        <v>0</v>
      </c>
      <c r="U259" s="1" t="str">
        <f t="shared" si="9"/>
        <v/>
      </c>
      <c r="V259" s="1"/>
      <c r="W259" s="1"/>
    </row>
    <row r="260" spans="1:23">
      <c r="A260" s="1"/>
      <c r="B260" s="1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1"/>
      <c r="R260" s="11"/>
      <c r="S260" s="1"/>
      <c r="T260" s="6">
        <f t="shared" ca="1" si="8"/>
        <v>0</v>
      </c>
      <c r="U260" s="1" t="str">
        <f t="shared" si="9"/>
        <v/>
      </c>
      <c r="V260" s="1"/>
      <c r="W260" s="1"/>
    </row>
    <row r="261" spans="1:23">
      <c r="A261" s="1"/>
      <c r="B261" s="1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1"/>
      <c r="R261" s="11"/>
      <c r="S261" s="1"/>
      <c r="T261" s="6">
        <f t="shared" ca="1" si="8"/>
        <v>0</v>
      </c>
      <c r="U261" s="1" t="str">
        <f t="shared" si="9"/>
        <v/>
      </c>
      <c r="V261" s="1"/>
      <c r="W261" s="1"/>
    </row>
    <row r="262" spans="1:23">
      <c r="A262" s="1"/>
      <c r="B262" s="1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1"/>
      <c r="R262" s="11"/>
      <c r="S262" s="1"/>
      <c r="T262" s="6">
        <f t="shared" ca="1" si="8"/>
        <v>0</v>
      </c>
      <c r="U262" s="1" t="str">
        <f t="shared" si="9"/>
        <v/>
      </c>
      <c r="V262" s="1"/>
      <c r="W262" s="1"/>
    </row>
    <row r="263" spans="1:23">
      <c r="A263" s="1"/>
      <c r="B263" s="1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1"/>
      <c r="R263" s="11"/>
      <c r="S263" s="1"/>
      <c r="T263" s="6">
        <f t="shared" ca="1" si="8"/>
        <v>0</v>
      </c>
      <c r="U263" s="1" t="str">
        <f t="shared" si="9"/>
        <v/>
      </c>
      <c r="V263" s="1"/>
      <c r="W263" s="1"/>
    </row>
    <row r="264" spans="1:23">
      <c r="A264" s="1"/>
      <c r="B264" s="1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1"/>
      <c r="R264" s="11"/>
      <c r="S264" s="1"/>
      <c r="T264" s="6">
        <f t="shared" ca="1" si="8"/>
        <v>0</v>
      </c>
      <c r="U264" s="1" t="str">
        <f t="shared" si="9"/>
        <v/>
      </c>
      <c r="V264" s="1"/>
      <c r="W264" s="1"/>
    </row>
    <row r="265" spans="1:23">
      <c r="A265" s="1"/>
      <c r="B265" s="1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1"/>
      <c r="R265" s="11"/>
      <c r="S265" s="1"/>
      <c r="T265" s="6">
        <f t="shared" ca="1" si="8"/>
        <v>0</v>
      </c>
      <c r="U265" s="1" t="str">
        <f t="shared" si="9"/>
        <v/>
      </c>
      <c r="V265" s="1"/>
      <c r="W265" s="1"/>
    </row>
    <row r="266" spans="1:23">
      <c r="A266" s="1"/>
      <c r="B266" s="1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1"/>
      <c r="R266" s="11"/>
      <c r="S266" s="1"/>
      <c r="T266" s="6">
        <f t="shared" ca="1" si="8"/>
        <v>0</v>
      </c>
      <c r="U266" s="1" t="str">
        <f t="shared" si="9"/>
        <v/>
      </c>
      <c r="V266" s="1"/>
      <c r="W266" s="1"/>
    </row>
    <row r="267" spans="1:23">
      <c r="A267" s="1"/>
      <c r="B267" s="1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1"/>
      <c r="R267" s="11"/>
      <c r="S267" s="1"/>
      <c r="T267" s="6">
        <f t="shared" ca="1" si="8"/>
        <v>0</v>
      </c>
      <c r="U267" s="1" t="str">
        <f t="shared" si="9"/>
        <v/>
      </c>
      <c r="V267" s="1"/>
      <c r="W267" s="1"/>
    </row>
    <row r="268" spans="1:23">
      <c r="A268" s="1"/>
      <c r="B268" s="1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1"/>
      <c r="R268" s="11"/>
      <c r="S268" s="1"/>
      <c r="T268" s="6">
        <f t="shared" ca="1" si="8"/>
        <v>0</v>
      </c>
      <c r="U268" s="1" t="str">
        <f t="shared" si="9"/>
        <v/>
      </c>
      <c r="V268" s="1"/>
      <c r="W268" s="1"/>
    </row>
    <row r="269" spans="1:23">
      <c r="A269" s="1"/>
      <c r="B269" s="1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1"/>
      <c r="R269" s="11"/>
      <c r="S269" s="1"/>
      <c r="T269" s="6">
        <f t="shared" ca="1" si="8"/>
        <v>0</v>
      </c>
      <c r="U269" s="1" t="str">
        <f t="shared" si="9"/>
        <v/>
      </c>
      <c r="V269" s="1"/>
      <c r="W269" s="1"/>
    </row>
    <row r="270" spans="1:23">
      <c r="A270" s="1"/>
      <c r="B270" s="1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1"/>
      <c r="R270" s="11"/>
      <c r="S270" s="1"/>
      <c r="T270" s="6">
        <f t="shared" ca="1" si="8"/>
        <v>0</v>
      </c>
      <c r="U270" s="1" t="str">
        <f t="shared" si="9"/>
        <v/>
      </c>
      <c r="V270" s="1"/>
      <c r="W270" s="1"/>
    </row>
    <row r="271" spans="1:23">
      <c r="A271" s="1"/>
      <c r="B271" s="1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1"/>
      <c r="R271" s="11"/>
      <c r="S271" s="1"/>
      <c r="T271" s="6">
        <f t="shared" ca="1" si="8"/>
        <v>0</v>
      </c>
      <c r="U271" s="1" t="str">
        <f t="shared" si="9"/>
        <v/>
      </c>
      <c r="V271" s="1"/>
      <c r="W271" s="1"/>
    </row>
    <row r="272" spans="1:23">
      <c r="A272" s="1"/>
      <c r="B272" s="1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1"/>
      <c r="R272" s="11"/>
      <c r="S272" s="1"/>
      <c r="T272" s="6">
        <f t="shared" ca="1" si="8"/>
        <v>0</v>
      </c>
      <c r="U272" s="1" t="str">
        <f t="shared" si="9"/>
        <v/>
      </c>
      <c r="V272" s="1"/>
      <c r="W272" s="1"/>
    </row>
    <row r="273" spans="1:23">
      <c r="A273" s="1"/>
      <c r="B273" s="1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1"/>
      <c r="R273" s="11"/>
      <c r="S273" s="1"/>
      <c r="T273" s="6">
        <f t="shared" ca="1" si="8"/>
        <v>0</v>
      </c>
      <c r="U273" s="1" t="str">
        <f t="shared" si="9"/>
        <v/>
      </c>
      <c r="V273" s="1"/>
      <c r="W273" s="1"/>
    </row>
    <row r="274" spans="1:23">
      <c r="A274" s="1"/>
      <c r="B274" s="1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1"/>
      <c r="R274" s="11"/>
      <c r="S274" s="1"/>
      <c r="T274" s="6">
        <f t="shared" ca="1" si="8"/>
        <v>0</v>
      </c>
      <c r="U274" s="1" t="str">
        <f t="shared" si="9"/>
        <v/>
      </c>
      <c r="V274" s="1"/>
      <c r="W274" s="1"/>
    </row>
    <row r="275" spans="1:23">
      <c r="A275" s="1"/>
      <c r="B275" s="1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1"/>
      <c r="R275" s="11"/>
      <c r="S275" s="1"/>
      <c r="T275" s="6">
        <f t="shared" ca="1" si="8"/>
        <v>0</v>
      </c>
      <c r="U275" s="1" t="str">
        <f t="shared" si="9"/>
        <v/>
      </c>
      <c r="V275" s="1"/>
      <c r="W275" s="1"/>
    </row>
    <row r="276" spans="1:23">
      <c r="A276" s="1"/>
      <c r="B276" s="1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1"/>
      <c r="R276" s="11"/>
      <c r="S276" s="1"/>
      <c r="T276" s="6">
        <f t="shared" ca="1" si="8"/>
        <v>0</v>
      </c>
      <c r="U276" s="1" t="str">
        <f t="shared" si="9"/>
        <v/>
      </c>
      <c r="V276" s="1"/>
      <c r="W276" s="1"/>
    </row>
    <row r="277" spans="1:23">
      <c r="A277" s="1"/>
      <c r="B277" s="1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1"/>
      <c r="R277" s="11"/>
      <c r="S277" s="1"/>
      <c r="T277" s="6">
        <f t="shared" ca="1" si="8"/>
        <v>0</v>
      </c>
      <c r="U277" s="1" t="str">
        <f t="shared" si="9"/>
        <v/>
      </c>
      <c r="V277" s="1"/>
      <c r="W277" s="1"/>
    </row>
    <row r="278" spans="1:23">
      <c r="A278" s="1"/>
      <c r="B278" s="1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1"/>
      <c r="R278" s="11"/>
      <c r="S278" s="1"/>
      <c r="T278" s="6">
        <f t="shared" ca="1" si="8"/>
        <v>0</v>
      </c>
      <c r="U278" s="1" t="str">
        <f t="shared" si="9"/>
        <v/>
      </c>
      <c r="V278" s="1"/>
      <c r="W278" s="1"/>
    </row>
    <row r="279" spans="1:23">
      <c r="A279" s="1"/>
      <c r="B279" s="1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1"/>
      <c r="R279" s="11"/>
      <c r="S279" s="1"/>
      <c r="T279" s="6">
        <f t="shared" ca="1" si="8"/>
        <v>0</v>
      </c>
      <c r="U279" s="1" t="str">
        <f t="shared" si="9"/>
        <v/>
      </c>
      <c r="V279" s="1"/>
      <c r="W279" s="1"/>
    </row>
    <row r="280" spans="1:23">
      <c r="A280" s="1"/>
      <c r="B280" s="1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1"/>
      <c r="R280" s="11"/>
      <c r="S280" s="1"/>
      <c r="T280" s="6">
        <f t="shared" ca="1" si="8"/>
        <v>0</v>
      </c>
      <c r="U280" s="1" t="str">
        <f t="shared" si="9"/>
        <v/>
      </c>
      <c r="V280" s="1"/>
      <c r="W280" s="1"/>
    </row>
    <row r="281" spans="1:23">
      <c r="A281" s="1"/>
      <c r="B281" s="1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1"/>
      <c r="R281" s="11"/>
      <c r="S281" s="1"/>
      <c r="T281" s="6">
        <f t="shared" ca="1" si="8"/>
        <v>0</v>
      </c>
      <c r="U281" s="1" t="str">
        <f t="shared" si="9"/>
        <v/>
      </c>
      <c r="V281" s="1"/>
      <c r="W281" s="1"/>
    </row>
    <row r="282" spans="1:23">
      <c r="A282" s="1"/>
      <c r="B282" s="1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1"/>
      <c r="R282" s="11"/>
      <c r="S282" s="1"/>
      <c r="T282" s="6">
        <f t="shared" ca="1" si="8"/>
        <v>0</v>
      </c>
      <c r="U282" s="1" t="str">
        <f t="shared" si="9"/>
        <v/>
      </c>
      <c r="V282" s="1"/>
      <c r="W282" s="1"/>
    </row>
    <row r="283" spans="1:23">
      <c r="A283" s="1"/>
      <c r="B283" s="1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1"/>
      <c r="R283" s="11"/>
      <c r="S283" s="1"/>
      <c r="T283" s="6">
        <f t="shared" ca="1" si="8"/>
        <v>0</v>
      </c>
      <c r="U283" s="1" t="str">
        <f t="shared" si="9"/>
        <v/>
      </c>
      <c r="V283" s="1"/>
      <c r="W283" s="1"/>
    </row>
    <row r="284" spans="1:23">
      <c r="A284" s="1"/>
      <c r="B284" s="1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1"/>
      <c r="R284" s="11"/>
      <c r="S284" s="1"/>
      <c r="T284" s="6">
        <f t="shared" ca="1" si="8"/>
        <v>0</v>
      </c>
      <c r="U284" s="1" t="str">
        <f t="shared" si="9"/>
        <v/>
      </c>
      <c r="V284" s="1"/>
      <c r="W284" s="1"/>
    </row>
    <row r="285" spans="1:23">
      <c r="A285" s="1"/>
      <c r="B285" s="1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1"/>
      <c r="R285" s="11"/>
      <c r="S285" s="1"/>
      <c r="T285" s="6">
        <f t="shared" ca="1" si="8"/>
        <v>0</v>
      </c>
      <c r="U285" s="1" t="str">
        <f t="shared" si="9"/>
        <v/>
      </c>
      <c r="V285" s="1"/>
      <c r="W285" s="1"/>
    </row>
    <row r="286" spans="1:23">
      <c r="A286" s="1"/>
      <c r="B286" s="1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1"/>
      <c r="R286" s="11"/>
      <c r="S286" s="1"/>
      <c r="T286" s="6">
        <f t="shared" ca="1" si="8"/>
        <v>0</v>
      </c>
      <c r="U286" s="1" t="str">
        <f t="shared" si="9"/>
        <v/>
      </c>
      <c r="V286" s="1"/>
      <c r="W286" s="1"/>
    </row>
    <row r="287" spans="1:23">
      <c r="A287" s="1"/>
      <c r="B287" s="1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1"/>
      <c r="R287" s="11"/>
      <c r="S287" s="1"/>
      <c r="T287" s="6">
        <f t="shared" ca="1" si="8"/>
        <v>0</v>
      </c>
      <c r="U287" s="1" t="str">
        <f t="shared" si="9"/>
        <v/>
      </c>
      <c r="V287" s="1"/>
      <c r="W287" s="1"/>
    </row>
    <row r="288" spans="1:23">
      <c r="A288" s="1"/>
      <c r="B288" s="1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1"/>
      <c r="R288" s="11"/>
      <c r="S288" s="1"/>
      <c r="T288" s="6">
        <f t="shared" ca="1" si="8"/>
        <v>0</v>
      </c>
      <c r="U288" s="1" t="str">
        <f t="shared" si="9"/>
        <v/>
      </c>
      <c r="V288" s="1"/>
      <c r="W288" s="1"/>
    </row>
    <row r="289" spans="1:23">
      <c r="A289" s="1"/>
      <c r="B289" s="1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1"/>
      <c r="R289" s="11"/>
      <c r="S289" s="1"/>
      <c r="T289" s="6">
        <f t="shared" ca="1" si="8"/>
        <v>0</v>
      </c>
      <c r="U289" s="1" t="str">
        <f t="shared" si="9"/>
        <v/>
      </c>
      <c r="V289" s="1"/>
      <c r="W289" s="1"/>
    </row>
    <row r="290" spans="1:23">
      <c r="A290" s="1"/>
      <c r="B290" s="1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1"/>
      <c r="R290" s="11"/>
      <c r="S290" s="1"/>
      <c r="T290" s="6">
        <f t="shared" ca="1" si="8"/>
        <v>0</v>
      </c>
      <c r="U290" s="1" t="str">
        <f t="shared" si="9"/>
        <v/>
      </c>
      <c r="V290" s="1"/>
      <c r="W290" s="1"/>
    </row>
    <row r="291" spans="1:23">
      <c r="A291" s="1"/>
      <c r="B291" s="1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1"/>
      <c r="R291" s="11"/>
      <c r="S291" s="1"/>
      <c r="T291" s="6">
        <f t="shared" ca="1" si="8"/>
        <v>0</v>
      </c>
      <c r="U291" s="1" t="str">
        <f t="shared" si="9"/>
        <v/>
      </c>
      <c r="V291" s="1"/>
      <c r="W291" s="1"/>
    </row>
    <row r="292" spans="1:23">
      <c r="A292" s="1"/>
      <c r="B292" s="1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1"/>
      <c r="R292" s="11"/>
      <c r="S292" s="1"/>
      <c r="T292" s="6">
        <f t="shared" ca="1" si="8"/>
        <v>0</v>
      </c>
      <c r="U292" s="1" t="str">
        <f t="shared" si="9"/>
        <v/>
      </c>
      <c r="V292" s="1"/>
      <c r="W292" s="1"/>
    </row>
    <row r="293" spans="1:23">
      <c r="A293" s="1"/>
      <c r="B293" s="1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1"/>
      <c r="R293" s="11"/>
      <c r="S293" s="1"/>
      <c r="T293" s="6">
        <f t="shared" ca="1" si="8"/>
        <v>0</v>
      </c>
      <c r="U293" s="1" t="str">
        <f t="shared" si="9"/>
        <v/>
      </c>
      <c r="V293" s="1"/>
      <c r="W293" s="1"/>
    </row>
    <row r="294" spans="1:23">
      <c r="A294" s="1"/>
      <c r="B294" s="1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1"/>
      <c r="R294" s="11"/>
      <c r="S294" s="1"/>
      <c r="T294" s="6">
        <f t="shared" ca="1" si="8"/>
        <v>0</v>
      </c>
      <c r="U294" s="1" t="str">
        <f t="shared" si="9"/>
        <v/>
      </c>
      <c r="V294" s="1"/>
      <c r="W294" s="1"/>
    </row>
    <row r="295" spans="1:23">
      <c r="A295" s="1"/>
      <c r="B295" s="1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1"/>
      <c r="R295" s="11"/>
      <c r="S295" s="1"/>
      <c r="T295" s="6">
        <f t="shared" ca="1" si="8"/>
        <v>0</v>
      </c>
      <c r="U295" s="1" t="str">
        <f t="shared" si="9"/>
        <v/>
      </c>
      <c r="V295" s="1"/>
      <c r="W295" s="1"/>
    </row>
    <row r="296" spans="1:23">
      <c r="A296" s="1"/>
      <c r="B296" s="1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1"/>
      <c r="R296" s="11"/>
      <c r="S296" s="1"/>
      <c r="T296" s="6">
        <f t="shared" ca="1" si="8"/>
        <v>0</v>
      </c>
      <c r="U296" s="1" t="str">
        <f t="shared" si="9"/>
        <v/>
      </c>
      <c r="V296" s="1"/>
      <c r="W296" s="1"/>
    </row>
    <row r="297" spans="1:23">
      <c r="A297" s="1"/>
      <c r="B297" s="1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1"/>
      <c r="R297" s="11"/>
      <c r="S297" s="1"/>
      <c r="T297" s="6">
        <f t="shared" ca="1" si="8"/>
        <v>0</v>
      </c>
      <c r="U297" s="1" t="str">
        <f t="shared" si="9"/>
        <v/>
      </c>
      <c r="V297" s="1"/>
      <c r="W297" s="1"/>
    </row>
  </sheetData>
  <conditionalFormatting sqref="L2:L297">
    <cfRule type="expression" dxfId="37" priority="1">
      <formula>L2="Non conforme"</formula>
    </cfRule>
    <cfRule type="expression" dxfId="36" priority="2">
      <formula>L2="Conforme"</formula>
    </cfRule>
  </conditionalFormatting>
  <conditionalFormatting sqref="M2:M297">
    <cfRule type="expression" dxfId="35" priority="3">
      <formula>M2="Critique"</formula>
    </cfRule>
  </conditionalFormatting>
  <conditionalFormatting sqref="T2:T297">
    <cfRule type="cellIs" dxfId="34" priority="4" operator="greaterThan">
      <formula>0</formula>
    </cfRule>
  </conditionalFormatting>
  <dataValidations count="9">
    <dataValidation type="list" allowBlank="1" showErrorMessage="1" errorTitle="Valeur non autorisée" error="Veuillez choisir une valeur depuis la liste dynamique REF_AGENCES." sqref="C2:C1000" xr:uid="{00000000-0002-0000-0400-000000000000}">
      <formula1>REF_AGENCES</formula1>
    </dataValidation>
    <dataValidation type="list" allowBlank="1" showErrorMessage="1" errorTitle="Valeur non autorisée" error="Veuillez choisir une valeur depuis la liste dynamique REF_CYCLES." sqref="D2:D1000" xr:uid="{00000000-0002-0000-0400-000001000000}">
      <formula1>REF_CYCLES</formula1>
    </dataValidation>
    <dataValidation type="list" allowBlank="1" showErrorMessage="1" errorTitle="Valeur non autorisée" error="Veuillez choisir une valeur depuis la liste dynamique REF_FREQUENCES." sqref="H2:H1000" xr:uid="{00000000-0002-0000-0400-000002000000}">
      <formula1>REF_FREQUENCES</formula1>
    </dataValidation>
    <dataValidation type="list" allowBlank="1" showErrorMessage="1" errorTitle="Valeur non autorisée" error="Veuillez choisir une valeur depuis la liste dynamique REF_RESPONSABLES." sqref="I2:I1000 P2:P1000" xr:uid="{00000000-0002-0000-0400-000003000000}">
      <formula1>REF_RESPONSABLES</formula1>
    </dataValidation>
    <dataValidation type="list" allowBlank="1" showErrorMessage="1" errorTitle="Valeur non autorisée" error="Veuillez choisir une valeur depuis la liste dynamique REF_NIVEAUX_RISQUE." sqref="J2:J1000" xr:uid="{00000000-0002-0000-0400-000004000000}">
      <formula1>REF_NIVEAUX_RISQUE</formula1>
    </dataValidation>
    <dataValidation type="list" allowBlank="1" showErrorMessage="1" errorTitle="Valeur non autorisée" error="Veuillez choisir une valeur depuis la liste dynamique REF_RESULTATS_CONTROLE." sqref="L2:L1000" xr:uid="{00000000-0002-0000-0400-000005000000}">
      <formula1>REF_RESULTATS_CONTROLE</formula1>
    </dataValidation>
    <dataValidation type="list" allowBlank="1" showErrorMessage="1" errorTitle="Valeur non autorisée" error="Veuillez choisir une valeur depuis la liste dynamique REF_GRAVITES_ANOMALIE." sqref="M2:M1000" xr:uid="{00000000-0002-0000-0400-000006000000}">
      <formula1>REF_GRAVITES_ANOMALIE</formula1>
    </dataValidation>
    <dataValidation type="list" allowBlank="1" showErrorMessage="1" errorTitle="Valeur non autorisée" error="Veuillez choisir une valeur depuis la liste dynamique REF_STATUTS_ACTION." sqref="S2:S1000" xr:uid="{00000000-0002-0000-0400-000008000000}">
      <formula1>REF_STATUTS_ACTION</formula1>
    </dataValidation>
    <dataValidation type="list" allowBlank="1" showErrorMessage="1" errorTitle="Valeur non autorisée" error="Veuillez choisir une valeur depuis la liste dynamique REF_PRIORITES." sqref="U2:U1000" xr:uid="{00000000-0002-0000-0400-000009000000}">
      <formula1>REF_PRIORITES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97"/>
  <sheetViews>
    <sheetView workbookViewId="0"/>
  </sheetViews>
  <sheetFormatPr baseColWidth="10" defaultColWidth="9" defaultRowHeight="14.25"/>
  <cols>
    <col min="1" max="1" width="14" customWidth="1"/>
    <col min="2" max="3" width="10" customWidth="1"/>
    <col min="4" max="4" width="30" customWidth="1"/>
    <col min="5" max="5" width="18" customWidth="1"/>
    <col min="6" max="6" width="22" customWidth="1"/>
    <col min="7" max="7" width="44" customWidth="1"/>
    <col min="8" max="8" width="16" customWidth="1"/>
    <col min="9" max="9" width="24" customWidth="1"/>
    <col min="10" max="11" width="14" customWidth="1"/>
    <col min="12" max="12" width="16" customWidth="1"/>
    <col min="13" max="13" width="36" customWidth="1"/>
  </cols>
  <sheetData>
    <row r="1" spans="1:13" ht="32.1" customHeight="1">
      <c r="A1" s="2" t="s">
        <v>23</v>
      </c>
      <c r="B1" s="2" t="s">
        <v>192</v>
      </c>
      <c r="C1" s="2" t="s">
        <v>193</v>
      </c>
      <c r="D1" s="2" t="s">
        <v>18</v>
      </c>
      <c r="E1" s="2" t="s">
        <v>167</v>
      </c>
      <c r="F1" s="2" t="s">
        <v>194</v>
      </c>
      <c r="G1" s="2" t="s">
        <v>195</v>
      </c>
      <c r="H1" s="2" t="s">
        <v>171</v>
      </c>
      <c r="I1" s="2" t="s">
        <v>196</v>
      </c>
      <c r="J1" s="2" t="s">
        <v>197</v>
      </c>
      <c r="K1" s="2" t="s">
        <v>180</v>
      </c>
      <c r="L1" s="2" t="s">
        <v>198</v>
      </c>
      <c r="M1" s="2" t="s">
        <v>185</v>
      </c>
    </row>
    <row r="2" spans="1:13">
      <c r="A2" s="1" t="s">
        <v>199</v>
      </c>
      <c r="B2" s="1">
        <v>2026</v>
      </c>
      <c r="C2" s="1"/>
      <c r="D2" s="1" t="s">
        <v>56</v>
      </c>
      <c r="E2" s="1"/>
      <c r="F2" s="1" t="s">
        <v>57</v>
      </c>
      <c r="G2" s="1" t="s">
        <v>200</v>
      </c>
      <c r="H2" s="1" t="s">
        <v>84</v>
      </c>
      <c r="I2" s="1" t="s">
        <v>64</v>
      </c>
      <c r="J2" s="8"/>
      <c r="K2" s="8"/>
      <c r="L2" s="1" t="s">
        <v>62</v>
      </c>
      <c r="M2" s="1"/>
    </row>
    <row r="3" spans="1:13">
      <c r="A3" s="1" t="s">
        <v>201</v>
      </c>
      <c r="B3" s="1">
        <v>2026</v>
      </c>
      <c r="C3" s="1"/>
      <c r="D3" s="1" t="s">
        <v>69</v>
      </c>
      <c r="E3" s="1"/>
      <c r="F3" s="1" t="s">
        <v>57</v>
      </c>
      <c r="G3" s="1" t="s">
        <v>202</v>
      </c>
      <c r="H3" s="1" t="s">
        <v>84</v>
      </c>
      <c r="I3" s="1" t="s">
        <v>64</v>
      </c>
      <c r="J3" s="8"/>
      <c r="K3" s="8"/>
      <c r="L3" s="1" t="s">
        <v>62</v>
      </c>
      <c r="M3" s="1"/>
    </row>
    <row r="4" spans="1:13" ht="28.5">
      <c r="A4" s="1" t="s">
        <v>203</v>
      </c>
      <c r="B4" s="1">
        <v>2026</v>
      </c>
      <c r="C4" s="1"/>
      <c r="D4" s="1" t="s">
        <v>82</v>
      </c>
      <c r="E4" s="1"/>
      <c r="F4" s="1" t="s">
        <v>57</v>
      </c>
      <c r="G4" s="1" t="s">
        <v>204</v>
      </c>
      <c r="H4" s="1" t="s">
        <v>58</v>
      </c>
      <c r="I4" s="1" t="s">
        <v>205</v>
      </c>
      <c r="J4" s="8"/>
      <c r="K4" s="8"/>
      <c r="L4" s="1" t="s">
        <v>62</v>
      </c>
      <c r="M4" s="1"/>
    </row>
    <row r="5" spans="1:13" ht="28.5">
      <c r="A5" s="1" t="s">
        <v>206</v>
      </c>
      <c r="B5" s="1">
        <v>2026</v>
      </c>
      <c r="C5" s="1"/>
      <c r="D5" s="1" t="s">
        <v>94</v>
      </c>
      <c r="E5" s="1"/>
      <c r="F5" s="1" t="s">
        <v>57</v>
      </c>
      <c r="G5" s="1" t="s">
        <v>207</v>
      </c>
      <c r="H5" s="1" t="s">
        <v>84</v>
      </c>
      <c r="I5" s="1" t="s">
        <v>208</v>
      </c>
      <c r="J5" s="8"/>
      <c r="K5" s="8"/>
      <c r="L5" s="1" t="s">
        <v>62</v>
      </c>
      <c r="M5" s="1"/>
    </row>
    <row r="6" spans="1:13" ht="28.5">
      <c r="A6" s="1" t="s">
        <v>209</v>
      </c>
      <c r="B6" s="1">
        <v>2026</v>
      </c>
      <c r="C6" s="1"/>
      <c r="D6" s="1" t="s">
        <v>106</v>
      </c>
      <c r="E6" s="1"/>
      <c r="F6" s="1" t="s">
        <v>57</v>
      </c>
      <c r="G6" s="1" t="s">
        <v>210</v>
      </c>
      <c r="H6" s="1" t="s">
        <v>84</v>
      </c>
      <c r="I6" s="1" t="s">
        <v>211</v>
      </c>
      <c r="J6" s="8"/>
      <c r="K6" s="8"/>
      <c r="L6" s="1" t="s">
        <v>62</v>
      </c>
      <c r="M6" s="1"/>
    </row>
    <row r="7" spans="1:13" ht="28.5">
      <c r="A7" s="1" t="s">
        <v>212</v>
      </c>
      <c r="B7" s="1">
        <v>2026</v>
      </c>
      <c r="C7" s="1"/>
      <c r="D7" s="1" t="s">
        <v>114</v>
      </c>
      <c r="E7" s="1"/>
      <c r="F7" s="1" t="s">
        <v>57</v>
      </c>
      <c r="G7" s="1" t="s">
        <v>213</v>
      </c>
      <c r="H7" s="1" t="s">
        <v>96</v>
      </c>
      <c r="I7" s="1" t="s">
        <v>214</v>
      </c>
      <c r="J7" s="8"/>
      <c r="K7" s="8"/>
      <c r="L7" s="1" t="s">
        <v>62</v>
      </c>
      <c r="M7" s="1"/>
    </row>
    <row r="8" spans="1:13" ht="28.5">
      <c r="A8" s="1" t="s">
        <v>215</v>
      </c>
      <c r="B8" s="1">
        <v>2026</v>
      </c>
      <c r="C8" s="1"/>
      <c r="D8" s="1" t="s">
        <v>118</v>
      </c>
      <c r="E8" s="1"/>
      <c r="F8" s="1" t="s">
        <v>57</v>
      </c>
      <c r="G8" s="1" t="s">
        <v>216</v>
      </c>
      <c r="H8" s="1" t="s">
        <v>96</v>
      </c>
      <c r="I8" s="1" t="s">
        <v>217</v>
      </c>
      <c r="J8" s="8"/>
      <c r="K8" s="8"/>
      <c r="L8" s="1" t="s">
        <v>62</v>
      </c>
      <c r="M8" s="1"/>
    </row>
    <row r="9" spans="1:13" ht="28.5">
      <c r="A9" s="1" t="s">
        <v>218</v>
      </c>
      <c r="B9" s="1">
        <v>2026</v>
      </c>
      <c r="C9" s="1"/>
      <c r="D9" s="1" t="s">
        <v>122</v>
      </c>
      <c r="E9" s="1"/>
      <c r="F9" s="1" t="s">
        <v>57</v>
      </c>
      <c r="G9" s="1" t="s">
        <v>219</v>
      </c>
      <c r="H9" s="1" t="s">
        <v>84</v>
      </c>
      <c r="I9" s="1" t="s">
        <v>220</v>
      </c>
      <c r="J9" s="8"/>
      <c r="K9" s="8"/>
      <c r="L9" s="1" t="s">
        <v>62</v>
      </c>
      <c r="M9" s="1"/>
    </row>
    <row r="10" spans="1:13" ht="28.5">
      <c r="A10" s="1" t="s">
        <v>221</v>
      </c>
      <c r="B10" s="1">
        <v>2026</v>
      </c>
      <c r="C10" s="1"/>
      <c r="D10" s="1" t="s">
        <v>123</v>
      </c>
      <c r="E10" s="1"/>
      <c r="F10" s="1" t="s">
        <v>57</v>
      </c>
      <c r="G10" s="1" t="s">
        <v>222</v>
      </c>
      <c r="H10" s="1" t="s">
        <v>84</v>
      </c>
      <c r="I10" s="1" t="s">
        <v>223</v>
      </c>
      <c r="J10" s="8"/>
      <c r="K10" s="8"/>
      <c r="L10" s="1" t="s">
        <v>62</v>
      </c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8"/>
      <c r="K11" s="8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8"/>
      <c r="K12" s="8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8"/>
      <c r="K13" s="8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8"/>
      <c r="K14" s="8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8"/>
      <c r="K15" s="8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8"/>
      <c r="K16" s="8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8"/>
      <c r="K17" s="8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8"/>
      <c r="K18" s="8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8"/>
      <c r="K19" s="8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8"/>
      <c r="K20" s="8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8"/>
      <c r="K21" s="8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8"/>
      <c r="K22" s="8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8"/>
      <c r="K23" s="8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8"/>
      <c r="K24" s="8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8"/>
      <c r="K25" s="8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8"/>
      <c r="K26" s="8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8"/>
      <c r="K27" s="8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8"/>
      <c r="K28" s="8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8"/>
      <c r="K29" s="8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8"/>
      <c r="K30" s="8"/>
      <c r="L30" s="1"/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8"/>
      <c r="K31" s="8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8"/>
      <c r="K32" s="8"/>
      <c r="L32" s="1"/>
      <c r="M32" s="1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J33" s="8"/>
      <c r="K33" s="8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8"/>
      <c r="K34" s="8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8"/>
      <c r="K35" s="8"/>
      <c r="L35" s="1"/>
      <c r="M35" s="1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8"/>
      <c r="K36" s="8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8"/>
      <c r="K37" s="8"/>
      <c r="L37" s="1"/>
      <c r="M37" s="1"/>
    </row>
    <row r="38" spans="1:13">
      <c r="A38" s="1"/>
      <c r="B38" s="1"/>
      <c r="C38" s="1"/>
      <c r="D38" s="1"/>
      <c r="E38" s="1"/>
      <c r="F38" s="1"/>
      <c r="G38" s="1"/>
      <c r="H38" s="1"/>
      <c r="I38" s="1"/>
      <c r="J38" s="8"/>
      <c r="K38" s="8"/>
      <c r="L38" s="1"/>
      <c r="M38" s="1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8"/>
      <c r="K39" s="8"/>
      <c r="L39" s="1"/>
      <c r="M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8"/>
      <c r="K40" s="8"/>
      <c r="L40" s="1"/>
      <c r="M40" s="1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8"/>
      <c r="K41" s="8"/>
      <c r="L41" s="1"/>
      <c r="M41" s="1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8"/>
      <c r="K42" s="8"/>
      <c r="L42" s="1"/>
      <c r="M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8"/>
      <c r="K43" s="8"/>
      <c r="L43" s="1"/>
      <c r="M43" s="1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8"/>
      <c r="K44" s="8"/>
      <c r="L44" s="1"/>
      <c r="M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8"/>
      <c r="K45" s="8"/>
      <c r="L45" s="1"/>
      <c r="M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8"/>
      <c r="K46" s="8"/>
      <c r="L46" s="1"/>
      <c r="M46" s="1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8"/>
      <c r="K47" s="8"/>
      <c r="L47" s="1"/>
      <c r="M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8"/>
      <c r="K48" s="8"/>
      <c r="L48" s="1"/>
      <c r="M48" s="1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8"/>
      <c r="K49" s="8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8"/>
      <c r="K50" s="8"/>
      <c r="L50" s="1"/>
      <c r="M50" s="1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8"/>
      <c r="K51" s="8"/>
      <c r="L51" s="1"/>
      <c r="M51" s="1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8"/>
      <c r="K52" s="8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8"/>
      <c r="K53" s="8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8"/>
      <c r="K54" s="8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8"/>
      <c r="K55" s="8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8"/>
      <c r="K56" s="8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8"/>
      <c r="K57" s="8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8"/>
      <c r="K58" s="8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8"/>
      <c r="K59" s="8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8"/>
      <c r="K60" s="8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8"/>
      <c r="K61" s="8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8"/>
      <c r="K62" s="8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8"/>
      <c r="K63" s="8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8"/>
      <c r="K64" s="8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8"/>
      <c r="K65" s="8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8"/>
      <c r="K66" s="8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8"/>
      <c r="K67" s="8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8"/>
      <c r="K68" s="8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8"/>
      <c r="K69" s="8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8"/>
      <c r="K70" s="8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8"/>
      <c r="K71" s="8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8"/>
      <c r="K72" s="8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8"/>
      <c r="K73" s="8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8"/>
      <c r="K74" s="8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8"/>
      <c r="K75" s="8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8"/>
      <c r="K76" s="8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8"/>
      <c r="K77" s="8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8"/>
      <c r="K78" s="8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8"/>
      <c r="K79" s="8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8"/>
      <c r="K80" s="8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8"/>
      <c r="K81" s="8"/>
      <c r="L81" s="1"/>
      <c r="M81" s="1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8"/>
      <c r="K82" s="8"/>
      <c r="L82" s="1"/>
      <c r="M82" s="1"/>
    </row>
    <row r="83" spans="1:13">
      <c r="A83" s="1"/>
      <c r="B83" s="1"/>
      <c r="C83" s="1"/>
      <c r="D83" s="1"/>
      <c r="E83" s="1"/>
      <c r="F83" s="1"/>
      <c r="G83" s="1"/>
      <c r="H83" s="1"/>
      <c r="I83" s="1"/>
      <c r="J83" s="8"/>
      <c r="K83" s="8"/>
      <c r="L83" s="1"/>
      <c r="M83" s="1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J84" s="8"/>
      <c r="K84" s="8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8"/>
      <c r="K85" s="8"/>
      <c r="L85" s="1"/>
      <c r="M85" s="1"/>
    </row>
    <row r="86" spans="1:13">
      <c r="A86" s="1"/>
      <c r="B86" s="1"/>
      <c r="C86" s="1"/>
      <c r="D86" s="1"/>
      <c r="E86" s="1"/>
      <c r="F86" s="1"/>
      <c r="G86" s="1"/>
      <c r="H86" s="1"/>
      <c r="I86" s="1"/>
      <c r="J86" s="8"/>
      <c r="K86" s="8"/>
      <c r="L86" s="1"/>
      <c r="M86" s="1"/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8"/>
      <c r="K87" s="8"/>
      <c r="L87" s="1"/>
      <c r="M87" s="1"/>
    </row>
    <row r="88" spans="1:13">
      <c r="A88" s="1"/>
      <c r="B88" s="1"/>
      <c r="C88" s="1"/>
      <c r="D88" s="1"/>
      <c r="E88" s="1"/>
      <c r="F88" s="1"/>
      <c r="G88" s="1"/>
      <c r="H88" s="1"/>
      <c r="I88" s="1"/>
      <c r="J88" s="8"/>
      <c r="K88" s="8"/>
      <c r="L88" s="1"/>
      <c r="M88" s="1"/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J89" s="8"/>
      <c r="K89" s="8"/>
      <c r="L89" s="1"/>
      <c r="M89" s="1"/>
    </row>
    <row r="90" spans="1:13">
      <c r="A90" s="1"/>
      <c r="B90" s="1"/>
      <c r="C90" s="1"/>
      <c r="D90" s="1"/>
      <c r="E90" s="1"/>
      <c r="F90" s="1"/>
      <c r="G90" s="1"/>
      <c r="H90" s="1"/>
      <c r="I90" s="1"/>
      <c r="J90" s="8"/>
      <c r="K90" s="8"/>
      <c r="L90" s="1"/>
      <c r="M90" s="1"/>
    </row>
    <row r="91" spans="1:13">
      <c r="A91" s="1"/>
      <c r="B91" s="1"/>
      <c r="C91" s="1"/>
      <c r="D91" s="1"/>
      <c r="E91" s="1"/>
      <c r="F91" s="1"/>
      <c r="G91" s="1"/>
      <c r="H91" s="1"/>
      <c r="I91" s="1"/>
      <c r="J91" s="8"/>
      <c r="K91" s="8"/>
      <c r="L91" s="1"/>
      <c r="M91" s="1"/>
    </row>
    <row r="92" spans="1:13">
      <c r="A92" s="1"/>
      <c r="B92" s="1"/>
      <c r="C92" s="1"/>
      <c r="D92" s="1"/>
      <c r="E92" s="1"/>
      <c r="F92" s="1"/>
      <c r="G92" s="1"/>
      <c r="H92" s="1"/>
      <c r="I92" s="1"/>
      <c r="J92" s="8"/>
      <c r="K92" s="8"/>
      <c r="L92" s="1"/>
      <c r="M92" s="1"/>
    </row>
    <row r="93" spans="1:13">
      <c r="A93" s="1"/>
      <c r="B93" s="1"/>
      <c r="C93" s="1"/>
      <c r="D93" s="1"/>
      <c r="E93" s="1"/>
      <c r="F93" s="1"/>
      <c r="G93" s="1"/>
      <c r="H93" s="1"/>
      <c r="I93" s="1"/>
      <c r="J93" s="8"/>
      <c r="K93" s="8"/>
      <c r="L93" s="1"/>
      <c r="M93" s="1"/>
    </row>
    <row r="94" spans="1:13">
      <c r="A94" s="1"/>
      <c r="B94" s="1"/>
      <c r="C94" s="1"/>
      <c r="D94" s="1"/>
      <c r="E94" s="1"/>
      <c r="F94" s="1"/>
      <c r="G94" s="1"/>
      <c r="H94" s="1"/>
      <c r="I94" s="1"/>
      <c r="J94" s="8"/>
      <c r="K94" s="8"/>
      <c r="L94" s="1"/>
      <c r="M94" s="1"/>
    </row>
    <row r="95" spans="1:13">
      <c r="A95" s="1"/>
      <c r="B95" s="1"/>
      <c r="C95" s="1"/>
      <c r="D95" s="1"/>
      <c r="E95" s="1"/>
      <c r="F95" s="1"/>
      <c r="G95" s="1"/>
      <c r="H95" s="1"/>
      <c r="I95" s="1"/>
      <c r="J95" s="8"/>
      <c r="K95" s="8"/>
      <c r="L95" s="1"/>
      <c r="M95" s="1"/>
    </row>
    <row r="96" spans="1:13">
      <c r="A96" s="1"/>
      <c r="B96" s="1"/>
      <c r="C96" s="1"/>
      <c r="D96" s="1"/>
      <c r="E96" s="1"/>
      <c r="F96" s="1"/>
      <c r="G96" s="1"/>
      <c r="H96" s="1"/>
      <c r="I96" s="1"/>
      <c r="J96" s="8"/>
      <c r="K96" s="8"/>
      <c r="L96" s="1"/>
      <c r="M96" s="1"/>
    </row>
    <row r="97" spans="1:13">
      <c r="A97" s="1"/>
      <c r="B97" s="1"/>
      <c r="C97" s="1"/>
      <c r="D97" s="1"/>
      <c r="E97" s="1"/>
      <c r="F97" s="1"/>
      <c r="G97" s="1"/>
      <c r="H97" s="1"/>
      <c r="I97" s="1"/>
      <c r="J97" s="8"/>
      <c r="K97" s="8"/>
      <c r="L97" s="1"/>
      <c r="M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8"/>
      <c r="K98" s="8"/>
      <c r="L98" s="1"/>
      <c r="M98" s="1"/>
    </row>
    <row r="99" spans="1:13">
      <c r="A99" s="1"/>
      <c r="B99" s="1"/>
      <c r="C99" s="1"/>
      <c r="D99" s="1"/>
      <c r="E99" s="1"/>
      <c r="F99" s="1"/>
      <c r="G99" s="1"/>
      <c r="H99" s="1"/>
      <c r="I99" s="1"/>
      <c r="J99" s="8"/>
      <c r="K99" s="8"/>
      <c r="L99" s="1"/>
      <c r="M99" s="1"/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J100" s="8"/>
      <c r="K100" s="8"/>
      <c r="L100" s="1"/>
      <c r="M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8"/>
      <c r="K101" s="8"/>
      <c r="L101" s="1"/>
      <c r="M101" s="1"/>
    </row>
    <row r="102" spans="1:13">
      <c r="A102" s="1"/>
      <c r="B102" s="1"/>
      <c r="C102" s="1"/>
      <c r="D102" s="1"/>
      <c r="E102" s="1"/>
      <c r="F102" s="1"/>
      <c r="G102" s="1"/>
      <c r="H102" s="1"/>
      <c r="I102" s="1"/>
      <c r="J102" s="8"/>
      <c r="K102" s="8"/>
      <c r="L102" s="1"/>
      <c r="M102" s="1"/>
    </row>
    <row r="103" spans="1:13">
      <c r="A103" s="1"/>
      <c r="B103" s="1"/>
      <c r="C103" s="1"/>
      <c r="D103" s="1"/>
      <c r="E103" s="1"/>
      <c r="F103" s="1"/>
      <c r="G103" s="1"/>
      <c r="H103" s="1"/>
      <c r="I103" s="1"/>
      <c r="J103" s="8"/>
      <c r="K103" s="8"/>
      <c r="L103" s="1"/>
      <c r="M103" s="1"/>
    </row>
    <row r="104" spans="1:13">
      <c r="A104" s="1"/>
      <c r="B104" s="1"/>
      <c r="C104" s="1"/>
      <c r="D104" s="1"/>
      <c r="E104" s="1"/>
      <c r="F104" s="1"/>
      <c r="G104" s="1"/>
      <c r="H104" s="1"/>
      <c r="I104" s="1"/>
      <c r="J104" s="8"/>
      <c r="K104" s="8"/>
      <c r="L104" s="1"/>
      <c r="M104" s="1"/>
    </row>
    <row r="105" spans="1:13">
      <c r="A105" s="1"/>
      <c r="B105" s="1"/>
      <c r="C105" s="1"/>
      <c r="D105" s="1"/>
      <c r="E105" s="1"/>
      <c r="F105" s="1"/>
      <c r="G105" s="1"/>
      <c r="H105" s="1"/>
      <c r="I105" s="1"/>
      <c r="J105" s="8"/>
      <c r="K105" s="8"/>
      <c r="L105" s="1"/>
      <c r="M105" s="1"/>
    </row>
    <row r="106" spans="1:13">
      <c r="A106" s="1"/>
      <c r="B106" s="1"/>
      <c r="C106" s="1"/>
      <c r="D106" s="1"/>
      <c r="E106" s="1"/>
      <c r="F106" s="1"/>
      <c r="G106" s="1"/>
      <c r="H106" s="1"/>
      <c r="I106" s="1"/>
      <c r="J106" s="8"/>
      <c r="K106" s="8"/>
      <c r="L106" s="1"/>
      <c r="M106" s="1"/>
    </row>
    <row r="107" spans="1:13">
      <c r="A107" s="1"/>
      <c r="B107" s="1"/>
      <c r="C107" s="1"/>
      <c r="D107" s="1"/>
      <c r="E107" s="1"/>
      <c r="F107" s="1"/>
      <c r="G107" s="1"/>
      <c r="H107" s="1"/>
      <c r="I107" s="1"/>
      <c r="J107" s="8"/>
      <c r="K107" s="8"/>
      <c r="L107" s="1"/>
      <c r="M107" s="1"/>
    </row>
    <row r="108" spans="1:13">
      <c r="A108" s="1"/>
      <c r="B108" s="1"/>
      <c r="C108" s="1"/>
      <c r="D108" s="1"/>
      <c r="E108" s="1"/>
      <c r="F108" s="1"/>
      <c r="G108" s="1"/>
      <c r="H108" s="1"/>
      <c r="I108" s="1"/>
      <c r="J108" s="8"/>
      <c r="K108" s="8"/>
      <c r="L108" s="1"/>
      <c r="M108" s="1"/>
    </row>
    <row r="109" spans="1:13">
      <c r="A109" s="1"/>
      <c r="B109" s="1"/>
      <c r="C109" s="1"/>
      <c r="D109" s="1"/>
      <c r="E109" s="1"/>
      <c r="F109" s="1"/>
      <c r="G109" s="1"/>
      <c r="H109" s="1"/>
      <c r="I109" s="1"/>
      <c r="J109" s="8"/>
      <c r="K109" s="8"/>
      <c r="L109" s="1"/>
      <c r="M109" s="1"/>
    </row>
    <row r="110" spans="1:13">
      <c r="A110" s="1"/>
      <c r="B110" s="1"/>
      <c r="C110" s="1"/>
      <c r="D110" s="1"/>
      <c r="E110" s="1"/>
      <c r="F110" s="1"/>
      <c r="G110" s="1"/>
      <c r="H110" s="1"/>
      <c r="I110" s="1"/>
      <c r="J110" s="8"/>
      <c r="K110" s="8"/>
      <c r="L110" s="1"/>
      <c r="M110" s="1"/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8"/>
      <c r="K111" s="8"/>
      <c r="L111" s="1"/>
      <c r="M111" s="1"/>
    </row>
    <row r="112" spans="1:13">
      <c r="A112" s="1"/>
      <c r="B112" s="1"/>
      <c r="C112" s="1"/>
      <c r="D112" s="1"/>
      <c r="E112" s="1"/>
      <c r="F112" s="1"/>
      <c r="G112" s="1"/>
      <c r="H112" s="1"/>
      <c r="I112" s="1"/>
      <c r="J112" s="8"/>
      <c r="K112" s="8"/>
      <c r="L112" s="1"/>
      <c r="M112" s="1"/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8"/>
      <c r="K113" s="8"/>
      <c r="L113" s="1"/>
      <c r="M113" s="1"/>
    </row>
    <row r="114" spans="1:13">
      <c r="A114" s="1"/>
      <c r="B114" s="1"/>
      <c r="C114" s="1"/>
      <c r="D114" s="1"/>
      <c r="E114" s="1"/>
      <c r="F114" s="1"/>
      <c r="G114" s="1"/>
      <c r="H114" s="1"/>
      <c r="I114" s="1"/>
      <c r="J114" s="8"/>
      <c r="K114" s="8"/>
      <c r="L114" s="1"/>
      <c r="M114" s="1"/>
    </row>
    <row r="115" spans="1:13">
      <c r="A115" s="1"/>
      <c r="B115" s="1"/>
      <c r="C115" s="1"/>
      <c r="D115" s="1"/>
      <c r="E115" s="1"/>
      <c r="F115" s="1"/>
      <c r="G115" s="1"/>
      <c r="H115" s="1"/>
      <c r="I115" s="1"/>
      <c r="J115" s="8"/>
      <c r="K115" s="8"/>
      <c r="L115" s="1"/>
      <c r="M115" s="1"/>
    </row>
    <row r="116" spans="1:13">
      <c r="A116" s="1"/>
      <c r="B116" s="1"/>
      <c r="C116" s="1"/>
      <c r="D116" s="1"/>
      <c r="E116" s="1"/>
      <c r="F116" s="1"/>
      <c r="G116" s="1"/>
      <c r="H116" s="1"/>
      <c r="I116" s="1"/>
      <c r="J116" s="8"/>
      <c r="K116" s="8"/>
      <c r="L116" s="1"/>
      <c r="M116" s="1"/>
    </row>
    <row r="117" spans="1:13">
      <c r="A117" s="1"/>
      <c r="B117" s="1"/>
      <c r="C117" s="1"/>
      <c r="D117" s="1"/>
      <c r="E117" s="1"/>
      <c r="F117" s="1"/>
      <c r="G117" s="1"/>
      <c r="H117" s="1"/>
      <c r="I117" s="1"/>
      <c r="J117" s="8"/>
      <c r="K117" s="8"/>
      <c r="L117" s="1"/>
      <c r="M117" s="1"/>
    </row>
    <row r="118" spans="1:13">
      <c r="A118" s="1"/>
      <c r="B118" s="1"/>
      <c r="C118" s="1"/>
      <c r="D118" s="1"/>
      <c r="E118" s="1"/>
      <c r="F118" s="1"/>
      <c r="G118" s="1"/>
      <c r="H118" s="1"/>
      <c r="I118" s="1"/>
      <c r="J118" s="8"/>
      <c r="K118" s="8"/>
      <c r="L118" s="1"/>
      <c r="M118" s="1"/>
    </row>
    <row r="119" spans="1:13">
      <c r="A119" s="1"/>
      <c r="B119" s="1"/>
      <c r="C119" s="1"/>
      <c r="D119" s="1"/>
      <c r="E119" s="1"/>
      <c r="F119" s="1"/>
      <c r="G119" s="1"/>
      <c r="H119" s="1"/>
      <c r="I119" s="1"/>
      <c r="J119" s="8"/>
      <c r="K119" s="8"/>
      <c r="L119" s="1"/>
      <c r="M119" s="1"/>
    </row>
    <row r="120" spans="1:13">
      <c r="A120" s="1"/>
      <c r="B120" s="1"/>
      <c r="C120" s="1"/>
      <c r="D120" s="1"/>
      <c r="E120" s="1"/>
      <c r="F120" s="1"/>
      <c r="G120" s="1"/>
      <c r="H120" s="1"/>
      <c r="I120" s="1"/>
      <c r="J120" s="8"/>
      <c r="K120" s="8"/>
      <c r="L120" s="1"/>
      <c r="M120" s="1"/>
    </row>
    <row r="121" spans="1:13">
      <c r="A121" s="1"/>
      <c r="B121" s="1"/>
      <c r="C121" s="1"/>
      <c r="D121" s="1"/>
      <c r="E121" s="1"/>
      <c r="F121" s="1"/>
      <c r="G121" s="1"/>
      <c r="H121" s="1"/>
      <c r="I121" s="1"/>
      <c r="J121" s="8"/>
      <c r="K121" s="8"/>
      <c r="L121" s="1"/>
      <c r="M121" s="1"/>
    </row>
    <row r="122" spans="1:13">
      <c r="A122" s="1"/>
      <c r="B122" s="1"/>
      <c r="C122" s="1"/>
      <c r="D122" s="1"/>
      <c r="E122" s="1"/>
      <c r="F122" s="1"/>
      <c r="G122" s="1"/>
      <c r="H122" s="1"/>
      <c r="I122" s="1"/>
      <c r="J122" s="8"/>
      <c r="K122" s="8"/>
      <c r="L122" s="1"/>
      <c r="M122" s="1"/>
    </row>
    <row r="123" spans="1:13">
      <c r="A123" s="1"/>
      <c r="B123" s="1"/>
      <c r="C123" s="1"/>
      <c r="D123" s="1"/>
      <c r="E123" s="1"/>
      <c r="F123" s="1"/>
      <c r="G123" s="1"/>
      <c r="H123" s="1"/>
      <c r="I123" s="1"/>
      <c r="J123" s="8"/>
      <c r="K123" s="8"/>
      <c r="L123" s="1"/>
      <c r="M123" s="1"/>
    </row>
    <row r="124" spans="1:13">
      <c r="A124" s="1"/>
      <c r="B124" s="1"/>
      <c r="C124" s="1"/>
      <c r="D124" s="1"/>
      <c r="E124" s="1"/>
      <c r="F124" s="1"/>
      <c r="G124" s="1"/>
      <c r="H124" s="1"/>
      <c r="I124" s="1"/>
      <c r="J124" s="8"/>
      <c r="K124" s="8"/>
      <c r="L124" s="1"/>
      <c r="M124" s="1"/>
    </row>
    <row r="125" spans="1:13">
      <c r="A125" s="1"/>
      <c r="B125" s="1"/>
      <c r="C125" s="1"/>
      <c r="D125" s="1"/>
      <c r="E125" s="1"/>
      <c r="F125" s="1"/>
      <c r="G125" s="1"/>
      <c r="H125" s="1"/>
      <c r="I125" s="1"/>
      <c r="J125" s="8"/>
      <c r="K125" s="8"/>
      <c r="L125" s="1"/>
      <c r="M125" s="1"/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J126" s="8"/>
      <c r="K126" s="8"/>
      <c r="L126" s="1"/>
      <c r="M126" s="1"/>
    </row>
    <row r="127" spans="1:13">
      <c r="A127" s="1"/>
      <c r="B127" s="1"/>
      <c r="C127" s="1"/>
      <c r="D127" s="1"/>
      <c r="E127" s="1"/>
      <c r="F127" s="1"/>
      <c r="G127" s="1"/>
      <c r="H127" s="1"/>
      <c r="I127" s="1"/>
      <c r="J127" s="8"/>
      <c r="K127" s="8"/>
      <c r="L127" s="1"/>
      <c r="M127" s="1"/>
    </row>
    <row r="128" spans="1:13">
      <c r="A128" s="1"/>
      <c r="B128" s="1"/>
      <c r="C128" s="1"/>
      <c r="D128" s="1"/>
      <c r="E128" s="1"/>
      <c r="F128" s="1"/>
      <c r="G128" s="1"/>
      <c r="H128" s="1"/>
      <c r="I128" s="1"/>
      <c r="J128" s="8"/>
      <c r="K128" s="8"/>
      <c r="L128" s="1"/>
      <c r="M128" s="1"/>
    </row>
    <row r="129" spans="1:13">
      <c r="A129" s="1"/>
      <c r="B129" s="1"/>
      <c r="C129" s="1"/>
      <c r="D129" s="1"/>
      <c r="E129" s="1"/>
      <c r="F129" s="1"/>
      <c r="G129" s="1"/>
      <c r="H129" s="1"/>
      <c r="I129" s="1"/>
      <c r="J129" s="8"/>
      <c r="K129" s="8"/>
      <c r="L129" s="1"/>
      <c r="M129" s="1"/>
    </row>
    <row r="130" spans="1:13">
      <c r="A130" s="1"/>
      <c r="B130" s="1"/>
      <c r="C130" s="1"/>
      <c r="D130" s="1"/>
      <c r="E130" s="1"/>
      <c r="F130" s="1"/>
      <c r="G130" s="1"/>
      <c r="H130" s="1"/>
      <c r="I130" s="1"/>
      <c r="J130" s="8"/>
      <c r="K130" s="8"/>
      <c r="L130" s="1"/>
      <c r="M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8"/>
      <c r="K131" s="8"/>
      <c r="L131" s="1"/>
      <c r="M131" s="1"/>
    </row>
    <row r="132" spans="1:13">
      <c r="A132" s="1"/>
      <c r="B132" s="1"/>
      <c r="C132" s="1"/>
      <c r="D132" s="1"/>
      <c r="E132" s="1"/>
      <c r="F132" s="1"/>
      <c r="G132" s="1"/>
      <c r="H132" s="1"/>
      <c r="I132" s="1"/>
      <c r="J132" s="8"/>
      <c r="K132" s="8"/>
      <c r="L132" s="1"/>
      <c r="M132" s="1"/>
    </row>
    <row r="133" spans="1:13">
      <c r="A133" s="1"/>
      <c r="B133" s="1"/>
      <c r="C133" s="1"/>
      <c r="D133" s="1"/>
      <c r="E133" s="1"/>
      <c r="F133" s="1"/>
      <c r="G133" s="1"/>
      <c r="H133" s="1"/>
      <c r="I133" s="1"/>
      <c r="J133" s="8"/>
      <c r="K133" s="8"/>
      <c r="L133" s="1"/>
      <c r="M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8"/>
      <c r="K134" s="8"/>
      <c r="L134" s="1"/>
      <c r="M134" s="1"/>
    </row>
    <row r="135" spans="1:13">
      <c r="A135" s="1"/>
      <c r="B135" s="1"/>
      <c r="C135" s="1"/>
      <c r="D135" s="1"/>
      <c r="E135" s="1"/>
      <c r="F135" s="1"/>
      <c r="G135" s="1"/>
      <c r="H135" s="1"/>
      <c r="I135" s="1"/>
      <c r="J135" s="8"/>
      <c r="K135" s="8"/>
      <c r="L135" s="1"/>
      <c r="M135" s="1"/>
    </row>
    <row r="136" spans="1:13">
      <c r="A136" s="1"/>
      <c r="B136" s="1"/>
      <c r="C136" s="1"/>
      <c r="D136" s="1"/>
      <c r="E136" s="1"/>
      <c r="F136" s="1"/>
      <c r="G136" s="1"/>
      <c r="H136" s="1"/>
      <c r="I136" s="1"/>
      <c r="J136" s="8"/>
      <c r="K136" s="8"/>
      <c r="L136" s="1"/>
      <c r="M136" s="1"/>
    </row>
    <row r="137" spans="1:13">
      <c r="A137" s="1"/>
      <c r="B137" s="1"/>
      <c r="C137" s="1"/>
      <c r="D137" s="1"/>
      <c r="E137" s="1"/>
      <c r="F137" s="1"/>
      <c r="G137" s="1"/>
      <c r="H137" s="1"/>
      <c r="I137" s="1"/>
      <c r="J137" s="8"/>
      <c r="K137" s="8"/>
      <c r="L137" s="1"/>
      <c r="M137" s="1"/>
    </row>
    <row r="138" spans="1:13">
      <c r="A138" s="1"/>
      <c r="B138" s="1"/>
      <c r="C138" s="1"/>
      <c r="D138" s="1"/>
      <c r="E138" s="1"/>
      <c r="F138" s="1"/>
      <c r="G138" s="1"/>
      <c r="H138" s="1"/>
      <c r="I138" s="1"/>
      <c r="J138" s="8"/>
      <c r="K138" s="8"/>
      <c r="L138" s="1"/>
      <c r="M138" s="1"/>
    </row>
    <row r="139" spans="1:13">
      <c r="A139" s="1"/>
      <c r="B139" s="1"/>
      <c r="C139" s="1"/>
      <c r="D139" s="1"/>
      <c r="E139" s="1"/>
      <c r="F139" s="1"/>
      <c r="G139" s="1"/>
      <c r="H139" s="1"/>
      <c r="I139" s="1"/>
      <c r="J139" s="8"/>
      <c r="K139" s="8"/>
      <c r="L139" s="1"/>
      <c r="M139" s="1"/>
    </row>
    <row r="140" spans="1:13">
      <c r="A140" s="1"/>
      <c r="B140" s="1"/>
      <c r="C140" s="1"/>
      <c r="D140" s="1"/>
      <c r="E140" s="1"/>
      <c r="F140" s="1"/>
      <c r="G140" s="1"/>
      <c r="H140" s="1"/>
      <c r="I140" s="1"/>
      <c r="J140" s="8"/>
      <c r="K140" s="8"/>
      <c r="L140" s="1"/>
      <c r="M140" s="1"/>
    </row>
    <row r="141" spans="1:13">
      <c r="A141" s="1"/>
      <c r="B141" s="1"/>
      <c r="C141" s="1"/>
      <c r="D141" s="1"/>
      <c r="E141" s="1"/>
      <c r="F141" s="1"/>
      <c r="G141" s="1"/>
      <c r="H141" s="1"/>
      <c r="I141" s="1"/>
      <c r="J141" s="8"/>
      <c r="K141" s="8"/>
      <c r="L141" s="1"/>
      <c r="M141" s="1"/>
    </row>
    <row r="142" spans="1:13">
      <c r="A142" s="1"/>
      <c r="B142" s="1"/>
      <c r="C142" s="1"/>
      <c r="D142" s="1"/>
      <c r="E142" s="1"/>
      <c r="F142" s="1"/>
      <c r="G142" s="1"/>
      <c r="H142" s="1"/>
      <c r="I142" s="1"/>
      <c r="J142" s="8"/>
      <c r="K142" s="8"/>
      <c r="L142" s="1"/>
      <c r="M142" s="1"/>
    </row>
    <row r="143" spans="1:13">
      <c r="A143" s="1"/>
      <c r="B143" s="1"/>
      <c r="C143" s="1"/>
      <c r="D143" s="1"/>
      <c r="E143" s="1"/>
      <c r="F143" s="1"/>
      <c r="G143" s="1"/>
      <c r="H143" s="1"/>
      <c r="I143" s="1"/>
      <c r="J143" s="8"/>
      <c r="K143" s="8"/>
      <c r="L143" s="1"/>
      <c r="M143" s="1"/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8"/>
      <c r="K144" s="8"/>
      <c r="L144" s="1"/>
      <c r="M144" s="1"/>
    </row>
    <row r="145" spans="1:13">
      <c r="A145" s="1"/>
      <c r="B145" s="1"/>
      <c r="C145" s="1"/>
      <c r="D145" s="1"/>
      <c r="E145" s="1"/>
      <c r="F145" s="1"/>
      <c r="G145" s="1"/>
      <c r="H145" s="1"/>
      <c r="I145" s="1"/>
      <c r="J145" s="8"/>
      <c r="K145" s="8"/>
      <c r="L145" s="1"/>
      <c r="M145" s="1"/>
    </row>
    <row r="146" spans="1:13">
      <c r="A146" s="1"/>
      <c r="B146" s="1"/>
      <c r="C146" s="1"/>
      <c r="D146" s="1"/>
      <c r="E146" s="1"/>
      <c r="F146" s="1"/>
      <c r="G146" s="1"/>
      <c r="H146" s="1"/>
      <c r="I146" s="1"/>
      <c r="J146" s="8"/>
      <c r="K146" s="8"/>
      <c r="L146" s="1"/>
      <c r="M146" s="1"/>
    </row>
    <row r="147" spans="1:13">
      <c r="A147" s="1"/>
      <c r="B147" s="1"/>
      <c r="C147" s="1"/>
      <c r="D147" s="1"/>
      <c r="E147" s="1"/>
      <c r="F147" s="1"/>
      <c r="G147" s="1"/>
      <c r="H147" s="1"/>
      <c r="I147" s="1"/>
      <c r="J147" s="8"/>
      <c r="K147" s="8"/>
      <c r="L147" s="1"/>
      <c r="M147" s="1"/>
    </row>
    <row r="148" spans="1:13">
      <c r="A148" s="1"/>
      <c r="B148" s="1"/>
      <c r="C148" s="1"/>
      <c r="D148" s="1"/>
      <c r="E148" s="1"/>
      <c r="F148" s="1"/>
      <c r="G148" s="1"/>
      <c r="H148" s="1"/>
      <c r="I148" s="1"/>
      <c r="J148" s="8"/>
      <c r="K148" s="8"/>
      <c r="L148" s="1"/>
      <c r="M148" s="1"/>
    </row>
    <row r="149" spans="1:13">
      <c r="A149" s="1"/>
      <c r="B149" s="1"/>
      <c r="C149" s="1"/>
      <c r="D149" s="1"/>
      <c r="E149" s="1"/>
      <c r="F149" s="1"/>
      <c r="G149" s="1"/>
      <c r="H149" s="1"/>
      <c r="I149" s="1"/>
      <c r="J149" s="8"/>
      <c r="K149" s="8"/>
      <c r="L149" s="1"/>
      <c r="M149" s="1"/>
    </row>
    <row r="150" spans="1:13">
      <c r="A150" s="1"/>
      <c r="B150" s="1"/>
      <c r="C150" s="1"/>
      <c r="D150" s="1"/>
      <c r="E150" s="1"/>
      <c r="F150" s="1"/>
      <c r="G150" s="1"/>
      <c r="H150" s="1"/>
      <c r="I150" s="1"/>
      <c r="J150" s="8"/>
      <c r="K150" s="8"/>
      <c r="L150" s="1"/>
      <c r="M150" s="1"/>
    </row>
    <row r="151" spans="1:13">
      <c r="A151" s="1"/>
      <c r="B151" s="1"/>
      <c r="C151" s="1"/>
      <c r="D151" s="1"/>
      <c r="E151" s="1"/>
      <c r="F151" s="1"/>
      <c r="G151" s="1"/>
      <c r="H151" s="1"/>
      <c r="I151" s="1"/>
      <c r="J151" s="8"/>
      <c r="K151" s="8"/>
      <c r="L151" s="1"/>
      <c r="M151" s="1"/>
    </row>
    <row r="152" spans="1:13">
      <c r="A152" s="1"/>
      <c r="B152" s="1"/>
      <c r="C152" s="1"/>
      <c r="D152" s="1"/>
      <c r="E152" s="1"/>
      <c r="F152" s="1"/>
      <c r="G152" s="1"/>
      <c r="H152" s="1"/>
      <c r="I152" s="1"/>
      <c r="J152" s="8"/>
      <c r="K152" s="8"/>
      <c r="L152" s="1"/>
      <c r="M152" s="1"/>
    </row>
    <row r="153" spans="1:13">
      <c r="A153" s="1"/>
      <c r="B153" s="1"/>
      <c r="C153" s="1"/>
      <c r="D153" s="1"/>
      <c r="E153" s="1"/>
      <c r="F153" s="1"/>
      <c r="G153" s="1"/>
      <c r="H153" s="1"/>
      <c r="I153" s="1"/>
      <c r="J153" s="8"/>
      <c r="K153" s="8"/>
      <c r="L153" s="1"/>
      <c r="M153" s="1"/>
    </row>
    <row r="154" spans="1:13">
      <c r="A154" s="1"/>
      <c r="B154" s="1"/>
      <c r="C154" s="1"/>
      <c r="D154" s="1"/>
      <c r="E154" s="1"/>
      <c r="F154" s="1"/>
      <c r="G154" s="1"/>
      <c r="H154" s="1"/>
      <c r="I154" s="1"/>
      <c r="J154" s="8"/>
      <c r="K154" s="8"/>
      <c r="L154" s="1"/>
      <c r="M154" s="1"/>
    </row>
    <row r="155" spans="1:13">
      <c r="A155" s="1"/>
      <c r="B155" s="1"/>
      <c r="C155" s="1"/>
      <c r="D155" s="1"/>
      <c r="E155" s="1"/>
      <c r="F155" s="1"/>
      <c r="G155" s="1"/>
      <c r="H155" s="1"/>
      <c r="I155" s="1"/>
      <c r="J155" s="8"/>
      <c r="K155" s="8"/>
      <c r="L155" s="1"/>
      <c r="M155" s="1"/>
    </row>
    <row r="156" spans="1:13">
      <c r="A156" s="1"/>
      <c r="B156" s="1"/>
      <c r="C156" s="1"/>
      <c r="D156" s="1"/>
      <c r="E156" s="1"/>
      <c r="F156" s="1"/>
      <c r="G156" s="1"/>
      <c r="H156" s="1"/>
      <c r="I156" s="1"/>
      <c r="J156" s="8"/>
      <c r="K156" s="8"/>
      <c r="L156" s="1"/>
      <c r="M156" s="1"/>
    </row>
    <row r="157" spans="1:13">
      <c r="A157" s="1"/>
      <c r="B157" s="1"/>
      <c r="C157" s="1"/>
      <c r="D157" s="1"/>
      <c r="E157" s="1"/>
      <c r="F157" s="1"/>
      <c r="G157" s="1"/>
      <c r="H157" s="1"/>
      <c r="I157" s="1"/>
      <c r="J157" s="8"/>
      <c r="K157" s="8"/>
      <c r="L157" s="1"/>
      <c r="M157" s="1"/>
    </row>
    <row r="158" spans="1:13">
      <c r="A158" s="1"/>
      <c r="B158" s="1"/>
      <c r="C158" s="1"/>
      <c r="D158" s="1"/>
      <c r="E158" s="1"/>
      <c r="F158" s="1"/>
      <c r="G158" s="1"/>
      <c r="H158" s="1"/>
      <c r="I158" s="1"/>
      <c r="J158" s="8"/>
      <c r="K158" s="8"/>
      <c r="L158" s="1"/>
      <c r="M158" s="1"/>
    </row>
    <row r="159" spans="1:13">
      <c r="A159" s="1"/>
      <c r="B159" s="1"/>
      <c r="C159" s="1"/>
      <c r="D159" s="1"/>
      <c r="E159" s="1"/>
      <c r="F159" s="1"/>
      <c r="G159" s="1"/>
      <c r="H159" s="1"/>
      <c r="I159" s="1"/>
      <c r="J159" s="8"/>
      <c r="K159" s="8"/>
      <c r="L159" s="1"/>
      <c r="M159" s="1"/>
    </row>
    <row r="160" spans="1:13">
      <c r="A160" s="1"/>
      <c r="B160" s="1"/>
      <c r="C160" s="1"/>
      <c r="D160" s="1"/>
      <c r="E160" s="1"/>
      <c r="F160" s="1"/>
      <c r="G160" s="1"/>
      <c r="H160" s="1"/>
      <c r="I160" s="1"/>
      <c r="J160" s="8"/>
      <c r="K160" s="8"/>
      <c r="L160" s="1"/>
      <c r="M160" s="1"/>
    </row>
    <row r="161" spans="1:13">
      <c r="A161" s="1"/>
      <c r="B161" s="1"/>
      <c r="C161" s="1"/>
      <c r="D161" s="1"/>
      <c r="E161" s="1"/>
      <c r="F161" s="1"/>
      <c r="G161" s="1"/>
      <c r="H161" s="1"/>
      <c r="I161" s="1"/>
      <c r="J161" s="8"/>
      <c r="K161" s="8"/>
      <c r="L161" s="1"/>
      <c r="M161" s="1"/>
    </row>
    <row r="162" spans="1:13">
      <c r="A162" s="1"/>
      <c r="B162" s="1"/>
      <c r="C162" s="1"/>
      <c r="D162" s="1"/>
      <c r="E162" s="1"/>
      <c r="F162" s="1"/>
      <c r="G162" s="1"/>
      <c r="H162" s="1"/>
      <c r="I162" s="1"/>
      <c r="J162" s="8"/>
      <c r="K162" s="8"/>
      <c r="L162" s="1"/>
      <c r="M162" s="1"/>
    </row>
    <row r="163" spans="1:13">
      <c r="A163" s="1"/>
      <c r="B163" s="1"/>
      <c r="C163" s="1"/>
      <c r="D163" s="1"/>
      <c r="E163" s="1"/>
      <c r="F163" s="1"/>
      <c r="G163" s="1"/>
      <c r="H163" s="1"/>
      <c r="I163" s="1"/>
      <c r="J163" s="8"/>
      <c r="K163" s="8"/>
      <c r="L163" s="1"/>
      <c r="M163" s="1"/>
    </row>
    <row r="164" spans="1:13">
      <c r="A164" s="1"/>
      <c r="B164" s="1"/>
      <c r="C164" s="1"/>
      <c r="D164" s="1"/>
      <c r="E164" s="1"/>
      <c r="F164" s="1"/>
      <c r="G164" s="1"/>
      <c r="H164" s="1"/>
      <c r="I164" s="1"/>
      <c r="J164" s="8"/>
      <c r="K164" s="8"/>
      <c r="L164" s="1"/>
      <c r="M164" s="1"/>
    </row>
    <row r="165" spans="1:13">
      <c r="A165" s="1"/>
      <c r="B165" s="1"/>
      <c r="C165" s="1"/>
      <c r="D165" s="1"/>
      <c r="E165" s="1"/>
      <c r="F165" s="1"/>
      <c r="G165" s="1"/>
      <c r="H165" s="1"/>
      <c r="I165" s="1"/>
      <c r="J165" s="8"/>
      <c r="K165" s="8"/>
      <c r="L165" s="1"/>
      <c r="M165" s="1"/>
    </row>
    <row r="166" spans="1:13">
      <c r="A166" s="1"/>
      <c r="B166" s="1"/>
      <c r="C166" s="1"/>
      <c r="D166" s="1"/>
      <c r="E166" s="1"/>
      <c r="F166" s="1"/>
      <c r="G166" s="1"/>
      <c r="H166" s="1"/>
      <c r="I166" s="1"/>
      <c r="J166" s="8"/>
      <c r="K166" s="8"/>
      <c r="L166" s="1"/>
      <c r="M166" s="1"/>
    </row>
    <row r="167" spans="1:13">
      <c r="A167" s="1"/>
      <c r="B167" s="1"/>
      <c r="C167" s="1"/>
      <c r="D167" s="1"/>
      <c r="E167" s="1"/>
      <c r="F167" s="1"/>
      <c r="G167" s="1"/>
      <c r="H167" s="1"/>
      <c r="I167" s="1"/>
      <c r="J167" s="8"/>
      <c r="K167" s="8"/>
      <c r="L167" s="1"/>
      <c r="M167" s="1"/>
    </row>
    <row r="168" spans="1:13">
      <c r="A168" s="1"/>
      <c r="B168" s="1"/>
      <c r="C168" s="1"/>
      <c r="D168" s="1"/>
      <c r="E168" s="1"/>
      <c r="F168" s="1"/>
      <c r="G168" s="1"/>
      <c r="H168" s="1"/>
      <c r="I168" s="1"/>
      <c r="J168" s="8"/>
      <c r="K168" s="8"/>
      <c r="L168" s="1"/>
      <c r="M168" s="1"/>
    </row>
    <row r="169" spans="1:13">
      <c r="A169" s="1"/>
      <c r="B169" s="1"/>
      <c r="C169" s="1"/>
      <c r="D169" s="1"/>
      <c r="E169" s="1"/>
      <c r="F169" s="1"/>
      <c r="G169" s="1"/>
      <c r="H169" s="1"/>
      <c r="I169" s="1"/>
      <c r="J169" s="8"/>
      <c r="K169" s="8"/>
      <c r="L169" s="1"/>
      <c r="M169" s="1"/>
    </row>
    <row r="170" spans="1:13">
      <c r="A170" s="1"/>
      <c r="B170" s="1"/>
      <c r="C170" s="1"/>
      <c r="D170" s="1"/>
      <c r="E170" s="1"/>
      <c r="F170" s="1"/>
      <c r="G170" s="1"/>
      <c r="H170" s="1"/>
      <c r="I170" s="1"/>
      <c r="J170" s="8"/>
      <c r="K170" s="8"/>
      <c r="L170" s="1"/>
      <c r="M170" s="1"/>
    </row>
    <row r="171" spans="1:13">
      <c r="A171" s="1"/>
      <c r="B171" s="1"/>
      <c r="C171" s="1"/>
      <c r="D171" s="1"/>
      <c r="E171" s="1"/>
      <c r="F171" s="1"/>
      <c r="G171" s="1"/>
      <c r="H171" s="1"/>
      <c r="I171" s="1"/>
      <c r="J171" s="8"/>
      <c r="K171" s="8"/>
      <c r="L171" s="1"/>
      <c r="M171" s="1"/>
    </row>
    <row r="172" spans="1:13">
      <c r="A172" s="1"/>
      <c r="B172" s="1"/>
      <c r="C172" s="1"/>
      <c r="D172" s="1"/>
      <c r="E172" s="1"/>
      <c r="F172" s="1"/>
      <c r="G172" s="1"/>
      <c r="H172" s="1"/>
      <c r="I172" s="1"/>
      <c r="J172" s="8"/>
      <c r="K172" s="8"/>
      <c r="L172" s="1"/>
      <c r="M172" s="1"/>
    </row>
    <row r="173" spans="1:13">
      <c r="A173" s="1"/>
      <c r="B173" s="1"/>
      <c r="C173" s="1"/>
      <c r="D173" s="1"/>
      <c r="E173" s="1"/>
      <c r="F173" s="1"/>
      <c r="G173" s="1"/>
      <c r="H173" s="1"/>
      <c r="I173" s="1"/>
      <c r="J173" s="8"/>
      <c r="K173" s="8"/>
      <c r="L173" s="1"/>
      <c r="M173" s="1"/>
    </row>
    <row r="174" spans="1:13">
      <c r="A174" s="1"/>
      <c r="B174" s="1"/>
      <c r="C174" s="1"/>
      <c r="D174" s="1"/>
      <c r="E174" s="1"/>
      <c r="F174" s="1"/>
      <c r="G174" s="1"/>
      <c r="H174" s="1"/>
      <c r="I174" s="1"/>
      <c r="J174" s="8"/>
      <c r="K174" s="8"/>
      <c r="L174" s="1"/>
      <c r="M174" s="1"/>
    </row>
    <row r="175" spans="1:13">
      <c r="A175" s="1"/>
      <c r="B175" s="1"/>
      <c r="C175" s="1"/>
      <c r="D175" s="1"/>
      <c r="E175" s="1"/>
      <c r="F175" s="1"/>
      <c r="G175" s="1"/>
      <c r="H175" s="1"/>
      <c r="I175" s="1"/>
      <c r="J175" s="8"/>
      <c r="K175" s="8"/>
      <c r="L175" s="1"/>
      <c r="M175" s="1"/>
    </row>
    <row r="176" spans="1:13">
      <c r="A176" s="1"/>
      <c r="B176" s="1"/>
      <c r="C176" s="1"/>
      <c r="D176" s="1"/>
      <c r="E176" s="1"/>
      <c r="F176" s="1"/>
      <c r="G176" s="1"/>
      <c r="H176" s="1"/>
      <c r="I176" s="1"/>
      <c r="J176" s="8"/>
      <c r="K176" s="8"/>
      <c r="L176" s="1"/>
      <c r="M176" s="1"/>
    </row>
    <row r="177" spans="1:13">
      <c r="A177" s="1"/>
      <c r="B177" s="1"/>
      <c r="C177" s="1"/>
      <c r="D177" s="1"/>
      <c r="E177" s="1"/>
      <c r="F177" s="1"/>
      <c r="G177" s="1"/>
      <c r="H177" s="1"/>
      <c r="I177" s="1"/>
      <c r="J177" s="8"/>
      <c r="K177" s="8"/>
      <c r="L177" s="1"/>
      <c r="M177" s="1"/>
    </row>
    <row r="178" spans="1:13">
      <c r="A178" s="1"/>
      <c r="B178" s="1"/>
      <c r="C178" s="1"/>
      <c r="D178" s="1"/>
      <c r="E178" s="1"/>
      <c r="F178" s="1"/>
      <c r="G178" s="1"/>
      <c r="H178" s="1"/>
      <c r="I178" s="1"/>
      <c r="J178" s="8"/>
      <c r="K178" s="8"/>
      <c r="L178" s="1"/>
      <c r="M178" s="1"/>
    </row>
    <row r="179" spans="1:13">
      <c r="A179" s="1"/>
      <c r="B179" s="1"/>
      <c r="C179" s="1"/>
      <c r="D179" s="1"/>
      <c r="E179" s="1"/>
      <c r="F179" s="1"/>
      <c r="G179" s="1"/>
      <c r="H179" s="1"/>
      <c r="I179" s="1"/>
      <c r="J179" s="8"/>
      <c r="K179" s="8"/>
      <c r="L179" s="1"/>
      <c r="M179" s="1"/>
    </row>
    <row r="180" spans="1:13">
      <c r="A180" s="1"/>
      <c r="B180" s="1"/>
      <c r="C180" s="1"/>
      <c r="D180" s="1"/>
      <c r="E180" s="1"/>
      <c r="F180" s="1"/>
      <c r="G180" s="1"/>
      <c r="H180" s="1"/>
      <c r="I180" s="1"/>
      <c r="J180" s="8"/>
      <c r="K180" s="8"/>
      <c r="L180" s="1"/>
      <c r="M180" s="1"/>
    </row>
    <row r="181" spans="1:13">
      <c r="A181" s="1"/>
      <c r="B181" s="1"/>
      <c r="C181" s="1"/>
      <c r="D181" s="1"/>
      <c r="E181" s="1"/>
      <c r="F181" s="1"/>
      <c r="G181" s="1"/>
      <c r="H181" s="1"/>
      <c r="I181" s="1"/>
      <c r="J181" s="8"/>
      <c r="K181" s="8"/>
      <c r="L181" s="1"/>
      <c r="M181" s="1"/>
    </row>
    <row r="182" spans="1:13">
      <c r="A182" s="1"/>
      <c r="B182" s="1"/>
      <c r="C182" s="1"/>
      <c r="D182" s="1"/>
      <c r="E182" s="1"/>
      <c r="F182" s="1"/>
      <c r="G182" s="1"/>
      <c r="H182" s="1"/>
      <c r="I182" s="1"/>
      <c r="J182" s="8"/>
      <c r="K182" s="8"/>
      <c r="L182" s="1"/>
      <c r="M182" s="1"/>
    </row>
    <row r="183" spans="1:13">
      <c r="A183" s="1"/>
      <c r="B183" s="1"/>
      <c r="C183" s="1"/>
      <c r="D183" s="1"/>
      <c r="E183" s="1"/>
      <c r="F183" s="1"/>
      <c r="G183" s="1"/>
      <c r="H183" s="1"/>
      <c r="I183" s="1"/>
      <c r="J183" s="8"/>
      <c r="K183" s="8"/>
      <c r="L183" s="1"/>
      <c r="M183" s="1"/>
    </row>
    <row r="184" spans="1:13">
      <c r="A184" s="1"/>
      <c r="B184" s="1"/>
      <c r="C184" s="1"/>
      <c r="D184" s="1"/>
      <c r="E184" s="1"/>
      <c r="F184" s="1"/>
      <c r="G184" s="1"/>
      <c r="H184" s="1"/>
      <c r="I184" s="1"/>
      <c r="J184" s="8"/>
      <c r="K184" s="8"/>
      <c r="L184" s="1"/>
      <c r="M184" s="1"/>
    </row>
    <row r="185" spans="1:13">
      <c r="A185" s="1"/>
      <c r="B185" s="1"/>
      <c r="C185" s="1"/>
      <c r="D185" s="1"/>
      <c r="E185" s="1"/>
      <c r="F185" s="1"/>
      <c r="G185" s="1"/>
      <c r="H185" s="1"/>
      <c r="I185" s="1"/>
      <c r="J185" s="8"/>
      <c r="K185" s="8"/>
      <c r="L185" s="1"/>
      <c r="M185" s="1"/>
    </row>
    <row r="186" spans="1:13">
      <c r="A186" s="1"/>
      <c r="B186" s="1"/>
      <c r="C186" s="1"/>
      <c r="D186" s="1"/>
      <c r="E186" s="1"/>
      <c r="F186" s="1"/>
      <c r="G186" s="1"/>
      <c r="H186" s="1"/>
      <c r="I186" s="1"/>
      <c r="J186" s="8"/>
      <c r="K186" s="8"/>
      <c r="L186" s="1"/>
      <c r="M186" s="1"/>
    </row>
    <row r="187" spans="1:13">
      <c r="A187" s="1"/>
      <c r="B187" s="1"/>
      <c r="C187" s="1"/>
      <c r="D187" s="1"/>
      <c r="E187" s="1"/>
      <c r="F187" s="1"/>
      <c r="G187" s="1"/>
      <c r="H187" s="1"/>
      <c r="I187" s="1"/>
      <c r="J187" s="8"/>
      <c r="K187" s="8"/>
      <c r="L187" s="1"/>
      <c r="M187" s="1"/>
    </row>
    <row r="188" spans="1:13">
      <c r="A188" s="1"/>
      <c r="B188" s="1"/>
      <c r="C188" s="1"/>
      <c r="D188" s="1"/>
      <c r="E188" s="1"/>
      <c r="F188" s="1"/>
      <c r="G188" s="1"/>
      <c r="H188" s="1"/>
      <c r="I188" s="1"/>
      <c r="J188" s="8"/>
      <c r="K188" s="8"/>
      <c r="L188" s="1"/>
      <c r="M188" s="1"/>
    </row>
    <row r="189" spans="1:13">
      <c r="A189" s="1"/>
      <c r="B189" s="1"/>
      <c r="C189" s="1"/>
      <c r="D189" s="1"/>
      <c r="E189" s="1"/>
      <c r="F189" s="1"/>
      <c r="G189" s="1"/>
      <c r="H189" s="1"/>
      <c r="I189" s="1"/>
      <c r="J189" s="8"/>
      <c r="K189" s="8"/>
      <c r="L189" s="1"/>
      <c r="M189" s="1"/>
    </row>
    <row r="190" spans="1:13">
      <c r="A190" s="1"/>
      <c r="B190" s="1"/>
      <c r="C190" s="1"/>
      <c r="D190" s="1"/>
      <c r="E190" s="1"/>
      <c r="F190" s="1"/>
      <c r="G190" s="1"/>
      <c r="H190" s="1"/>
      <c r="I190" s="1"/>
      <c r="J190" s="8"/>
      <c r="K190" s="8"/>
      <c r="L190" s="1"/>
      <c r="M190" s="1"/>
    </row>
    <row r="191" spans="1:13">
      <c r="A191" s="1"/>
      <c r="B191" s="1"/>
      <c r="C191" s="1"/>
      <c r="D191" s="1"/>
      <c r="E191" s="1"/>
      <c r="F191" s="1"/>
      <c r="G191" s="1"/>
      <c r="H191" s="1"/>
      <c r="I191" s="1"/>
      <c r="J191" s="8"/>
      <c r="K191" s="8"/>
      <c r="L191" s="1"/>
      <c r="M191" s="1"/>
    </row>
    <row r="192" spans="1:13">
      <c r="A192" s="1"/>
      <c r="B192" s="1"/>
      <c r="C192" s="1"/>
      <c r="D192" s="1"/>
      <c r="E192" s="1"/>
      <c r="F192" s="1"/>
      <c r="G192" s="1"/>
      <c r="H192" s="1"/>
      <c r="I192" s="1"/>
      <c r="J192" s="8"/>
      <c r="K192" s="8"/>
      <c r="L192" s="1"/>
      <c r="M192" s="1"/>
    </row>
    <row r="193" spans="1:13">
      <c r="A193" s="1"/>
      <c r="B193" s="1"/>
      <c r="C193" s="1"/>
      <c r="D193" s="1"/>
      <c r="E193" s="1"/>
      <c r="F193" s="1"/>
      <c r="G193" s="1"/>
      <c r="H193" s="1"/>
      <c r="I193" s="1"/>
      <c r="J193" s="8"/>
      <c r="K193" s="8"/>
      <c r="L193" s="1"/>
      <c r="M193" s="1"/>
    </row>
    <row r="194" spans="1:13">
      <c r="A194" s="1"/>
      <c r="B194" s="1"/>
      <c r="C194" s="1"/>
      <c r="D194" s="1"/>
      <c r="E194" s="1"/>
      <c r="F194" s="1"/>
      <c r="G194" s="1"/>
      <c r="H194" s="1"/>
      <c r="I194" s="1"/>
      <c r="J194" s="8"/>
      <c r="K194" s="8"/>
      <c r="L194" s="1"/>
      <c r="M194" s="1"/>
    </row>
    <row r="195" spans="1:13">
      <c r="A195" s="1"/>
      <c r="B195" s="1"/>
      <c r="C195" s="1"/>
      <c r="D195" s="1"/>
      <c r="E195" s="1"/>
      <c r="F195" s="1"/>
      <c r="G195" s="1"/>
      <c r="H195" s="1"/>
      <c r="I195" s="1"/>
      <c r="J195" s="8"/>
      <c r="K195" s="8"/>
      <c r="L195" s="1"/>
      <c r="M195" s="1"/>
    </row>
    <row r="196" spans="1:13">
      <c r="A196" s="1"/>
      <c r="B196" s="1"/>
      <c r="C196" s="1"/>
      <c r="D196" s="1"/>
      <c r="E196" s="1"/>
      <c r="F196" s="1"/>
      <c r="G196" s="1"/>
      <c r="H196" s="1"/>
      <c r="I196" s="1"/>
      <c r="J196" s="8"/>
      <c r="K196" s="8"/>
      <c r="L196" s="1"/>
      <c r="M196" s="1"/>
    </row>
    <row r="197" spans="1:13">
      <c r="A197" s="1"/>
      <c r="B197" s="1"/>
      <c r="C197" s="1"/>
      <c r="D197" s="1"/>
      <c r="E197" s="1"/>
      <c r="F197" s="1"/>
      <c r="G197" s="1"/>
      <c r="H197" s="1"/>
      <c r="I197" s="1"/>
      <c r="J197" s="8"/>
      <c r="K197" s="8"/>
      <c r="L197" s="1"/>
      <c r="M197" s="1"/>
    </row>
    <row r="198" spans="1:13">
      <c r="A198" s="1"/>
      <c r="B198" s="1"/>
      <c r="C198" s="1"/>
      <c r="D198" s="1"/>
      <c r="E198" s="1"/>
      <c r="F198" s="1"/>
      <c r="G198" s="1"/>
      <c r="H198" s="1"/>
      <c r="I198" s="1"/>
      <c r="J198" s="8"/>
      <c r="K198" s="8"/>
      <c r="L198" s="1"/>
      <c r="M198" s="1"/>
    </row>
    <row r="199" spans="1:13">
      <c r="A199" s="1"/>
      <c r="B199" s="1"/>
      <c r="C199" s="1"/>
      <c r="D199" s="1"/>
      <c r="E199" s="1"/>
      <c r="F199" s="1"/>
      <c r="G199" s="1"/>
      <c r="H199" s="1"/>
      <c r="I199" s="1"/>
      <c r="J199" s="8"/>
      <c r="K199" s="8"/>
      <c r="L199" s="1"/>
      <c r="M199" s="1"/>
    </row>
    <row r="200" spans="1:13">
      <c r="A200" s="1"/>
      <c r="B200" s="1"/>
      <c r="C200" s="1"/>
      <c r="D200" s="1"/>
      <c r="E200" s="1"/>
      <c r="F200" s="1"/>
      <c r="G200" s="1"/>
      <c r="H200" s="1"/>
      <c r="I200" s="1"/>
      <c r="J200" s="8"/>
      <c r="K200" s="8"/>
      <c r="L200" s="1"/>
      <c r="M200" s="1"/>
    </row>
    <row r="201" spans="1:13">
      <c r="A201" s="1"/>
      <c r="B201" s="1"/>
      <c r="C201" s="1"/>
      <c r="D201" s="1"/>
      <c r="E201" s="1"/>
      <c r="F201" s="1"/>
      <c r="G201" s="1"/>
      <c r="H201" s="1"/>
      <c r="I201" s="1"/>
      <c r="J201" s="8"/>
      <c r="K201" s="8"/>
      <c r="L201" s="1"/>
      <c r="M201" s="1"/>
    </row>
    <row r="202" spans="1:13">
      <c r="A202" s="1"/>
      <c r="B202" s="1"/>
      <c r="C202" s="1"/>
      <c r="D202" s="1"/>
      <c r="E202" s="1"/>
      <c r="F202" s="1"/>
      <c r="G202" s="1"/>
      <c r="H202" s="1"/>
      <c r="I202" s="1"/>
      <c r="J202" s="8"/>
      <c r="K202" s="8"/>
      <c r="L202" s="1"/>
      <c r="M202" s="1"/>
    </row>
    <row r="203" spans="1:13">
      <c r="A203" s="1"/>
      <c r="B203" s="1"/>
      <c r="C203" s="1"/>
      <c r="D203" s="1"/>
      <c r="E203" s="1"/>
      <c r="F203" s="1"/>
      <c r="G203" s="1"/>
      <c r="H203" s="1"/>
      <c r="I203" s="1"/>
      <c r="J203" s="8"/>
      <c r="K203" s="8"/>
      <c r="L203" s="1"/>
      <c r="M203" s="1"/>
    </row>
    <row r="204" spans="1:13">
      <c r="A204" s="1"/>
      <c r="B204" s="1"/>
      <c r="C204" s="1"/>
      <c r="D204" s="1"/>
      <c r="E204" s="1"/>
      <c r="F204" s="1"/>
      <c r="G204" s="1"/>
      <c r="H204" s="1"/>
      <c r="I204" s="1"/>
      <c r="J204" s="8"/>
      <c r="K204" s="8"/>
      <c r="L204" s="1"/>
      <c r="M204" s="1"/>
    </row>
    <row r="205" spans="1:13">
      <c r="A205" s="1"/>
      <c r="B205" s="1"/>
      <c r="C205" s="1"/>
      <c r="D205" s="1"/>
      <c r="E205" s="1"/>
      <c r="F205" s="1"/>
      <c r="G205" s="1"/>
      <c r="H205" s="1"/>
      <c r="I205" s="1"/>
      <c r="J205" s="8"/>
      <c r="K205" s="8"/>
      <c r="L205" s="1"/>
      <c r="M205" s="1"/>
    </row>
    <row r="206" spans="1:13">
      <c r="A206" s="1"/>
      <c r="B206" s="1"/>
      <c r="C206" s="1"/>
      <c r="D206" s="1"/>
      <c r="E206" s="1"/>
      <c r="F206" s="1"/>
      <c r="G206" s="1"/>
      <c r="H206" s="1"/>
      <c r="I206" s="1"/>
      <c r="J206" s="8"/>
      <c r="K206" s="8"/>
      <c r="L206" s="1"/>
      <c r="M206" s="1"/>
    </row>
    <row r="207" spans="1:13">
      <c r="A207" s="1"/>
      <c r="B207" s="1"/>
      <c r="C207" s="1"/>
      <c r="D207" s="1"/>
      <c r="E207" s="1"/>
      <c r="F207" s="1"/>
      <c r="G207" s="1"/>
      <c r="H207" s="1"/>
      <c r="I207" s="1"/>
      <c r="J207" s="8"/>
      <c r="K207" s="8"/>
      <c r="L207" s="1"/>
      <c r="M207" s="1"/>
    </row>
    <row r="208" spans="1:13">
      <c r="A208" s="1"/>
      <c r="B208" s="1"/>
      <c r="C208" s="1"/>
      <c r="D208" s="1"/>
      <c r="E208" s="1"/>
      <c r="F208" s="1"/>
      <c r="G208" s="1"/>
      <c r="H208" s="1"/>
      <c r="I208" s="1"/>
      <c r="J208" s="8"/>
      <c r="K208" s="8"/>
      <c r="L208" s="1"/>
      <c r="M208" s="1"/>
    </row>
    <row r="209" spans="1:13">
      <c r="A209" s="1"/>
      <c r="B209" s="1"/>
      <c r="C209" s="1"/>
      <c r="D209" s="1"/>
      <c r="E209" s="1"/>
      <c r="F209" s="1"/>
      <c r="G209" s="1"/>
      <c r="H209" s="1"/>
      <c r="I209" s="1"/>
      <c r="J209" s="8"/>
      <c r="K209" s="8"/>
      <c r="L209" s="1"/>
      <c r="M209" s="1"/>
    </row>
    <row r="210" spans="1:13">
      <c r="A210" s="1"/>
      <c r="B210" s="1"/>
      <c r="C210" s="1"/>
      <c r="D210" s="1"/>
      <c r="E210" s="1"/>
      <c r="F210" s="1"/>
      <c r="G210" s="1"/>
      <c r="H210" s="1"/>
      <c r="I210" s="1"/>
      <c r="J210" s="8"/>
      <c r="K210" s="8"/>
      <c r="L210" s="1"/>
      <c r="M210" s="1"/>
    </row>
    <row r="211" spans="1:13">
      <c r="A211" s="1"/>
      <c r="B211" s="1"/>
      <c r="C211" s="1"/>
      <c r="D211" s="1"/>
      <c r="E211" s="1"/>
      <c r="F211" s="1"/>
      <c r="G211" s="1"/>
      <c r="H211" s="1"/>
      <c r="I211" s="1"/>
      <c r="J211" s="8"/>
      <c r="K211" s="8"/>
      <c r="L211" s="1"/>
      <c r="M211" s="1"/>
    </row>
    <row r="212" spans="1:13">
      <c r="A212" s="1"/>
      <c r="B212" s="1"/>
      <c r="C212" s="1"/>
      <c r="D212" s="1"/>
      <c r="E212" s="1"/>
      <c r="F212" s="1"/>
      <c r="G212" s="1"/>
      <c r="H212" s="1"/>
      <c r="I212" s="1"/>
      <c r="J212" s="8"/>
      <c r="K212" s="8"/>
      <c r="L212" s="1"/>
      <c r="M212" s="1"/>
    </row>
    <row r="213" spans="1:13">
      <c r="A213" s="1"/>
      <c r="B213" s="1"/>
      <c r="C213" s="1"/>
      <c r="D213" s="1"/>
      <c r="E213" s="1"/>
      <c r="F213" s="1"/>
      <c r="G213" s="1"/>
      <c r="H213" s="1"/>
      <c r="I213" s="1"/>
      <c r="J213" s="8"/>
      <c r="K213" s="8"/>
      <c r="L213" s="1"/>
      <c r="M213" s="1"/>
    </row>
    <row r="214" spans="1:13">
      <c r="A214" s="1"/>
      <c r="B214" s="1"/>
      <c r="C214" s="1"/>
      <c r="D214" s="1"/>
      <c r="E214" s="1"/>
      <c r="F214" s="1"/>
      <c r="G214" s="1"/>
      <c r="H214" s="1"/>
      <c r="I214" s="1"/>
      <c r="J214" s="8"/>
      <c r="K214" s="8"/>
      <c r="L214" s="1"/>
      <c r="M214" s="1"/>
    </row>
    <row r="215" spans="1:13">
      <c r="A215" s="1"/>
      <c r="B215" s="1"/>
      <c r="C215" s="1"/>
      <c r="D215" s="1"/>
      <c r="E215" s="1"/>
      <c r="F215" s="1"/>
      <c r="G215" s="1"/>
      <c r="H215" s="1"/>
      <c r="I215" s="1"/>
      <c r="J215" s="8"/>
      <c r="K215" s="8"/>
      <c r="L215" s="1"/>
      <c r="M215" s="1"/>
    </row>
    <row r="216" spans="1:13">
      <c r="A216" s="1"/>
      <c r="B216" s="1"/>
      <c r="C216" s="1"/>
      <c r="D216" s="1"/>
      <c r="E216" s="1"/>
      <c r="F216" s="1"/>
      <c r="G216" s="1"/>
      <c r="H216" s="1"/>
      <c r="I216" s="1"/>
      <c r="J216" s="8"/>
      <c r="K216" s="8"/>
      <c r="L216" s="1"/>
      <c r="M216" s="1"/>
    </row>
    <row r="217" spans="1:13">
      <c r="A217" s="1"/>
      <c r="B217" s="1"/>
      <c r="C217" s="1"/>
      <c r="D217" s="1"/>
      <c r="E217" s="1"/>
      <c r="F217" s="1"/>
      <c r="G217" s="1"/>
      <c r="H217" s="1"/>
      <c r="I217" s="1"/>
      <c r="J217" s="8"/>
      <c r="K217" s="8"/>
      <c r="L217" s="1"/>
      <c r="M217" s="1"/>
    </row>
    <row r="218" spans="1:13">
      <c r="A218" s="1"/>
      <c r="B218" s="1"/>
      <c r="C218" s="1"/>
      <c r="D218" s="1"/>
      <c r="E218" s="1"/>
      <c r="F218" s="1"/>
      <c r="G218" s="1"/>
      <c r="H218" s="1"/>
      <c r="I218" s="1"/>
      <c r="J218" s="8"/>
      <c r="K218" s="8"/>
      <c r="L218" s="1"/>
      <c r="M218" s="1"/>
    </row>
    <row r="219" spans="1:13">
      <c r="A219" s="1"/>
      <c r="B219" s="1"/>
      <c r="C219" s="1"/>
      <c r="D219" s="1"/>
      <c r="E219" s="1"/>
      <c r="F219" s="1"/>
      <c r="G219" s="1"/>
      <c r="H219" s="1"/>
      <c r="I219" s="1"/>
      <c r="J219" s="8"/>
      <c r="K219" s="8"/>
      <c r="L219" s="1"/>
      <c r="M219" s="1"/>
    </row>
    <row r="220" spans="1:13">
      <c r="A220" s="1"/>
      <c r="B220" s="1"/>
      <c r="C220" s="1"/>
      <c r="D220" s="1"/>
      <c r="E220" s="1"/>
      <c r="F220" s="1"/>
      <c r="G220" s="1"/>
      <c r="H220" s="1"/>
      <c r="I220" s="1"/>
      <c r="J220" s="8"/>
      <c r="K220" s="8"/>
      <c r="L220" s="1"/>
      <c r="M220" s="1"/>
    </row>
    <row r="221" spans="1:13">
      <c r="A221" s="1"/>
      <c r="B221" s="1"/>
      <c r="C221" s="1"/>
      <c r="D221" s="1"/>
      <c r="E221" s="1"/>
      <c r="F221" s="1"/>
      <c r="G221" s="1"/>
      <c r="H221" s="1"/>
      <c r="I221" s="1"/>
      <c r="J221" s="8"/>
      <c r="K221" s="8"/>
      <c r="L221" s="1"/>
      <c r="M221" s="1"/>
    </row>
    <row r="222" spans="1:13">
      <c r="A222" s="1"/>
      <c r="B222" s="1"/>
      <c r="C222" s="1"/>
      <c r="D222" s="1"/>
      <c r="E222" s="1"/>
      <c r="F222" s="1"/>
      <c r="G222" s="1"/>
      <c r="H222" s="1"/>
      <c r="I222" s="1"/>
      <c r="J222" s="8"/>
      <c r="K222" s="8"/>
      <c r="L222" s="1"/>
      <c r="M222" s="1"/>
    </row>
    <row r="223" spans="1:13">
      <c r="A223" s="1"/>
      <c r="B223" s="1"/>
      <c r="C223" s="1"/>
      <c r="D223" s="1"/>
      <c r="E223" s="1"/>
      <c r="F223" s="1"/>
      <c r="G223" s="1"/>
      <c r="H223" s="1"/>
      <c r="I223" s="1"/>
      <c r="J223" s="8"/>
      <c r="K223" s="8"/>
      <c r="L223" s="1"/>
      <c r="M223" s="1"/>
    </row>
    <row r="224" spans="1:13">
      <c r="A224" s="1"/>
      <c r="B224" s="1"/>
      <c r="C224" s="1"/>
      <c r="D224" s="1"/>
      <c r="E224" s="1"/>
      <c r="F224" s="1"/>
      <c r="G224" s="1"/>
      <c r="H224" s="1"/>
      <c r="I224" s="1"/>
      <c r="J224" s="8"/>
      <c r="K224" s="8"/>
      <c r="L224" s="1"/>
      <c r="M224" s="1"/>
    </row>
    <row r="225" spans="1:13">
      <c r="A225" s="1"/>
      <c r="B225" s="1"/>
      <c r="C225" s="1"/>
      <c r="D225" s="1"/>
      <c r="E225" s="1"/>
      <c r="F225" s="1"/>
      <c r="G225" s="1"/>
      <c r="H225" s="1"/>
      <c r="I225" s="1"/>
      <c r="J225" s="8"/>
      <c r="K225" s="8"/>
      <c r="L225" s="1"/>
      <c r="M225" s="1"/>
    </row>
    <row r="226" spans="1:13">
      <c r="A226" s="1"/>
      <c r="B226" s="1"/>
      <c r="C226" s="1"/>
      <c r="D226" s="1"/>
      <c r="E226" s="1"/>
      <c r="F226" s="1"/>
      <c r="G226" s="1"/>
      <c r="H226" s="1"/>
      <c r="I226" s="1"/>
      <c r="J226" s="8"/>
      <c r="K226" s="8"/>
      <c r="L226" s="1"/>
      <c r="M226" s="1"/>
    </row>
    <row r="227" spans="1:13">
      <c r="A227" s="1"/>
      <c r="B227" s="1"/>
      <c r="C227" s="1"/>
      <c r="D227" s="1"/>
      <c r="E227" s="1"/>
      <c r="F227" s="1"/>
      <c r="G227" s="1"/>
      <c r="H227" s="1"/>
      <c r="I227" s="1"/>
      <c r="J227" s="8"/>
      <c r="K227" s="8"/>
      <c r="L227" s="1"/>
      <c r="M227" s="1"/>
    </row>
    <row r="228" spans="1:13">
      <c r="A228" s="1"/>
      <c r="B228" s="1"/>
      <c r="C228" s="1"/>
      <c r="D228" s="1"/>
      <c r="E228" s="1"/>
      <c r="F228" s="1"/>
      <c r="G228" s="1"/>
      <c r="H228" s="1"/>
      <c r="I228" s="1"/>
      <c r="J228" s="8"/>
      <c r="K228" s="8"/>
      <c r="L228" s="1"/>
      <c r="M228" s="1"/>
    </row>
    <row r="229" spans="1:13">
      <c r="A229" s="1"/>
      <c r="B229" s="1"/>
      <c r="C229" s="1"/>
      <c r="D229" s="1"/>
      <c r="E229" s="1"/>
      <c r="F229" s="1"/>
      <c r="G229" s="1"/>
      <c r="H229" s="1"/>
      <c r="I229" s="1"/>
      <c r="J229" s="8"/>
      <c r="K229" s="8"/>
      <c r="L229" s="1"/>
      <c r="M229" s="1"/>
    </row>
    <row r="230" spans="1:13">
      <c r="A230" s="1"/>
      <c r="B230" s="1"/>
      <c r="C230" s="1"/>
      <c r="D230" s="1"/>
      <c r="E230" s="1"/>
      <c r="F230" s="1"/>
      <c r="G230" s="1"/>
      <c r="H230" s="1"/>
      <c r="I230" s="1"/>
      <c r="J230" s="8"/>
      <c r="K230" s="8"/>
      <c r="L230" s="1"/>
      <c r="M230" s="1"/>
    </row>
    <row r="231" spans="1:13">
      <c r="A231" s="1"/>
      <c r="B231" s="1"/>
      <c r="C231" s="1"/>
      <c r="D231" s="1"/>
      <c r="E231" s="1"/>
      <c r="F231" s="1"/>
      <c r="G231" s="1"/>
      <c r="H231" s="1"/>
      <c r="I231" s="1"/>
      <c r="J231" s="8"/>
      <c r="K231" s="8"/>
      <c r="L231" s="1"/>
      <c r="M231" s="1"/>
    </row>
    <row r="232" spans="1:13">
      <c r="A232" s="1"/>
      <c r="B232" s="1"/>
      <c r="C232" s="1"/>
      <c r="D232" s="1"/>
      <c r="E232" s="1"/>
      <c r="F232" s="1"/>
      <c r="G232" s="1"/>
      <c r="H232" s="1"/>
      <c r="I232" s="1"/>
      <c r="J232" s="8"/>
      <c r="K232" s="8"/>
      <c r="L232" s="1"/>
      <c r="M232" s="1"/>
    </row>
    <row r="233" spans="1:13">
      <c r="A233" s="1"/>
      <c r="B233" s="1"/>
      <c r="C233" s="1"/>
      <c r="D233" s="1"/>
      <c r="E233" s="1"/>
      <c r="F233" s="1"/>
      <c r="G233" s="1"/>
      <c r="H233" s="1"/>
      <c r="I233" s="1"/>
      <c r="J233" s="8"/>
      <c r="K233" s="8"/>
      <c r="L233" s="1"/>
      <c r="M233" s="1"/>
    </row>
    <row r="234" spans="1:13">
      <c r="A234" s="1"/>
      <c r="B234" s="1"/>
      <c r="C234" s="1"/>
      <c r="D234" s="1"/>
      <c r="E234" s="1"/>
      <c r="F234" s="1"/>
      <c r="G234" s="1"/>
      <c r="H234" s="1"/>
      <c r="I234" s="1"/>
      <c r="J234" s="8"/>
      <c r="K234" s="8"/>
      <c r="L234" s="1"/>
      <c r="M234" s="1"/>
    </row>
    <row r="235" spans="1:13">
      <c r="A235" s="1"/>
      <c r="B235" s="1"/>
      <c r="C235" s="1"/>
      <c r="D235" s="1"/>
      <c r="E235" s="1"/>
      <c r="F235" s="1"/>
      <c r="G235" s="1"/>
      <c r="H235" s="1"/>
      <c r="I235" s="1"/>
      <c r="J235" s="8"/>
      <c r="K235" s="8"/>
      <c r="L235" s="1"/>
      <c r="M235" s="1"/>
    </row>
    <row r="236" spans="1:13">
      <c r="A236" s="1"/>
      <c r="B236" s="1"/>
      <c r="C236" s="1"/>
      <c r="D236" s="1"/>
      <c r="E236" s="1"/>
      <c r="F236" s="1"/>
      <c r="G236" s="1"/>
      <c r="H236" s="1"/>
      <c r="I236" s="1"/>
      <c r="J236" s="8"/>
      <c r="K236" s="8"/>
      <c r="L236" s="1"/>
      <c r="M236" s="1"/>
    </row>
    <row r="237" spans="1:13">
      <c r="A237" s="1"/>
      <c r="B237" s="1"/>
      <c r="C237" s="1"/>
      <c r="D237" s="1"/>
      <c r="E237" s="1"/>
      <c r="F237" s="1"/>
      <c r="G237" s="1"/>
      <c r="H237" s="1"/>
      <c r="I237" s="1"/>
      <c r="J237" s="8"/>
      <c r="K237" s="8"/>
      <c r="L237" s="1"/>
      <c r="M237" s="1"/>
    </row>
    <row r="238" spans="1:13">
      <c r="A238" s="1"/>
      <c r="B238" s="1"/>
      <c r="C238" s="1"/>
      <c r="D238" s="1"/>
      <c r="E238" s="1"/>
      <c r="F238" s="1"/>
      <c r="G238" s="1"/>
      <c r="H238" s="1"/>
      <c r="I238" s="1"/>
      <c r="J238" s="8"/>
      <c r="K238" s="8"/>
      <c r="L238" s="1"/>
      <c r="M238" s="1"/>
    </row>
    <row r="239" spans="1:13">
      <c r="A239" s="1"/>
      <c r="B239" s="1"/>
      <c r="C239" s="1"/>
      <c r="D239" s="1"/>
      <c r="E239" s="1"/>
      <c r="F239" s="1"/>
      <c r="G239" s="1"/>
      <c r="H239" s="1"/>
      <c r="I239" s="1"/>
      <c r="J239" s="8"/>
      <c r="K239" s="8"/>
      <c r="L239" s="1"/>
      <c r="M239" s="1"/>
    </row>
    <row r="240" spans="1:13">
      <c r="A240" s="1"/>
      <c r="B240" s="1"/>
      <c r="C240" s="1"/>
      <c r="D240" s="1"/>
      <c r="E240" s="1"/>
      <c r="F240" s="1"/>
      <c r="G240" s="1"/>
      <c r="H240" s="1"/>
      <c r="I240" s="1"/>
      <c r="J240" s="8"/>
      <c r="K240" s="8"/>
      <c r="L240" s="1"/>
      <c r="M240" s="1"/>
    </row>
    <row r="241" spans="1:13">
      <c r="A241" s="1"/>
      <c r="B241" s="1"/>
      <c r="C241" s="1"/>
      <c r="D241" s="1"/>
      <c r="E241" s="1"/>
      <c r="F241" s="1"/>
      <c r="G241" s="1"/>
      <c r="H241" s="1"/>
      <c r="I241" s="1"/>
      <c r="J241" s="8"/>
      <c r="K241" s="8"/>
      <c r="L241" s="1"/>
      <c r="M241" s="1"/>
    </row>
    <row r="242" spans="1:13">
      <c r="A242" s="1"/>
      <c r="B242" s="1"/>
      <c r="C242" s="1"/>
      <c r="D242" s="1"/>
      <c r="E242" s="1"/>
      <c r="F242" s="1"/>
      <c r="G242" s="1"/>
      <c r="H242" s="1"/>
      <c r="I242" s="1"/>
      <c r="J242" s="8"/>
      <c r="K242" s="8"/>
      <c r="L242" s="1"/>
      <c r="M242" s="1"/>
    </row>
    <row r="243" spans="1:13">
      <c r="A243" s="1"/>
      <c r="B243" s="1"/>
      <c r="C243" s="1"/>
      <c r="D243" s="1"/>
      <c r="E243" s="1"/>
      <c r="F243" s="1"/>
      <c r="G243" s="1"/>
      <c r="H243" s="1"/>
      <c r="I243" s="1"/>
      <c r="J243" s="8"/>
      <c r="K243" s="8"/>
      <c r="L243" s="1"/>
      <c r="M243" s="1"/>
    </row>
    <row r="244" spans="1:13">
      <c r="A244" s="1"/>
      <c r="B244" s="1"/>
      <c r="C244" s="1"/>
      <c r="D244" s="1"/>
      <c r="E244" s="1"/>
      <c r="F244" s="1"/>
      <c r="G244" s="1"/>
      <c r="H244" s="1"/>
      <c r="I244" s="1"/>
      <c r="J244" s="8"/>
      <c r="K244" s="8"/>
      <c r="L244" s="1"/>
      <c r="M244" s="1"/>
    </row>
    <row r="245" spans="1:13">
      <c r="A245" s="1"/>
      <c r="B245" s="1"/>
      <c r="C245" s="1"/>
      <c r="D245" s="1"/>
      <c r="E245" s="1"/>
      <c r="F245" s="1"/>
      <c r="G245" s="1"/>
      <c r="H245" s="1"/>
      <c r="I245" s="1"/>
      <c r="J245" s="8"/>
      <c r="K245" s="8"/>
      <c r="L245" s="1"/>
      <c r="M245" s="1"/>
    </row>
    <row r="246" spans="1:13">
      <c r="A246" s="1"/>
      <c r="B246" s="1"/>
      <c r="C246" s="1"/>
      <c r="D246" s="1"/>
      <c r="E246" s="1"/>
      <c r="F246" s="1"/>
      <c r="G246" s="1"/>
      <c r="H246" s="1"/>
      <c r="I246" s="1"/>
      <c r="J246" s="8"/>
      <c r="K246" s="8"/>
      <c r="L246" s="1"/>
      <c r="M246" s="1"/>
    </row>
    <row r="247" spans="1:13">
      <c r="A247" s="1"/>
      <c r="B247" s="1"/>
      <c r="C247" s="1"/>
      <c r="D247" s="1"/>
      <c r="E247" s="1"/>
      <c r="F247" s="1"/>
      <c r="G247" s="1"/>
      <c r="H247" s="1"/>
      <c r="I247" s="1"/>
      <c r="J247" s="8"/>
      <c r="K247" s="8"/>
      <c r="L247" s="1"/>
      <c r="M247" s="1"/>
    </row>
    <row r="248" spans="1:13">
      <c r="A248" s="1"/>
      <c r="B248" s="1"/>
      <c r="C248" s="1"/>
      <c r="D248" s="1"/>
      <c r="E248" s="1"/>
      <c r="F248" s="1"/>
      <c r="G248" s="1"/>
      <c r="H248" s="1"/>
      <c r="I248" s="1"/>
      <c r="J248" s="8"/>
      <c r="K248" s="8"/>
      <c r="L248" s="1"/>
      <c r="M248" s="1"/>
    </row>
    <row r="249" spans="1:13">
      <c r="A249" s="1"/>
      <c r="B249" s="1"/>
      <c r="C249" s="1"/>
      <c r="D249" s="1"/>
      <c r="E249" s="1"/>
      <c r="F249" s="1"/>
      <c r="G249" s="1"/>
      <c r="H249" s="1"/>
      <c r="I249" s="1"/>
      <c r="J249" s="8"/>
      <c r="K249" s="8"/>
      <c r="L249" s="1"/>
      <c r="M249" s="1"/>
    </row>
    <row r="250" spans="1:13">
      <c r="A250" s="1"/>
      <c r="B250" s="1"/>
      <c r="C250" s="1"/>
      <c r="D250" s="1"/>
      <c r="E250" s="1"/>
      <c r="F250" s="1"/>
      <c r="G250" s="1"/>
      <c r="H250" s="1"/>
      <c r="I250" s="1"/>
      <c r="J250" s="8"/>
      <c r="K250" s="8"/>
      <c r="L250" s="1"/>
      <c r="M250" s="1"/>
    </row>
    <row r="251" spans="1:13">
      <c r="A251" s="1"/>
      <c r="B251" s="1"/>
      <c r="C251" s="1"/>
      <c r="D251" s="1"/>
      <c r="E251" s="1"/>
      <c r="F251" s="1"/>
      <c r="G251" s="1"/>
      <c r="H251" s="1"/>
      <c r="I251" s="1"/>
      <c r="J251" s="8"/>
      <c r="K251" s="8"/>
      <c r="L251" s="1"/>
      <c r="M251" s="1"/>
    </row>
    <row r="252" spans="1:13">
      <c r="A252" s="1"/>
      <c r="B252" s="1"/>
      <c r="C252" s="1"/>
      <c r="D252" s="1"/>
      <c r="E252" s="1"/>
      <c r="F252" s="1"/>
      <c r="G252" s="1"/>
      <c r="H252" s="1"/>
      <c r="I252" s="1"/>
      <c r="J252" s="8"/>
      <c r="K252" s="8"/>
      <c r="L252" s="1"/>
      <c r="M252" s="1"/>
    </row>
    <row r="253" spans="1:13">
      <c r="A253" s="1"/>
      <c r="B253" s="1"/>
      <c r="C253" s="1"/>
      <c r="D253" s="1"/>
      <c r="E253" s="1"/>
      <c r="F253" s="1"/>
      <c r="G253" s="1"/>
      <c r="H253" s="1"/>
      <c r="I253" s="1"/>
      <c r="J253" s="8"/>
      <c r="K253" s="8"/>
      <c r="L253" s="1"/>
      <c r="M253" s="1"/>
    </row>
    <row r="254" spans="1:13">
      <c r="A254" s="1"/>
      <c r="B254" s="1"/>
      <c r="C254" s="1"/>
      <c r="D254" s="1"/>
      <c r="E254" s="1"/>
      <c r="F254" s="1"/>
      <c r="G254" s="1"/>
      <c r="H254" s="1"/>
      <c r="I254" s="1"/>
      <c r="J254" s="8"/>
      <c r="K254" s="8"/>
      <c r="L254" s="1"/>
      <c r="M254" s="1"/>
    </row>
    <row r="255" spans="1:13">
      <c r="A255" s="1"/>
      <c r="B255" s="1"/>
      <c r="C255" s="1"/>
      <c r="D255" s="1"/>
      <c r="E255" s="1"/>
      <c r="F255" s="1"/>
      <c r="G255" s="1"/>
      <c r="H255" s="1"/>
      <c r="I255" s="1"/>
      <c r="J255" s="8"/>
      <c r="K255" s="8"/>
      <c r="L255" s="1"/>
      <c r="M255" s="1"/>
    </row>
    <row r="256" spans="1:13">
      <c r="A256" s="1"/>
      <c r="B256" s="1"/>
      <c r="C256" s="1"/>
      <c r="D256" s="1"/>
      <c r="E256" s="1"/>
      <c r="F256" s="1"/>
      <c r="G256" s="1"/>
      <c r="H256" s="1"/>
      <c r="I256" s="1"/>
      <c r="J256" s="8"/>
      <c r="K256" s="8"/>
      <c r="L256" s="1"/>
      <c r="M256" s="1"/>
    </row>
    <row r="257" spans="1:13">
      <c r="A257" s="1"/>
      <c r="B257" s="1"/>
      <c r="C257" s="1"/>
      <c r="D257" s="1"/>
      <c r="E257" s="1"/>
      <c r="F257" s="1"/>
      <c r="G257" s="1"/>
      <c r="H257" s="1"/>
      <c r="I257" s="1"/>
      <c r="J257" s="8"/>
      <c r="K257" s="8"/>
      <c r="L257" s="1"/>
      <c r="M257" s="1"/>
    </row>
    <row r="258" spans="1:13">
      <c r="A258" s="1"/>
      <c r="B258" s="1"/>
      <c r="C258" s="1"/>
      <c r="D258" s="1"/>
      <c r="E258" s="1"/>
      <c r="F258" s="1"/>
      <c r="G258" s="1"/>
      <c r="H258" s="1"/>
      <c r="I258" s="1"/>
      <c r="J258" s="8"/>
      <c r="K258" s="8"/>
      <c r="L258" s="1"/>
      <c r="M258" s="1"/>
    </row>
    <row r="259" spans="1:13">
      <c r="A259" s="1"/>
      <c r="B259" s="1"/>
      <c r="C259" s="1"/>
      <c r="D259" s="1"/>
      <c r="E259" s="1"/>
      <c r="F259" s="1"/>
      <c r="G259" s="1"/>
      <c r="H259" s="1"/>
      <c r="I259" s="1"/>
      <c r="J259" s="8"/>
      <c r="K259" s="8"/>
      <c r="L259" s="1"/>
      <c r="M259" s="1"/>
    </row>
    <row r="260" spans="1:13">
      <c r="A260" s="1"/>
      <c r="B260" s="1"/>
      <c r="C260" s="1"/>
      <c r="D260" s="1"/>
      <c r="E260" s="1"/>
      <c r="F260" s="1"/>
      <c r="G260" s="1"/>
      <c r="H260" s="1"/>
      <c r="I260" s="1"/>
      <c r="J260" s="8"/>
      <c r="K260" s="8"/>
      <c r="L260" s="1"/>
      <c r="M260" s="1"/>
    </row>
    <row r="261" spans="1:13">
      <c r="A261" s="1"/>
      <c r="B261" s="1"/>
      <c r="C261" s="1"/>
      <c r="D261" s="1"/>
      <c r="E261" s="1"/>
      <c r="F261" s="1"/>
      <c r="G261" s="1"/>
      <c r="H261" s="1"/>
      <c r="I261" s="1"/>
      <c r="J261" s="8"/>
      <c r="K261" s="8"/>
      <c r="L261" s="1"/>
      <c r="M261" s="1"/>
    </row>
    <row r="262" spans="1:13">
      <c r="A262" s="1"/>
      <c r="B262" s="1"/>
      <c r="C262" s="1"/>
      <c r="D262" s="1"/>
      <c r="E262" s="1"/>
      <c r="F262" s="1"/>
      <c r="G262" s="1"/>
      <c r="H262" s="1"/>
      <c r="I262" s="1"/>
      <c r="J262" s="8"/>
      <c r="K262" s="8"/>
      <c r="L262" s="1"/>
      <c r="M262" s="1"/>
    </row>
    <row r="263" spans="1:13">
      <c r="A263" s="1"/>
      <c r="B263" s="1"/>
      <c r="C263" s="1"/>
      <c r="D263" s="1"/>
      <c r="E263" s="1"/>
      <c r="F263" s="1"/>
      <c r="G263" s="1"/>
      <c r="H263" s="1"/>
      <c r="I263" s="1"/>
      <c r="J263" s="8"/>
      <c r="K263" s="8"/>
      <c r="L263" s="1"/>
      <c r="M263" s="1"/>
    </row>
    <row r="264" spans="1:13">
      <c r="A264" s="1"/>
      <c r="B264" s="1"/>
      <c r="C264" s="1"/>
      <c r="D264" s="1"/>
      <c r="E264" s="1"/>
      <c r="F264" s="1"/>
      <c r="G264" s="1"/>
      <c r="H264" s="1"/>
      <c r="I264" s="1"/>
      <c r="J264" s="8"/>
      <c r="K264" s="8"/>
      <c r="L264" s="1"/>
      <c r="M264" s="1"/>
    </row>
    <row r="265" spans="1:13">
      <c r="A265" s="1"/>
      <c r="B265" s="1"/>
      <c r="C265" s="1"/>
      <c r="D265" s="1"/>
      <c r="E265" s="1"/>
      <c r="F265" s="1"/>
      <c r="G265" s="1"/>
      <c r="H265" s="1"/>
      <c r="I265" s="1"/>
      <c r="J265" s="8"/>
      <c r="K265" s="8"/>
      <c r="L265" s="1"/>
      <c r="M265" s="1"/>
    </row>
    <row r="266" spans="1:13">
      <c r="A266" s="1"/>
      <c r="B266" s="1"/>
      <c r="C266" s="1"/>
      <c r="D266" s="1"/>
      <c r="E266" s="1"/>
      <c r="F266" s="1"/>
      <c r="G266" s="1"/>
      <c r="H266" s="1"/>
      <c r="I266" s="1"/>
      <c r="J266" s="8"/>
      <c r="K266" s="8"/>
      <c r="L266" s="1"/>
      <c r="M266" s="1"/>
    </row>
    <row r="267" spans="1:13">
      <c r="A267" s="1"/>
      <c r="B267" s="1"/>
      <c r="C267" s="1"/>
      <c r="D267" s="1"/>
      <c r="E267" s="1"/>
      <c r="F267" s="1"/>
      <c r="G267" s="1"/>
      <c r="H267" s="1"/>
      <c r="I267" s="1"/>
      <c r="J267" s="8"/>
      <c r="K267" s="8"/>
      <c r="L267" s="1"/>
      <c r="M267" s="1"/>
    </row>
    <row r="268" spans="1:13">
      <c r="A268" s="1"/>
      <c r="B268" s="1"/>
      <c r="C268" s="1"/>
      <c r="D268" s="1"/>
      <c r="E268" s="1"/>
      <c r="F268" s="1"/>
      <c r="G268" s="1"/>
      <c r="H268" s="1"/>
      <c r="I268" s="1"/>
      <c r="J268" s="8"/>
      <c r="K268" s="8"/>
      <c r="L268" s="1"/>
      <c r="M268" s="1"/>
    </row>
    <row r="269" spans="1:13">
      <c r="A269" s="1"/>
      <c r="B269" s="1"/>
      <c r="C269" s="1"/>
      <c r="D269" s="1"/>
      <c r="E269" s="1"/>
      <c r="F269" s="1"/>
      <c r="G269" s="1"/>
      <c r="H269" s="1"/>
      <c r="I269" s="1"/>
      <c r="J269" s="8"/>
      <c r="K269" s="8"/>
      <c r="L269" s="1"/>
      <c r="M269" s="1"/>
    </row>
    <row r="270" spans="1:13">
      <c r="A270" s="1"/>
      <c r="B270" s="1"/>
      <c r="C270" s="1"/>
      <c r="D270" s="1"/>
      <c r="E270" s="1"/>
      <c r="F270" s="1"/>
      <c r="G270" s="1"/>
      <c r="H270" s="1"/>
      <c r="I270" s="1"/>
      <c r="J270" s="8"/>
      <c r="K270" s="8"/>
      <c r="L270" s="1"/>
      <c r="M270" s="1"/>
    </row>
    <row r="271" spans="1:13">
      <c r="A271" s="1"/>
      <c r="B271" s="1"/>
      <c r="C271" s="1"/>
      <c r="D271" s="1"/>
      <c r="E271" s="1"/>
      <c r="F271" s="1"/>
      <c r="G271" s="1"/>
      <c r="H271" s="1"/>
      <c r="I271" s="1"/>
      <c r="J271" s="8"/>
      <c r="K271" s="8"/>
      <c r="L271" s="1"/>
      <c r="M271" s="1"/>
    </row>
    <row r="272" spans="1:13">
      <c r="A272" s="1"/>
      <c r="B272" s="1"/>
      <c r="C272" s="1"/>
      <c r="D272" s="1"/>
      <c r="E272" s="1"/>
      <c r="F272" s="1"/>
      <c r="G272" s="1"/>
      <c r="H272" s="1"/>
      <c r="I272" s="1"/>
      <c r="J272" s="8"/>
      <c r="K272" s="8"/>
      <c r="L272" s="1"/>
      <c r="M272" s="1"/>
    </row>
    <row r="273" spans="1:13">
      <c r="A273" s="1"/>
      <c r="B273" s="1"/>
      <c r="C273" s="1"/>
      <c r="D273" s="1"/>
      <c r="E273" s="1"/>
      <c r="F273" s="1"/>
      <c r="G273" s="1"/>
      <c r="H273" s="1"/>
      <c r="I273" s="1"/>
      <c r="J273" s="8"/>
      <c r="K273" s="8"/>
      <c r="L273" s="1"/>
      <c r="M273" s="1"/>
    </row>
    <row r="274" spans="1:13">
      <c r="A274" s="1"/>
      <c r="B274" s="1"/>
      <c r="C274" s="1"/>
      <c r="D274" s="1"/>
      <c r="E274" s="1"/>
      <c r="F274" s="1"/>
      <c r="G274" s="1"/>
      <c r="H274" s="1"/>
      <c r="I274" s="1"/>
      <c r="J274" s="8"/>
      <c r="K274" s="8"/>
      <c r="L274" s="1"/>
      <c r="M274" s="1"/>
    </row>
    <row r="275" spans="1:13">
      <c r="A275" s="1"/>
      <c r="B275" s="1"/>
      <c r="C275" s="1"/>
      <c r="D275" s="1"/>
      <c r="E275" s="1"/>
      <c r="F275" s="1"/>
      <c r="G275" s="1"/>
      <c r="H275" s="1"/>
      <c r="I275" s="1"/>
      <c r="J275" s="8"/>
      <c r="K275" s="8"/>
      <c r="L275" s="1"/>
      <c r="M275" s="1"/>
    </row>
    <row r="276" spans="1:13">
      <c r="A276" s="1"/>
      <c r="B276" s="1"/>
      <c r="C276" s="1"/>
      <c r="D276" s="1"/>
      <c r="E276" s="1"/>
      <c r="F276" s="1"/>
      <c r="G276" s="1"/>
      <c r="H276" s="1"/>
      <c r="I276" s="1"/>
      <c r="J276" s="8"/>
      <c r="K276" s="8"/>
      <c r="L276" s="1"/>
      <c r="M276" s="1"/>
    </row>
    <row r="277" spans="1:13">
      <c r="A277" s="1"/>
      <c r="B277" s="1"/>
      <c r="C277" s="1"/>
      <c r="D277" s="1"/>
      <c r="E277" s="1"/>
      <c r="F277" s="1"/>
      <c r="G277" s="1"/>
      <c r="H277" s="1"/>
      <c r="I277" s="1"/>
      <c r="J277" s="8"/>
      <c r="K277" s="8"/>
      <c r="L277" s="1"/>
      <c r="M277" s="1"/>
    </row>
    <row r="278" spans="1:13">
      <c r="A278" s="1"/>
      <c r="B278" s="1"/>
      <c r="C278" s="1"/>
      <c r="D278" s="1"/>
      <c r="E278" s="1"/>
      <c r="F278" s="1"/>
      <c r="G278" s="1"/>
      <c r="H278" s="1"/>
      <c r="I278" s="1"/>
      <c r="J278" s="8"/>
      <c r="K278" s="8"/>
      <c r="L278" s="1"/>
      <c r="M278" s="1"/>
    </row>
    <row r="279" spans="1:13">
      <c r="A279" s="1"/>
      <c r="B279" s="1"/>
      <c r="C279" s="1"/>
      <c r="D279" s="1"/>
      <c r="E279" s="1"/>
      <c r="F279" s="1"/>
      <c r="G279" s="1"/>
      <c r="H279" s="1"/>
      <c r="I279" s="1"/>
      <c r="J279" s="8"/>
      <c r="K279" s="8"/>
      <c r="L279" s="1"/>
      <c r="M279" s="1"/>
    </row>
    <row r="280" spans="1:13">
      <c r="A280" s="1"/>
      <c r="B280" s="1"/>
      <c r="C280" s="1"/>
      <c r="D280" s="1"/>
      <c r="E280" s="1"/>
      <c r="F280" s="1"/>
      <c r="G280" s="1"/>
      <c r="H280" s="1"/>
      <c r="I280" s="1"/>
      <c r="J280" s="8"/>
      <c r="K280" s="8"/>
      <c r="L280" s="1"/>
      <c r="M280" s="1"/>
    </row>
    <row r="281" spans="1:13">
      <c r="A281" s="1"/>
      <c r="B281" s="1"/>
      <c r="C281" s="1"/>
      <c r="D281" s="1"/>
      <c r="E281" s="1"/>
      <c r="F281" s="1"/>
      <c r="G281" s="1"/>
      <c r="H281" s="1"/>
      <c r="I281" s="1"/>
      <c r="J281" s="8"/>
      <c r="K281" s="8"/>
      <c r="L281" s="1"/>
      <c r="M281" s="1"/>
    </row>
    <row r="282" spans="1:13">
      <c r="A282" s="1"/>
      <c r="B282" s="1"/>
      <c r="C282" s="1"/>
      <c r="D282" s="1"/>
      <c r="E282" s="1"/>
      <c r="F282" s="1"/>
      <c r="G282" s="1"/>
      <c r="H282" s="1"/>
      <c r="I282" s="1"/>
      <c r="J282" s="8"/>
      <c r="K282" s="8"/>
      <c r="L282" s="1"/>
      <c r="M282" s="1"/>
    </row>
    <row r="283" spans="1:13">
      <c r="A283" s="1"/>
      <c r="B283" s="1"/>
      <c r="C283" s="1"/>
      <c r="D283" s="1"/>
      <c r="E283" s="1"/>
      <c r="F283" s="1"/>
      <c r="G283" s="1"/>
      <c r="H283" s="1"/>
      <c r="I283" s="1"/>
      <c r="J283" s="8"/>
      <c r="K283" s="8"/>
      <c r="L283" s="1"/>
      <c r="M283" s="1"/>
    </row>
    <row r="284" spans="1:13">
      <c r="A284" s="1"/>
      <c r="B284" s="1"/>
      <c r="C284" s="1"/>
      <c r="D284" s="1"/>
      <c r="E284" s="1"/>
      <c r="F284" s="1"/>
      <c r="G284" s="1"/>
      <c r="H284" s="1"/>
      <c r="I284" s="1"/>
      <c r="J284" s="8"/>
      <c r="K284" s="8"/>
      <c r="L284" s="1"/>
      <c r="M284" s="1"/>
    </row>
    <row r="285" spans="1:13">
      <c r="A285" s="1"/>
      <c r="B285" s="1"/>
      <c r="C285" s="1"/>
      <c r="D285" s="1"/>
      <c r="E285" s="1"/>
      <c r="F285" s="1"/>
      <c r="G285" s="1"/>
      <c r="H285" s="1"/>
      <c r="I285" s="1"/>
      <c r="J285" s="8"/>
      <c r="K285" s="8"/>
      <c r="L285" s="1"/>
      <c r="M285" s="1"/>
    </row>
    <row r="286" spans="1:13">
      <c r="A286" s="1"/>
      <c r="B286" s="1"/>
      <c r="C286" s="1"/>
      <c r="D286" s="1"/>
      <c r="E286" s="1"/>
      <c r="F286" s="1"/>
      <c r="G286" s="1"/>
      <c r="H286" s="1"/>
      <c r="I286" s="1"/>
      <c r="J286" s="8"/>
      <c r="K286" s="8"/>
      <c r="L286" s="1"/>
      <c r="M286" s="1"/>
    </row>
    <row r="287" spans="1:13">
      <c r="A287" s="1"/>
      <c r="B287" s="1"/>
      <c r="C287" s="1"/>
      <c r="D287" s="1"/>
      <c r="E287" s="1"/>
      <c r="F287" s="1"/>
      <c r="G287" s="1"/>
      <c r="H287" s="1"/>
      <c r="I287" s="1"/>
      <c r="J287" s="8"/>
      <c r="K287" s="8"/>
      <c r="L287" s="1"/>
      <c r="M287" s="1"/>
    </row>
    <row r="288" spans="1:13">
      <c r="A288" s="1"/>
      <c r="B288" s="1"/>
      <c r="C288" s="1"/>
      <c r="D288" s="1"/>
      <c r="E288" s="1"/>
      <c r="F288" s="1"/>
      <c r="G288" s="1"/>
      <c r="H288" s="1"/>
      <c r="I288" s="1"/>
      <c r="J288" s="8"/>
      <c r="K288" s="8"/>
      <c r="L288" s="1"/>
      <c r="M288" s="1"/>
    </row>
    <row r="289" spans="1:13">
      <c r="A289" s="1"/>
      <c r="B289" s="1"/>
      <c r="C289" s="1"/>
      <c r="D289" s="1"/>
      <c r="E289" s="1"/>
      <c r="F289" s="1"/>
      <c r="G289" s="1"/>
      <c r="H289" s="1"/>
      <c r="I289" s="1"/>
      <c r="J289" s="8"/>
      <c r="K289" s="8"/>
      <c r="L289" s="1"/>
      <c r="M289" s="1"/>
    </row>
    <row r="290" spans="1:13">
      <c r="A290" s="1"/>
      <c r="B290" s="1"/>
      <c r="C290" s="1"/>
      <c r="D290" s="1"/>
      <c r="E290" s="1"/>
      <c r="F290" s="1"/>
      <c r="G290" s="1"/>
      <c r="H290" s="1"/>
      <c r="I290" s="1"/>
      <c r="J290" s="8"/>
      <c r="K290" s="8"/>
      <c r="L290" s="1"/>
      <c r="M290" s="1"/>
    </row>
    <row r="291" spans="1:13">
      <c r="A291" s="1"/>
      <c r="B291" s="1"/>
      <c r="C291" s="1"/>
      <c r="D291" s="1"/>
      <c r="E291" s="1"/>
      <c r="F291" s="1"/>
      <c r="G291" s="1"/>
      <c r="H291" s="1"/>
      <c r="I291" s="1"/>
      <c r="J291" s="8"/>
      <c r="K291" s="8"/>
      <c r="L291" s="1"/>
      <c r="M291" s="1"/>
    </row>
    <row r="292" spans="1:13">
      <c r="A292" s="1"/>
      <c r="B292" s="1"/>
      <c r="C292" s="1"/>
      <c r="D292" s="1"/>
      <c r="E292" s="1"/>
      <c r="F292" s="1"/>
      <c r="G292" s="1"/>
      <c r="H292" s="1"/>
      <c r="I292" s="1"/>
      <c r="J292" s="8"/>
      <c r="K292" s="8"/>
      <c r="L292" s="1"/>
      <c r="M292" s="1"/>
    </row>
    <row r="293" spans="1:13">
      <c r="A293" s="1"/>
      <c r="B293" s="1"/>
      <c r="C293" s="1"/>
      <c r="D293" s="1"/>
      <c r="E293" s="1"/>
      <c r="F293" s="1"/>
      <c r="G293" s="1"/>
      <c r="H293" s="1"/>
      <c r="I293" s="1"/>
      <c r="J293" s="8"/>
      <c r="K293" s="8"/>
      <c r="L293" s="1"/>
      <c r="M293" s="1"/>
    </row>
    <row r="294" spans="1:13">
      <c r="A294" s="1"/>
      <c r="B294" s="1"/>
      <c r="C294" s="1"/>
      <c r="D294" s="1"/>
      <c r="E294" s="1"/>
      <c r="F294" s="1"/>
      <c r="G294" s="1"/>
      <c r="H294" s="1"/>
      <c r="I294" s="1"/>
      <c r="J294" s="8"/>
      <c r="K294" s="8"/>
      <c r="L294" s="1"/>
      <c r="M294" s="1"/>
    </row>
    <row r="295" spans="1:13">
      <c r="A295" s="1"/>
      <c r="B295" s="1"/>
      <c r="C295" s="1"/>
      <c r="D295" s="1"/>
      <c r="E295" s="1"/>
      <c r="F295" s="1"/>
      <c r="G295" s="1"/>
      <c r="H295" s="1"/>
      <c r="I295" s="1"/>
      <c r="J295" s="8"/>
      <c r="K295" s="8"/>
      <c r="L295" s="1"/>
      <c r="M295" s="1"/>
    </row>
    <row r="296" spans="1:13">
      <c r="A296" s="1"/>
      <c r="B296" s="1"/>
      <c r="C296" s="1"/>
      <c r="D296" s="1"/>
      <c r="E296" s="1"/>
      <c r="F296" s="1"/>
      <c r="G296" s="1"/>
      <c r="H296" s="1"/>
      <c r="I296" s="1"/>
      <c r="J296" s="8"/>
      <c r="K296" s="8"/>
      <c r="L296" s="1"/>
      <c r="M296" s="1"/>
    </row>
    <row r="297" spans="1:13">
      <c r="A297" s="1"/>
      <c r="B297" s="1"/>
      <c r="C297" s="1"/>
      <c r="D297" s="1"/>
      <c r="E297" s="1"/>
      <c r="F297" s="1"/>
      <c r="G297" s="1"/>
      <c r="H297" s="1"/>
      <c r="I297" s="1"/>
      <c r="J297" s="8"/>
      <c r="K297" s="8"/>
      <c r="L297" s="1"/>
      <c r="M297" s="1"/>
    </row>
    <row r="298" spans="1:13">
      <c r="A298" s="1"/>
      <c r="B298" s="1"/>
      <c r="C298" s="1"/>
      <c r="D298" s="1"/>
      <c r="E298" s="1"/>
      <c r="F298" s="1"/>
      <c r="G298" s="1"/>
      <c r="H298" s="1"/>
      <c r="I298" s="1"/>
      <c r="J298" s="8"/>
      <c r="K298" s="8"/>
      <c r="L298" s="1"/>
      <c r="M298" s="1"/>
    </row>
    <row r="299" spans="1:13">
      <c r="A299" s="1"/>
      <c r="B299" s="1"/>
      <c r="C299" s="1"/>
      <c r="D299" s="1"/>
      <c r="E299" s="1"/>
      <c r="F299" s="1"/>
      <c r="G299" s="1"/>
      <c r="H299" s="1"/>
      <c r="I299" s="1"/>
      <c r="J299" s="8"/>
      <c r="K299" s="8"/>
      <c r="L299" s="1"/>
      <c r="M299" s="1"/>
    </row>
    <row r="300" spans="1:13">
      <c r="A300" s="1"/>
      <c r="B300" s="1"/>
      <c r="C300" s="1"/>
      <c r="D300" s="1"/>
      <c r="E300" s="1"/>
      <c r="F300" s="1"/>
      <c r="G300" s="1"/>
      <c r="H300" s="1"/>
      <c r="I300" s="1"/>
      <c r="J300" s="8"/>
      <c r="K300" s="8"/>
      <c r="L300" s="1"/>
      <c r="M300" s="1"/>
    </row>
    <row r="301" spans="1:13">
      <c r="A301" s="1"/>
      <c r="B301" s="1"/>
      <c r="C301" s="1"/>
      <c r="D301" s="1"/>
      <c r="E301" s="1"/>
      <c r="F301" s="1"/>
      <c r="G301" s="1"/>
      <c r="H301" s="1"/>
      <c r="I301" s="1"/>
      <c r="J301" s="8"/>
      <c r="K301" s="8"/>
      <c r="L301" s="1"/>
      <c r="M301" s="1"/>
    </row>
    <row r="302" spans="1:13">
      <c r="A302" s="1"/>
      <c r="B302" s="1"/>
      <c r="C302" s="1"/>
      <c r="D302" s="1"/>
      <c r="E302" s="1"/>
      <c r="F302" s="1"/>
      <c r="G302" s="1"/>
      <c r="H302" s="1"/>
      <c r="I302" s="1"/>
      <c r="J302" s="8"/>
      <c r="K302" s="8"/>
      <c r="L302" s="1"/>
      <c r="M302" s="1"/>
    </row>
    <row r="303" spans="1:13">
      <c r="A303" s="1"/>
      <c r="B303" s="1"/>
      <c r="C303" s="1"/>
      <c r="D303" s="1"/>
      <c r="E303" s="1"/>
      <c r="F303" s="1"/>
      <c r="G303" s="1"/>
      <c r="H303" s="1"/>
      <c r="I303" s="1"/>
      <c r="J303" s="8"/>
      <c r="K303" s="8"/>
      <c r="L303" s="1"/>
      <c r="M303" s="1"/>
    </row>
    <row r="304" spans="1:13">
      <c r="A304" s="1"/>
      <c r="B304" s="1"/>
      <c r="C304" s="1"/>
      <c r="D304" s="1"/>
      <c r="E304" s="1"/>
      <c r="F304" s="1"/>
      <c r="G304" s="1"/>
      <c r="H304" s="1"/>
      <c r="I304" s="1"/>
      <c r="J304" s="8"/>
      <c r="K304" s="8"/>
      <c r="L304" s="1"/>
      <c r="M304" s="1"/>
    </row>
    <row r="305" spans="1:13">
      <c r="A305" s="1"/>
      <c r="B305" s="1"/>
      <c r="C305" s="1"/>
      <c r="D305" s="1"/>
      <c r="E305" s="1"/>
      <c r="F305" s="1"/>
      <c r="G305" s="1"/>
      <c r="H305" s="1"/>
      <c r="I305" s="1"/>
      <c r="J305" s="8"/>
      <c r="K305" s="8"/>
      <c r="L305" s="1"/>
      <c r="M305" s="1"/>
    </row>
    <row r="306" spans="1:13">
      <c r="A306" s="1"/>
      <c r="B306" s="1"/>
      <c r="C306" s="1"/>
      <c r="D306" s="1"/>
      <c r="E306" s="1"/>
      <c r="F306" s="1"/>
      <c r="G306" s="1"/>
      <c r="H306" s="1"/>
      <c r="I306" s="1"/>
      <c r="J306" s="8"/>
      <c r="K306" s="8"/>
      <c r="L306" s="1"/>
      <c r="M306" s="1"/>
    </row>
    <row r="307" spans="1:13">
      <c r="A307" s="1"/>
      <c r="B307" s="1"/>
      <c r="C307" s="1"/>
      <c r="D307" s="1"/>
      <c r="E307" s="1"/>
      <c r="F307" s="1"/>
      <c r="G307" s="1"/>
      <c r="H307" s="1"/>
      <c r="I307" s="1"/>
      <c r="J307" s="8"/>
      <c r="K307" s="8"/>
      <c r="L307" s="1"/>
      <c r="M307" s="1"/>
    </row>
    <row r="308" spans="1:13">
      <c r="A308" s="1"/>
      <c r="B308" s="1"/>
      <c r="C308" s="1"/>
      <c r="D308" s="1"/>
      <c r="E308" s="1"/>
      <c r="F308" s="1"/>
      <c r="G308" s="1"/>
      <c r="H308" s="1"/>
      <c r="I308" s="1"/>
      <c r="J308" s="8"/>
      <c r="K308" s="8"/>
      <c r="L308" s="1"/>
      <c r="M308" s="1"/>
    </row>
    <row r="309" spans="1:13">
      <c r="A309" s="1"/>
      <c r="B309" s="1"/>
      <c r="C309" s="1"/>
      <c r="D309" s="1"/>
      <c r="E309" s="1"/>
      <c r="F309" s="1"/>
      <c r="G309" s="1"/>
      <c r="H309" s="1"/>
      <c r="I309" s="1"/>
      <c r="J309" s="8"/>
      <c r="K309" s="8"/>
      <c r="L309" s="1"/>
      <c r="M309" s="1"/>
    </row>
    <row r="310" spans="1:13">
      <c r="A310" s="1"/>
      <c r="B310" s="1"/>
      <c r="C310" s="1"/>
      <c r="D310" s="1"/>
      <c r="E310" s="1"/>
      <c r="F310" s="1"/>
      <c r="G310" s="1"/>
      <c r="H310" s="1"/>
      <c r="I310" s="1"/>
      <c r="J310" s="8"/>
      <c r="K310" s="8"/>
      <c r="L310" s="1"/>
      <c r="M310" s="1"/>
    </row>
    <row r="311" spans="1:13">
      <c r="A311" s="1"/>
      <c r="B311" s="1"/>
      <c r="C311" s="1"/>
      <c r="D311" s="1"/>
      <c r="E311" s="1"/>
      <c r="F311" s="1"/>
      <c r="G311" s="1"/>
      <c r="H311" s="1"/>
      <c r="I311" s="1"/>
      <c r="J311" s="8"/>
      <c r="K311" s="8"/>
      <c r="L311" s="1"/>
      <c r="M311" s="1"/>
    </row>
    <row r="312" spans="1:13">
      <c r="A312" s="1"/>
      <c r="B312" s="1"/>
      <c r="C312" s="1"/>
      <c r="D312" s="1"/>
      <c r="E312" s="1"/>
      <c r="F312" s="1"/>
      <c r="G312" s="1"/>
      <c r="H312" s="1"/>
      <c r="I312" s="1"/>
      <c r="J312" s="8"/>
      <c r="K312" s="8"/>
      <c r="L312" s="1"/>
      <c r="M312" s="1"/>
    </row>
    <row r="313" spans="1:13">
      <c r="A313" s="1"/>
      <c r="B313" s="1"/>
      <c r="C313" s="1"/>
      <c r="D313" s="1"/>
      <c r="E313" s="1"/>
      <c r="F313" s="1"/>
      <c r="G313" s="1"/>
      <c r="H313" s="1"/>
      <c r="I313" s="1"/>
      <c r="J313" s="8"/>
      <c r="K313" s="8"/>
      <c r="L313" s="1"/>
      <c r="M313" s="1"/>
    </row>
    <row r="314" spans="1:13">
      <c r="A314" s="1"/>
      <c r="B314" s="1"/>
      <c r="C314" s="1"/>
      <c r="D314" s="1"/>
      <c r="E314" s="1"/>
      <c r="F314" s="1"/>
      <c r="G314" s="1"/>
      <c r="H314" s="1"/>
      <c r="I314" s="1"/>
      <c r="J314" s="8"/>
      <c r="K314" s="8"/>
      <c r="L314" s="1"/>
      <c r="M314" s="1"/>
    </row>
    <row r="315" spans="1:13">
      <c r="A315" s="1"/>
      <c r="B315" s="1"/>
      <c r="C315" s="1"/>
      <c r="D315" s="1"/>
      <c r="E315" s="1"/>
      <c r="F315" s="1"/>
      <c r="G315" s="1"/>
      <c r="H315" s="1"/>
      <c r="I315" s="1"/>
      <c r="J315" s="8"/>
      <c r="K315" s="8"/>
      <c r="L315" s="1"/>
      <c r="M315" s="1"/>
    </row>
    <row r="316" spans="1:13">
      <c r="A316" s="1"/>
      <c r="B316" s="1"/>
      <c r="C316" s="1"/>
      <c r="D316" s="1"/>
      <c r="E316" s="1"/>
      <c r="F316" s="1"/>
      <c r="G316" s="1"/>
      <c r="H316" s="1"/>
      <c r="I316" s="1"/>
      <c r="J316" s="8"/>
      <c r="K316" s="8"/>
      <c r="L316" s="1"/>
      <c r="M316" s="1"/>
    </row>
    <row r="317" spans="1:13">
      <c r="A317" s="1"/>
      <c r="B317" s="1"/>
      <c r="C317" s="1"/>
      <c r="D317" s="1"/>
      <c r="E317" s="1"/>
      <c r="F317" s="1"/>
      <c r="G317" s="1"/>
      <c r="H317" s="1"/>
      <c r="I317" s="1"/>
      <c r="J317" s="8"/>
      <c r="K317" s="8"/>
      <c r="L317" s="1"/>
      <c r="M317" s="1"/>
    </row>
    <row r="318" spans="1:13">
      <c r="A318" s="1"/>
      <c r="B318" s="1"/>
      <c r="C318" s="1"/>
      <c r="D318" s="1"/>
      <c r="E318" s="1"/>
      <c r="F318" s="1"/>
      <c r="G318" s="1"/>
      <c r="H318" s="1"/>
      <c r="I318" s="1"/>
      <c r="J318" s="8"/>
      <c r="K318" s="8"/>
      <c r="L318" s="1"/>
      <c r="M318" s="1"/>
    </row>
    <row r="319" spans="1:13">
      <c r="A319" s="1"/>
      <c r="B319" s="1"/>
      <c r="C319" s="1"/>
      <c r="D319" s="1"/>
      <c r="E319" s="1"/>
      <c r="F319" s="1"/>
      <c r="G319" s="1"/>
      <c r="H319" s="1"/>
      <c r="I319" s="1"/>
      <c r="J319" s="8"/>
      <c r="K319" s="8"/>
      <c r="L319" s="1"/>
      <c r="M319" s="1"/>
    </row>
    <row r="320" spans="1:13">
      <c r="A320" s="1"/>
      <c r="B320" s="1"/>
      <c r="C320" s="1"/>
      <c r="D320" s="1"/>
      <c r="E320" s="1"/>
      <c r="F320" s="1"/>
      <c r="G320" s="1"/>
      <c r="H320" s="1"/>
      <c r="I320" s="1"/>
      <c r="J320" s="8"/>
      <c r="K320" s="8"/>
      <c r="L320" s="1"/>
      <c r="M320" s="1"/>
    </row>
    <row r="321" spans="1:13">
      <c r="A321" s="1"/>
      <c r="B321" s="1"/>
      <c r="C321" s="1"/>
      <c r="D321" s="1"/>
      <c r="E321" s="1"/>
      <c r="F321" s="1"/>
      <c r="G321" s="1"/>
      <c r="H321" s="1"/>
      <c r="I321" s="1"/>
      <c r="J321" s="8"/>
      <c r="K321" s="8"/>
      <c r="L321" s="1"/>
      <c r="M321" s="1"/>
    </row>
    <row r="322" spans="1:13">
      <c r="A322" s="1"/>
      <c r="B322" s="1"/>
      <c r="C322" s="1"/>
      <c r="D322" s="1"/>
      <c r="E322" s="1"/>
      <c r="F322" s="1"/>
      <c r="G322" s="1"/>
      <c r="H322" s="1"/>
      <c r="I322" s="1"/>
      <c r="J322" s="8"/>
      <c r="K322" s="8"/>
      <c r="L322" s="1"/>
      <c r="M322" s="1"/>
    </row>
    <row r="323" spans="1:13">
      <c r="A323" s="1"/>
      <c r="B323" s="1"/>
      <c r="C323" s="1"/>
      <c r="D323" s="1"/>
      <c r="E323" s="1"/>
      <c r="F323" s="1"/>
      <c r="G323" s="1"/>
      <c r="H323" s="1"/>
      <c r="I323" s="1"/>
      <c r="J323" s="8"/>
      <c r="K323" s="8"/>
      <c r="L323" s="1"/>
      <c r="M323" s="1"/>
    </row>
    <row r="324" spans="1:13">
      <c r="A324" s="1"/>
      <c r="B324" s="1"/>
      <c r="C324" s="1"/>
      <c r="D324" s="1"/>
      <c r="E324" s="1"/>
      <c r="F324" s="1"/>
      <c r="G324" s="1"/>
      <c r="H324" s="1"/>
      <c r="I324" s="1"/>
      <c r="J324" s="8"/>
      <c r="K324" s="8"/>
      <c r="L324" s="1"/>
      <c r="M324" s="1"/>
    </row>
    <row r="325" spans="1:13">
      <c r="A325" s="1"/>
      <c r="B325" s="1"/>
      <c r="C325" s="1"/>
      <c r="D325" s="1"/>
      <c r="E325" s="1"/>
      <c r="F325" s="1"/>
      <c r="G325" s="1"/>
      <c r="H325" s="1"/>
      <c r="I325" s="1"/>
      <c r="J325" s="8"/>
      <c r="K325" s="8"/>
      <c r="L325" s="1"/>
      <c r="M325" s="1"/>
    </row>
    <row r="326" spans="1:13">
      <c r="A326" s="1"/>
      <c r="B326" s="1"/>
      <c r="C326" s="1"/>
      <c r="D326" s="1"/>
      <c r="E326" s="1"/>
      <c r="F326" s="1"/>
      <c r="G326" s="1"/>
      <c r="H326" s="1"/>
      <c r="I326" s="1"/>
      <c r="J326" s="8"/>
      <c r="K326" s="8"/>
      <c r="L326" s="1"/>
      <c r="M326" s="1"/>
    </row>
    <row r="327" spans="1:13">
      <c r="A327" s="1"/>
      <c r="B327" s="1"/>
      <c r="C327" s="1"/>
      <c r="D327" s="1"/>
      <c r="E327" s="1"/>
      <c r="F327" s="1"/>
      <c r="G327" s="1"/>
      <c r="H327" s="1"/>
      <c r="I327" s="1"/>
      <c r="J327" s="8"/>
      <c r="K327" s="8"/>
      <c r="L327" s="1"/>
      <c r="M327" s="1"/>
    </row>
    <row r="328" spans="1:13">
      <c r="A328" s="1"/>
      <c r="B328" s="1"/>
      <c r="C328" s="1"/>
      <c r="D328" s="1"/>
      <c r="E328" s="1"/>
      <c r="F328" s="1"/>
      <c r="G328" s="1"/>
      <c r="H328" s="1"/>
      <c r="I328" s="1"/>
      <c r="J328" s="8"/>
      <c r="K328" s="8"/>
      <c r="L328" s="1"/>
      <c r="M328" s="1"/>
    </row>
    <row r="329" spans="1:13">
      <c r="A329" s="1"/>
      <c r="B329" s="1"/>
      <c r="C329" s="1"/>
      <c r="D329" s="1"/>
      <c r="E329" s="1"/>
      <c r="F329" s="1"/>
      <c r="G329" s="1"/>
      <c r="H329" s="1"/>
      <c r="I329" s="1"/>
      <c r="J329" s="8"/>
      <c r="K329" s="8"/>
      <c r="L329" s="1"/>
      <c r="M329" s="1"/>
    </row>
    <row r="330" spans="1:13">
      <c r="A330" s="1"/>
      <c r="B330" s="1"/>
      <c r="C330" s="1"/>
      <c r="D330" s="1"/>
      <c r="E330" s="1"/>
      <c r="F330" s="1"/>
      <c r="G330" s="1"/>
      <c r="H330" s="1"/>
      <c r="I330" s="1"/>
      <c r="J330" s="8"/>
      <c r="K330" s="8"/>
      <c r="L330" s="1"/>
      <c r="M330" s="1"/>
    </row>
    <row r="331" spans="1:13">
      <c r="A331" s="1"/>
      <c r="B331" s="1"/>
      <c r="C331" s="1"/>
      <c r="D331" s="1"/>
      <c r="E331" s="1"/>
      <c r="F331" s="1"/>
      <c r="G331" s="1"/>
      <c r="H331" s="1"/>
      <c r="I331" s="1"/>
      <c r="J331" s="8"/>
      <c r="K331" s="8"/>
      <c r="L331" s="1"/>
      <c r="M331" s="1"/>
    </row>
    <row r="332" spans="1:13">
      <c r="A332" s="1"/>
      <c r="B332" s="1"/>
      <c r="C332" s="1"/>
      <c r="D332" s="1"/>
      <c r="E332" s="1"/>
      <c r="F332" s="1"/>
      <c r="G332" s="1"/>
      <c r="H332" s="1"/>
      <c r="I332" s="1"/>
      <c r="J332" s="8"/>
      <c r="K332" s="8"/>
      <c r="L332" s="1"/>
      <c r="M332" s="1"/>
    </row>
    <row r="333" spans="1:13">
      <c r="A333" s="1"/>
      <c r="B333" s="1"/>
      <c r="C333" s="1"/>
      <c r="D333" s="1"/>
      <c r="E333" s="1"/>
      <c r="F333" s="1"/>
      <c r="G333" s="1"/>
      <c r="H333" s="1"/>
      <c r="I333" s="1"/>
      <c r="J333" s="8"/>
      <c r="K333" s="8"/>
      <c r="L333" s="1"/>
      <c r="M333" s="1"/>
    </row>
    <row r="334" spans="1:13">
      <c r="A334" s="1"/>
      <c r="B334" s="1"/>
      <c r="C334" s="1"/>
      <c r="D334" s="1"/>
      <c r="E334" s="1"/>
      <c r="F334" s="1"/>
      <c r="G334" s="1"/>
      <c r="H334" s="1"/>
      <c r="I334" s="1"/>
      <c r="J334" s="8"/>
      <c r="K334" s="8"/>
      <c r="L334" s="1"/>
      <c r="M334" s="1"/>
    </row>
    <row r="335" spans="1:13">
      <c r="A335" s="1"/>
      <c r="B335" s="1"/>
      <c r="C335" s="1"/>
      <c r="D335" s="1"/>
      <c r="E335" s="1"/>
      <c r="F335" s="1"/>
      <c r="G335" s="1"/>
      <c r="H335" s="1"/>
      <c r="I335" s="1"/>
      <c r="J335" s="8"/>
      <c r="K335" s="8"/>
      <c r="L335" s="1"/>
      <c r="M335" s="1"/>
    </row>
    <row r="336" spans="1:13">
      <c r="A336" s="1"/>
      <c r="B336" s="1"/>
      <c r="C336" s="1"/>
      <c r="D336" s="1"/>
      <c r="E336" s="1"/>
      <c r="F336" s="1"/>
      <c r="G336" s="1"/>
      <c r="H336" s="1"/>
      <c r="I336" s="1"/>
      <c r="J336" s="8"/>
      <c r="K336" s="8"/>
      <c r="L336" s="1"/>
      <c r="M336" s="1"/>
    </row>
    <row r="337" spans="1:13">
      <c r="A337" s="1"/>
      <c r="B337" s="1"/>
      <c r="C337" s="1"/>
      <c r="D337" s="1"/>
      <c r="E337" s="1"/>
      <c r="F337" s="1"/>
      <c r="G337" s="1"/>
      <c r="H337" s="1"/>
      <c r="I337" s="1"/>
      <c r="J337" s="8"/>
      <c r="K337" s="8"/>
      <c r="L337" s="1"/>
      <c r="M337" s="1"/>
    </row>
    <row r="338" spans="1:13">
      <c r="A338" s="1"/>
      <c r="B338" s="1"/>
      <c r="C338" s="1"/>
      <c r="D338" s="1"/>
      <c r="E338" s="1"/>
      <c r="F338" s="1"/>
      <c r="G338" s="1"/>
      <c r="H338" s="1"/>
      <c r="I338" s="1"/>
      <c r="J338" s="8"/>
      <c r="K338" s="8"/>
      <c r="L338" s="1"/>
      <c r="M338" s="1"/>
    </row>
    <row r="339" spans="1:13">
      <c r="A339" s="1"/>
      <c r="B339" s="1"/>
      <c r="C339" s="1"/>
      <c r="D339" s="1"/>
      <c r="E339" s="1"/>
      <c r="F339" s="1"/>
      <c r="G339" s="1"/>
      <c r="H339" s="1"/>
      <c r="I339" s="1"/>
      <c r="J339" s="8"/>
      <c r="K339" s="8"/>
      <c r="L339" s="1"/>
      <c r="M339" s="1"/>
    </row>
    <row r="340" spans="1:13">
      <c r="A340" s="1"/>
      <c r="B340" s="1"/>
      <c r="C340" s="1"/>
      <c r="D340" s="1"/>
      <c r="E340" s="1"/>
      <c r="F340" s="1"/>
      <c r="G340" s="1"/>
      <c r="H340" s="1"/>
      <c r="I340" s="1"/>
      <c r="J340" s="8"/>
      <c r="K340" s="8"/>
      <c r="L340" s="1"/>
      <c r="M340" s="1"/>
    </row>
    <row r="341" spans="1:13">
      <c r="A341" s="1"/>
      <c r="B341" s="1"/>
      <c r="C341" s="1"/>
      <c r="D341" s="1"/>
      <c r="E341" s="1"/>
      <c r="F341" s="1"/>
      <c r="G341" s="1"/>
      <c r="H341" s="1"/>
      <c r="I341" s="1"/>
      <c r="J341" s="8"/>
      <c r="K341" s="8"/>
      <c r="L341" s="1"/>
      <c r="M341" s="1"/>
    </row>
    <row r="342" spans="1:13">
      <c r="A342" s="1"/>
      <c r="B342" s="1"/>
      <c r="C342" s="1"/>
      <c r="D342" s="1"/>
      <c r="E342" s="1"/>
      <c r="F342" s="1"/>
      <c r="G342" s="1"/>
      <c r="H342" s="1"/>
      <c r="I342" s="1"/>
      <c r="J342" s="8"/>
      <c r="K342" s="8"/>
      <c r="L342" s="1"/>
      <c r="M342" s="1"/>
    </row>
    <row r="343" spans="1:13">
      <c r="A343" s="1"/>
      <c r="B343" s="1"/>
      <c r="C343" s="1"/>
      <c r="D343" s="1"/>
      <c r="E343" s="1"/>
      <c r="F343" s="1"/>
      <c r="G343" s="1"/>
      <c r="H343" s="1"/>
      <c r="I343" s="1"/>
      <c r="J343" s="8"/>
      <c r="K343" s="8"/>
      <c r="L343" s="1"/>
      <c r="M343" s="1"/>
    </row>
    <row r="344" spans="1:13">
      <c r="A344" s="1"/>
      <c r="B344" s="1"/>
      <c r="C344" s="1"/>
      <c r="D344" s="1"/>
      <c r="E344" s="1"/>
      <c r="F344" s="1"/>
      <c r="G344" s="1"/>
      <c r="H344" s="1"/>
      <c r="I344" s="1"/>
      <c r="J344" s="8"/>
      <c r="K344" s="8"/>
      <c r="L344" s="1"/>
      <c r="M344" s="1"/>
    </row>
    <row r="345" spans="1:13">
      <c r="A345" s="1"/>
      <c r="B345" s="1"/>
      <c r="C345" s="1"/>
      <c r="D345" s="1"/>
      <c r="E345" s="1"/>
      <c r="F345" s="1"/>
      <c r="G345" s="1"/>
      <c r="H345" s="1"/>
      <c r="I345" s="1"/>
      <c r="J345" s="8"/>
      <c r="K345" s="8"/>
      <c r="L345" s="1"/>
      <c r="M345" s="1"/>
    </row>
    <row r="346" spans="1:13">
      <c r="A346" s="1"/>
      <c r="B346" s="1"/>
      <c r="C346" s="1"/>
      <c r="D346" s="1"/>
      <c r="E346" s="1"/>
      <c r="F346" s="1"/>
      <c r="G346" s="1"/>
      <c r="H346" s="1"/>
      <c r="I346" s="1"/>
      <c r="J346" s="8"/>
      <c r="K346" s="8"/>
      <c r="L346" s="1"/>
      <c r="M346" s="1"/>
    </row>
    <row r="347" spans="1:13">
      <c r="A347" s="1"/>
      <c r="B347" s="1"/>
      <c r="C347" s="1"/>
      <c r="D347" s="1"/>
      <c r="E347" s="1"/>
      <c r="F347" s="1"/>
      <c r="G347" s="1"/>
      <c r="H347" s="1"/>
      <c r="I347" s="1"/>
      <c r="J347" s="8"/>
      <c r="K347" s="8"/>
      <c r="L347" s="1"/>
      <c r="M347" s="1"/>
    </row>
    <row r="348" spans="1:13">
      <c r="A348" s="1"/>
      <c r="B348" s="1"/>
      <c r="C348" s="1"/>
      <c r="D348" s="1"/>
      <c r="E348" s="1"/>
      <c r="F348" s="1"/>
      <c r="G348" s="1"/>
      <c r="H348" s="1"/>
      <c r="I348" s="1"/>
      <c r="J348" s="8"/>
      <c r="K348" s="8"/>
      <c r="L348" s="1"/>
      <c r="M348" s="1"/>
    </row>
    <row r="349" spans="1:13">
      <c r="A349" s="1"/>
      <c r="B349" s="1"/>
      <c r="C349" s="1"/>
      <c r="D349" s="1"/>
      <c r="E349" s="1"/>
      <c r="F349" s="1"/>
      <c r="G349" s="1"/>
      <c r="H349" s="1"/>
      <c r="I349" s="1"/>
      <c r="J349" s="8"/>
      <c r="K349" s="8"/>
      <c r="L349" s="1"/>
      <c r="M349" s="1"/>
    </row>
    <row r="350" spans="1:13">
      <c r="A350" s="1"/>
      <c r="B350" s="1"/>
      <c r="C350" s="1"/>
      <c r="D350" s="1"/>
      <c r="E350" s="1"/>
      <c r="F350" s="1"/>
      <c r="G350" s="1"/>
      <c r="H350" s="1"/>
      <c r="I350" s="1"/>
      <c r="J350" s="8"/>
      <c r="K350" s="8"/>
      <c r="L350" s="1"/>
      <c r="M350" s="1"/>
    </row>
    <row r="351" spans="1:13">
      <c r="A351" s="1"/>
      <c r="B351" s="1"/>
      <c r="C351" s="1"/>
      <c r="D351" s="1"/>
      <c r="E351" s="1"/>
      <c r="F351" s="1"/>
      <c r="G351" s="1"/>
      <c r="H351" s="1"/>
      <c r="I351" s="1"/>
      <c r="J351" s="8"/>
      <c r="K351" s="8"/>
      <c r="L351" s="1"/>
      <c r="M351" s="1"/>
    </row>
    <row r="352" spans="1:13">
      <c r="A352" s="1"/>
      <c r="B352" s="1"/>
      <c r="C352" s="1"/>
      <c r="D352" s="1"/>
      <c r="E352" s="1"/>
      <c r="F352" s="1"/>
      <c r="G352" s="1"/>
      <c r="H352" s="1"/>
      <c r="I352" s="1"/>
      <c r="J352" s="8"/>
      <c r="K352" s="8"/>
      <c r="L352" s="1"/>
      <c r="M352" s="1"/>
    </row>
    <row r="353" spans="1:13">
      <c r="A353" s="1"/>
      <c r="B353" s="1"/>
      <c r="C353" s="1"/>
      <c r="D353" s="1"/>
      <c r="E353" s="1"/>
      <c r="F353" s="1"/>
      <c r="G353" s="1"/>
      <c r="H353" s="1"/>
      <c r="I353" s="1"/>
      <c r="J353" s="8"/>
      <c r="K353" s="8"/>
      <c r="L353" s="1"/>
      <c r="M353" s="1"/>
    </row>
    <row r="354" spans="1:13">
      <c r="A354" s="1"/>
      <c r="B354" s="1"/>
      <c r="C354" s="1"/>
      <c r="D354" s="1"/>
      <c r="E354" s="1"/>
      <c r="F354" s="1"/>
      <c r="G354" s="1"/>
      <c r="H354" s="1"/>
      <c r="I354" s="1"/>
      <c r="J354" s="8"/>
      <c r="K354" s="8"/>
      <c r="L354" s="1"/>
      <c r="M354" s="1"/>
    </row>
    <row r="355" spans="1:13">
      <c r="A355" s="1"/>
      <c r="B355" s="1"/>
      <c r="C355" s="1"/>
      <c r="D355" s="1"/>
      <c r="E355" s="1"/>
      <c r="F355" s="1"/>
      <c r="G355" s="1"/>
      <c r="H355" s="1"/>
      <c r="I355" s="1"/>
      <c r="J355" s="8"/>
      <c r="K355" s="8"/>
      <c r="L355" s="1"/>
      <c r="M355" s="1"/>
    </row>
    <row r="356" spans="1:13">
      <c r="A356" s="1"/>
      <c r="B356" s="1"/>
      <c r="C356" s="1"/>
      <c r="D356" s="1"/>
      <c r="E356" s="1"/>
      <c r="F356" s="1"/>
      <c r="G356" s="1"/>
      <c r="H356" s="1"/>
      <c r="I356" s="1"/>
      <c r="J356" s="8"/>
      <c r="K356" s="8"/>
      <c r="L356" s="1"/>
      <c r="M356" s="1"/>
    </row>
    <row r="357" spans="1:13">
      <c r="A357" s="1"/>
      <c r="B357" s="1"/>
      <c r="C357" s="1"/>
      <c r="D357" s="1"/>
      <c r="E357" s="1"/>
      <c r="F357" s="1"/>
      <c r="G357" s="1"/>
      <c r="H357" s="1"/>
      <c r="I357" s="1"/>
      <c r="J357" s="8"/>
      <c r="K357" s="8"/>
      <c r="L357" s="1"/>
      <c r="M357" s="1"/>
    </row>
    <row r="358" spans="1:13">
      <c r="A358" s="1"/>
      <c r="B358" s="1"/>
      <c r="C358" s="1"/>
      <c r="D358" s="1"/>
      <c r="E358" s="1"/>
      <c r="F358" s="1"/>
      <c r="G358" s="1"/>
      <c r="H358" s="1"/>
      <c r="I358" s="1"/>
      <c r="J358" s="8"/>
      <c r="K358" s="8"/>
      <c r="L358" s="1"/>
      <c r="M358" s="1"/>
    </row>
    <row r="359" spans="1:13">
      <c r="A359" s="1"/>
      <c r="B359" s="1"/>
      <c r="C359" s="1"/>
      <c r="D359" s="1"/>
      <c r="E359" s="1"/>
      <c r="F359" s="1"/>
      <c r="G359" s="1"/>
      <c r="H359" s="1"/>
      <c r="I359" s="1"/>
      <c r="J359" s="8"/>
      <c r="K359" s="8"/>
      <c r="L359" s="1"/>
      <c r="M359" s="1"/>
    </row>
    <row r="360" spans="1:13">
      <c r="A360" s="1"/>
      <c r="B360" s="1"/>
      <c r="C360" s="1"/>
      <c r="D360" s="1"/>
      <c r="E360" s="1"/>
      <c r="F360" s="1"/>
      <c r="G360" s="1"/>
      <c r="H360" s="1"/>
      <c r="I360" s="1"/>
      <c r="J360" s="8"/>
      <c r="K360" s="8"/>
      <c r="L360" s="1"/>
      <c r="M360" s="1"/>
    </row>
    <row r="361" spans="1:13">
      <c r="A361" s="1"/>
      <c r="B361" s="1"/>
      <c r="C361" s="1"/>
      <c r="D361" s="1"/>
      <c r="E361" s="1"/>
      <c r="F361" s="1"/>
      <c r="G361" s="1"/>
      <c r="H361" s="1"/>
      <c r="I361" s="1"/>
      <c r="J361" s="8"/>
      <c r="K361" s="8"/>
      <c r="L361" s="1"/>
      <c r="M361" s="1"/>
    </row>
    <row r="362" spans="1:13">
      <c r="A362" s="1"/>
      <c r="B362" s="1"/>
      <c r="C362" s="1"/>
      <c r="D362" s="1"/>
      <c r="E362" s="1"/>
      <c r="F362" s="1"/>
      <c r="G362" s="1"/>
      <c r="H362" s="1"/>
      <c r="I362" s="1"/>
      <c r="J362" s="8"/>
      <c r="K362" s="8"/>
      <c r="L362" s="1"/>
      <c r="M362" s="1"/>
    </row>
    <row r="363" spans="1:13">
      <c r="A363" s="1"/>
      <c r="B363" s="1"/>
      <c r="C363" s="1"/>
      <c r="D363" s="1"/>
      <c r="E363" s="1"/>
      <c r="F363" s="1"/>
      <c r="G363" s="1"/>
      <c r="H363" s="1"/>
      <c r="I363" s="1"/>
      <c r="J363" s="8"/>
      <c r="K363" s="8"/>
      <c r="L363" s="1"/>
      <c r="M363" s="1"/>
    </row>
    <row r="364" spans="1:13">
      <c r="A364" s="1"/>
      <c r="B364" s="1"/>
      <c r="C364" s="1"/>
      <c r="D364" s="1"/>
      <c r="E364" s="1"/>
      <c r="F364" s="1"/>
      <c r="G364" s="1"/>
      <c r="H364" s="1"/>
      <c r="I364" s="1"/>
      <c r="J364" s="8"/>
      <c r="K364" s="8"/>
      <c r="L364" s="1"/>
      <c r="M364" s="1"/>
    </row>
    <row r="365" spans="1:13">
      <c r="A365" s="1"/>
      <c r="B365" s="1"/>
      <c r="C365" s="1"/>
      <c r="D365" s="1"/>
      <c r="E365" s="1"/>
      <c r="F365" s="1"/>
      <c r="G365" s="1"/>
      <c r="H365" s="1"/>
      <c r="I365" s="1"/>
      <c r="J365" s="8"/>
      <c r="K365" s="8"/>
      <c r="L365" s="1"/>
      <c r="M365" s="1"/>
    </row>
    <row r="366" spans="1:13">
      <c r="A366" s="1"/>
      <c r="B366" s="1"/>
      <c r="C366" s="1"/>
      <c r="D366" s="1"/>
      <c r="E366" s="1"/>
      <c r="F366" s="1"/>
      <c r="G366" s="1"/>
      <c r="H366" s="1"/>
      <c r="I366" s="1"/>
      <c r="J366" s="8"/>
      <c r="K366" s="8"/>
      <c r="L366" s="1"/>
      <c r="M366" s="1"/>
    </row>
    <row r="367" spans="1:13">
      <c r="A367" s="1"/>
      <c r="B367" s="1"/>
      <c r="C367" s="1"/>
      <c r="D367" s="1"/>
      <c r="E367" s="1"/>
      <c r="F367" s="1"/>
      <c r="G367" s="1"/>
      <c r="H367" s="1"/>
      <c r="I367" s="1"/>
      <c r="J367" s="8"/>
      <c r="K367" s="8"/>
      <c r="L367" s="1"/>
      <c r="M367" s="1"/>
    </row>
    <row r="368" spans="1:13">
      <c r="A368" s="1"/>
      <c r="B368" s="1"/>
      <c r="C368" s="1"/>
      <c r="D368" s="1"/>
      <c r="E368" s="1"/>
      <c r="F368" s="1"/>
      <c r="G368" s="1"/>
      <c r="H368" s="1"/>
      <c r="I368" s="1"/>
      <c r="J368" s="8"/>
      <c r="K368" s="8"/>
      <c r="L368" s="1"/>
      <c r="M368" s="1"/>
    </row>
    <row r="369" spans="1:13">
      <c r="A369" s="1"/>
      <c r="B369" s="1"/>
      <c r="C369" s="1"/>
      <c r="D369" s="1"/>
      <c r="E369" s="1"/>
      <c r="F369" s="1"/>
      <c r="G369" s="1"/>
      <c r="H369" s="1"/>
      <c r="I369" s="1"/>
      <c r="J369" s="8"/>
      <c r="K369" s="8"/>
      <c r="L369" s="1"/>
      <c r="M369" s="1"/>
    </row>
    <row r="370" spans="1:13">
      <c r="A370" s="1"/>
      <c r="B370" s="1"/>
      <c r="C370" s="1"/>
      <c r="D370" s="1"/>
      <c r="E370" s="1"/>
      <c r="F370" s="1"/>
      <c r="G370" s="1"/>
      <c r="H370" s="1"/>
      <c r="I370" s="1"/>
      <c r="J370" s="8"/>
      <c r="K370" s="8"/>
      <c r="L370" s="1"/>
      <c r="M370" s="1"/>
    </row>
    <row r="371" spans="1:13">
      <c r="A371" s="1"/>
      <c r="B371" s="1"/>
      <c r="C371" s="1"/>
      <c r="D371" s="1"/>
      <c r="E371" s="1"/>
      <c r="F371" s="1"/>
      <c r="G371" s="1"/>
      <c r="H371" s="1"/>
      <c r="I371" s="1"/>
      <c r="J371" s="8"/>
      <c r="K371" s="8"/>
      <c r="L371" s="1"/>
      <c r="M371" s="1"/>
    </row>
    <row r="372" spans="1:13">
      <c r="A372" s="1"/>
      <c r="B372" s="1"/>
      <c r="C372" s="1"/>
      <c r="D372" s="1"/>
      <c r="E372" s="1"/>
      <c r="F372" s="1"/>
      <c r="G372" s="1"/>
      <c r="H372" s="1"/>
      <c r="I372" s="1"/>
      <c r="J372" s="8"/>
      <c r="K372" s="8"/>
      <c r="L372" s="1"/>
      <c r="M372" s="1"/>
    </row>
    <row r="373" spans="1:13">
      <c r="A373" s="1"/>
      <c r="B373" s="1"/>
      <c r="C373" s="1"/>
      <c r="D373" s="1"/>
      <c r="E373" s="1"/>
      <c r="F373" s="1"/>
      <c r="G373" s="1"/>
      <c r="H373" s="1"/>
      <c r="I373" s="1"/>
      <c r="J373" s="8"/>
      <c r="K373" s="8"/>
      <c r="L373" s="1"/>
      <c r="M373" s="1"/>
    </row>
    <row r="374" spans="1:13">
      <c r="A374" s="1"/>
      <c r="B374" s="1"/>
      <c r="C374" s="1"/>
      <c r="D374" s="1"/>
      <c r="E374" s="1"/>
      <c r="F374" s="1"/>
      <c r="G374" s="1"/>
      <c r="H374" s="1"/>
      <c r="I374" s="1"/>
      <c r="J374" s="8"/>
      <c r="K374" s="8"/>
      <c r="L374" s="1"/>
      <c r="M374" s="1"/>
    </row>
    <row r="375" spans="1:13">
      <c r="A375" s="1"/>
      <c r="B375" s="1"/>
      <c r="C375" s="1"/>
      <c r="D375" s="1"/>
      <c r="E375" s="1"/>
      <c r="F375" s="1"/>
      <c r="G375" s="1"/>
      <c r="H375" s="1"/>
      <c r="I375" s="1"/>
      <c r="J375" s="8"/>
      <c r="K375" s="8"/>
      <c r="L375" s="1"/>
      <c r="M375" s="1"/>
    </row>
    <row r="376" spans="1:13">
      <c r="A376" s="1"/>
      <c r="B376" s="1"/>
      <c r="C376" s="1"/>
      <c r="D376" s="1"/>
      <c r="E376" s="1"/>
      <c r="F376" s="1"/>
      <c r="G376" s="1"/>
      <c r="H376" s="1"/>
      <c r="I376" s="1"/>
      <c r="J376" s="8"/>
      <c r="K376" s="8"/>
      <c r="L376" s="1"/>
      <c r="M376" s="1"/>
    </row>
    <row r="377" spans="1:13">
      <c r="A377" s="1"/>
      <c r="B377" s="1"/>
      <c r="C377" s="1"/>
      <c r="D377" s="1"/>
      <c r="E377" s="1"/>
      <c r="F377" s="1"/>
      <c r="G377" s="1"/>
      <c r="H377" s="1"/>
      <c r="I377" s="1"/>
      <c r="J377" s="8"/>
      <c r="K377" s="8"/>
      <c r="L377" s="1"/>
      <c r="M377" s="1"/>
    </row>
    <row r="378" spans="1:13">
      <c r="A378" s="1"/>
      <c r="B378" s="1"/>
      <c r="C378" s="1"/>
      <c r="D378" s="1"/>
      <c r="E378" s="1"/>
      <c r="F378" s="1"/>
      <c r="G378" s="1"/>
      <c r="H378" s="1"/>
      <c r="I378" s="1"/>
      <c r="J378" s="8"/>
      <c r="K378" s="8"/>
      <c r="L378" s="1"/>
      <c r="M378" s="1"/>
    </row>
    <row r="379" spans="1:13">
      <c r="A379" s="1"/>
      <c r="B379" s="1"/>
      <c r="C379" s="1"/>
      <c r="D379" s="1"/>
      <c r="E379" s="1"/>
      <c r="F379" s="1"/>
      <c r="G379" s="1"/>
      <c r="H379" s="1"/>
      <c r="I379" s="1"/>
      <c r="J379" s="8"/>
      <c r="K379" s="8"/>
      <c r="L379" s="1"/>
      <c r="M379" s="1"/>
    </row>
    <row r="380" spans="1:13">
      <c r="A380" s="1"/>
      <c r="B380" s="1"/>
      <c r="C380" s="1"/>
      <c r="D380" s="1"/>
      <c r="E380" s="1"/>
      <c r="F380" s="1"/>
      <c r="G380" s="1"/>
      <c r="H380" s="1"/>
      <c r="I380" s="1"/>
      <c r="J380" s="8"/>
      <c r="K380" s="8"/>
      <c r="L380" s="1"/>
      <c r="M380" s="1"/>
    </row>
    <row r="381" spans="1:13">
      <c r="A381" s="1"/>
      <c r="B381" s="1"/>
      <c r="C381" s="1"/>
      <c r="D381" s="1"/>
      <c r="E381" s="1"/>
      <c r="F381" s="1"/>
      <c r="G381" s="1"/>
      <c r="H381" s="1"/>
      <c r="I381" s="1"/>
      <c r="J381" s="8"/>
      <c r="K381" s="8"/>
      <c r="L381" s="1"/>
      <c r="M381" s="1"/>
    </row>
    <row r="382" spans="1:13">
      <c r="A382" s="1"/>
      <c r="B382" s="1"/>
      <c r="C382" s="1"/>
      <c r="D382" s="1"/>
      <c r="E382" s="1"/>
      <c r="F382" s="1"/>
      <c r="G382" s="1"/>
      <c r="H382" s="1"/>
      <c r="I382" s="1"/>
      <c r="J382" s="8"/>
      <c r="K382" s="8"/>
      <c r="L382" s="1"/>
      <c r="M382" s="1"/>
    </row>
    <row r="383" spans="1:13">
      <c r="A383" s="1"/>
      <c r="B383" s="1"/>
      <c r="C383" s="1"/>
      <c r="D383" s="1"/>
      <c r="E383" s="1"/>
      <c r="F383" s="1"/>
      <c r="G383" s="1"/>
      <c r="H383" s="1"/>
      <c r="I383" s="1"/>
      <c r="J383" s="8"/>
      <c r="K383" s="8"/>
      <c r="L383" s="1"/>
      <c r="M383" s="1"/>
    </row>
    <row r="384" spans="1:13">
      <c r="A384" s="1"/>
      <c r="B384" s="1"/>
      <c r="C384" s="1"/>
      <c r="D384" s="1"/>
      <c r="E384" s="1"/>
      <c r="F384" s="1"/>
      <c r="G384" s="1"/>
      <c r="H384" s="1"/>
      <c r="I384" s="1"/>
      <c r="J384" s="8"/>
      <c r="K384" s="8"/>
      <c r="L384" s="1"/>
      <c r="M384" s="1"/>
    </row>
    <row r="385" spans="1:13">
      <c r="A385" s="1"/>
      <c r="B385" s="1"/>
      <c r="C385" s="1"/>
      <c r="D385" s="1"/>
      <c r="E385" s="1"/>
      <c r="F385" s="1"/>
      <c r="G385" s="1"/>
      <c r="H385" s="1"/>
      <c r="I385" s="1"/>
      <c r="J385" s="8"/>
      <c r="K385" s="8"/>
      <c r="L385" s="1"/>
      <c r="M385" s="1"/>
    </row>
    <row r="386" spans="1:13">
      <c r="A386" s="1"/>
      <c r="B386" s="1"/>
      <c r="C386" s="1"/>
      <c r="D386" s="1"/>
      <c r="E386" s="1"/>
      <c r="F386" s="1"/>
      <c r="G386" s="1"/>
      <c r="H386" s="1"/>
      <c r="I386" s="1"/>
      <c r="J386" s="8"/>
      <c r="K386" s="8"/>
      <c r="L386" s="1"/>
      <c r="M386" s="1"/>
    </row>
    <row r="387" spans="1:13">
      <c r="A387" s="1"/>
      <c r="B387" s="1"/>
      <c r="C387" s="1"/>
      <c r="D387" s="1"/>
      <c r="E387" s="1"/>
      <c r="F387" s="1"/>
      <c r="G387" s="1"/>
      <c r="H387" s="1"/>
      <c r="I387" s="1"/>
      <c r="J387" s="8"/>
      <c r="K387" s="8"/>
      <c r="L387" s="1"/>
      <c r="M387" s="1"/>
    </row>
    <row r="388" spans="1:13">
      <c r="A388" s="1"/>
      <c r="B388" s="1"/>
      <c r="C388" s="1"/>
      <c r="D388" s="1"/>
      <c r="E388" s="1"/>
      <c r="F388" s="1"/>
      <c r="G388" s="1"/>
      <c r="H388" s="1"/>
      <c r="I388" s="1"/>
      <c r="J388" s="8"/>
      <c r="K388" s="8"/>
      <c r="L388" s="1"/>
      <c r="M388" s="1"/>
    </row>
    <row r="389" spans="1:13">
      <c r="A389" s="1"/>
      <c r="B389" s="1"/>
      <c r="C389" s="1"/>
      <c r="D389" s="1"/>
      <c r="E389" s="1"/>
      <c r="F389" s="1"/>
      <c r="G389" s="1"/>
      <c r="H389" s="1"/>
      <c r="I389" s="1"/>
      <c r="J389" s="8"/>
      <c r="K389" s="8"/>
      <c r="L389" s="1"/>
      <c r="M389" s="1"/>
    </row>
    <row r="390" spans="1:13">
      <c r="A390" s="1"/>
      <c r="B390" s="1"/>
      <c r="C390" s="1"/>
      <c r="D390" s="1"/>
      <c r="E390" s="1"/>
      <c r="F390" s="1"/>
      <c r="G390" s="1"/>
      <c r="H390" s="1"/>
      <c r="I390" s="1"/>
      <c r="J390" s="8"/>
      <c r="K390" s="8"/>
      <c r="L390" s="1"/>
      <c r="M390" s="1"/>
    </row>
    <row r="391" spans="1:13">
      <c r="A391" s="1"/>
      <c r="B391" s="1"/>
      <c r="C391" s="1"/>
      <c r="D391" s="1"/>
      <c r="E391" s="1"/>
      <c r="F391" s="1"/>
      <c r="G391" s="1"/>
      <c r="H391" s="1"/>
      <c r="I391" s="1"/>
      <c r="J391" s="8"/>
      <c r="K391" s="8"/>
      <c r="L391" s="1"/>
      <c r="M391" s="1"/>
    </row>
    <row r="392" spans="1:13">
      <c r="A392" s="1"/>
      <c r="B392" s="1"/>
      <c r="C392" s="1"/>
      <c r="D392" s="1"/>
      <c r="E392" s="1"/>
      <c r="F392" s="1"/>
      <c r="G392" s="1"/>
      <c r="H392" s="1"/>
      <c r="I392" s="1"/>
      <c r="J392" s="8"/>
      <c r="K392" s="8"/>
      <c r="L392" s="1"/>
      <c r="M392" s="1"/>
    </row>
    <row r="393" spans="1:13">
      <c r="A393" s="1"/>
      <c r="B393" s="1"/>
      <c r="C393" s="1"/>
      <c r="D393" s="1"/>
      <c r="E393" s="1"/>
      <c r="F393" s="1"/>
      <c r="G393" s="1"/>
      <c r="H393" s="1"/>
      <c r="I393" s="1"/>
      <c r="J393" s="8"/>
      <c r="K393" s="8"/>
      <c r="L393" s="1"/>
      <c r="M393" s="1"/>
    </row>
    <row r="394" spans="1:13">
      <c r="A394" s="1"/>
      <c r="B394" s="1"/>
      <c r="C394" s="1"/>
      <c r="D394" s="1"/>
      <c r="E394" s="1"/>
      <c r="F394" s="1"/>
      <c r="G394" s="1"/>
      <c r="H394" s="1"/>
      <c r="I394" s="1"/>
      <c r="J394" s="8"/>
      <c r="K394" s="8"/>
      <c r="L394" s="1"/>
      <c r="M394" s="1"/>
    </row>
    <row r="395" spans="1:13">
      <c r="A395" s="1"/>
      <c r="B395" s="1"/>
      <c r="C395" s="1"/>
      <c r="D395" s="1"/>
      <c r="E395" s="1"/>
      <c r="F395" s="1"/>
      <c r="G395" s="1"/>
      <c r="H395" s="1"/>
      <c r="I395" s="1"/>
      <c r="J395" s="8"/>
      <c r="K395" s="8"/>
      <c r="L395" s="1"/>
      <c r="M395" s="1"/>
    </row>
    <row r="396" spans="1:13">
      <c r="A396" s="1"/>
      <c r="B396" s="1"/>
      <c r="C396" s="1"/>
      <c r="D396" s="1"/>
      <c r="E396" s="1"/>
      <c r="F396" s="1"/>
      <c r="G396" s="1"/>
      <c r="H396" s="1"/>
      <c r="I396" s="1"/>
      <c r="J396" s="8"/>
      <c r="K396" s="8"/>
      <c r="L396" s="1"/>
      <c r="M396" s="1"/>
    </row>
    <row r="397" spans="1:13">
      <c r="A397" s="1"/>
      <c r="B397" s="1"/>
      <c r="C397" s="1"/>
      <c r="D397" s="1"/>
      <c r="E397" s="1"/>
      <c r="F397" s="1"/>
      <c r="G397" s="1"/>
      <c r="H397" s="1"/>
      <c r="I397" s="1"/>
      <c r="J397" s="8"/>
      <c r="K397" s="8"/>
      <c r="L397" s="1"/>
      <c r="M397" s="1"/>
    </row>
    <row r="398" spans="1:13">
      <c r="A398" s="1"/>
      <c r="B398" s="1"/>
      <c r="C398" s="1"/>
      <c r="D398" s="1"/>
      <c r="E398" s="1"/>
      <c r="F398" s="1"/>
      <c r="G398" s="1"/>
      <c r="H398" s="1"/>
      <c r="I398" s="1"/>
      <c r="J398" s="8"/>
      <c r="K398" s="8"/>
      <c r="L398" s="1"/>
      <c r="M398" s="1"/>
    </row>
    <row r="399" spans="1:13">
      <c r="A399" s="1"/>
      <c r="B399" s="1"/>
      <c r="C399" s="1"/>
      <c r="D399" s="1"/>
      <c r="E399" s="1"/>
      <c r="F399" s="1"/>
      <c r="G399" s="1"/>
      <c r="H399" s="1"/>
      <c r="I399" s="1"/>
      <c r="J399" s="8"/>
      <c r="K399" s="8"/>
      <c r="L399" s="1"/>
      <c r="M399" s="1"/>
    </row>
    <row r="400" spans="1:13">
      <c r="A400" s="1"/>
      <c r="B400" s="1"/>
      <c r="C400" s="1"/>
      <c r="D400" s="1"/>
      <c r="E400" s="1"/>
      <c r="F400" s="1"/>
      <c r="G400" s="1"/>
      <c r="H400" s="1"/>
      <c r="I400" s="1"/>
      <c r="J400" s="8"/>
      <c r="K400" s="8"/>
      <c r="L400" s="1"/>
      <c r="M400" s="1"/>
    </row>
    <row r="401" spans="1:13">
      <c r="A401" s="1"/>
      <c r="B401" s="1"/>
      <c r="C401" s="1"/>
      <c r="D401" s="1"/>
      <c r="E401" s="1"/>
      <c r="F401" s="1"/>
      <c r="G401" s="1"/>
      <c r="H401" s="1"/>
      <c r="I401" s="1"/>
      <c r="J401" s="8"/>
      <c r="K401" s="8"/>
      <c r="L401" s="1"/>
      <c r="M401" s="1"/>
    </row>
    <row r="402" spans="1:13">
      <c r="A402" s="1"/>
      <c r="B402" s="1"/>
      <c r="C402" s="1"/>
      <c r="D402" s="1"/>
      <c r="E402" s="1"/>
      <c r="F402" s="1"/>
      <c r="G402" s="1"/>
      <c r="H402" s="1"/>
      <c r="I402" s="1"/>
      <c r="J402" s="8"/>
      <c r="K402" s="8"/>
      <c r="L402" s="1"/>
      <c r="M402" s="1"/>
    </row>
    <row r="403" spans="1:13">
      <c r="A403" s="1"/>
      <c r="B403" s="1"/>
      <c r="C403" s="1"/>
      <c r="D403" s="1"/>
      <c r="E403" s="1"/>
      <c r="F403" s="1"/>
      <c r="G403" s="1"/>
      <c r="H403" s="1"/>
      <c r="I403" s="1"/>
      <c r="J403" s="8"/>
      <c r="K403" s="8"/>
      <c r="L403" s="1"/>
      <c r="M403" s="1"/>
    </row>
    <row r="404" spans="1:13">
      <c r="A404" s="1"/>
      <c r="B404" s="1"/>
      <c r="C404" s="1"/>
      <c r="D404" s="1"/>
      <c r="E404" s="1"/>
      <c r="F404" s="1"/>
      <c r="G404" s="1"/>
      <c r="H404" s="1"/>
      <c r="I404" s="1"/>
      <c r="J404" s="8"/>
      <c r="K404" s="8"/>
      <c r="L404" s="1"/>
      <c r="M404" s="1"/>
    </row>
    <row r="405" spans="1:13">
      <c r="A405" s="1"/>
      <c r="B405" s="1"/>
      <c r="C405" s="1"/>
      <c r="D405" s="1"/>
      <c r="E405" s="1"/>
      <c r="F405" s="1"/>
      <c r="G405" s="1"/>
      <c r="H405" s="1"/>
      <c r="I405" s="1"/>
      <c r="J405" s="8"/>
      <c r="K405" s="8"/>
      <c r="L405" s="1"/>
      <c r="M405" s="1"/>
    </row>
    <row r="406" spans="1:13">
      <c r="A406" s="1"/>
      <c r="B406" s="1"/>
      <c r="C406" s="1"/>
      <c r="D406" s="1"/>
      <c r="E406" s="1"/>
      <c r="F406" s="1"/>
      <c r="G406" s="1"/>
      <c r="H406" s="1"/>
      <c r="I406" s="1"/>
      <c r="J406" s="8"/>
      <c r="K406" s="8"/>
      <c r="L406" s="1"/>
      <c r="M406" s="1"/>
    </row>
    <row r="407" spans="1:13">
      <c r="A407" s="1"/>
      <c r="B407" s="1"/>
      <c r="C407" s="1"/>
      <c r="D407" s="1"/>
      <c r="E407" s="1"/>
      <c r="F407" s="1"/>
      <c r="G407" s="1"/>
      <c r="H407" s="1"/>
      <c r="I407" s="1"/>
      <c r="J407" s="8"/>
      <c r="K407" s="8"/>
      <c r="L407" s="1"/>
      <c r="M407" s="1"/>
    </row>
    <row r="408" spans="1:13">
      <c r="A408" s="1"/>
      <c r="B408" s="1"/>
      <c r="C408" s="1"/>
      <c r="D408" s="1"/>
      <c r="E408" s="1"/>
      <c r="F408" s="1"/>
      <c r="G408" s="1"/>
      <c r="H408" s="1"/>
      <c r="I408" s="1"/>
      <c r="J408" s="8"/>
      <c r="K408" s="8"/>
      <c r="L408" s="1"/>
      <c r="M408" s="1"/>
    </row>
    <row r="409" spans="1:13">
      <c r="A409" s="1"/>
      <c r="B409" s="1"/>
      <c r="C409" s="1"/>
      <c r="D409" s="1"/>
      <c r="E409" s="1"/>
      <c r="F409" s="1"/>
      <c r="G409" s="1"/>
      <c r="H409" s="1"/>
      <c r="I409" s="1"/>
      <c r="J409" s="8"/>
      <c r="K409" s="8"/>
      <c r="L409" s="1"/>
      <c r="M409" s="1"/>
    </row>
    <row r="410" spans="1:13">
      <c r="A410" s="1"/>
      <c r="B410" s="1"/>
      <c r="C410" s="1"/>
      <c r="D410" s="1"/>
      <c r="E410" s="1"/>
      <c r="F410" s="1"/>
      <c r="G410" s="1"/>
      <c r="H410" s="1"/>
      <c r="I410" s="1"/>
      <c r="J410" s="8"/>
      <c r="K410" s="8"/>
      <c r="L410" s="1"/>
      <c r="M410" s="1"/>
    </row>
    <row r="411" spans="1:13">
      <c r="A411" s="1"/>
      <c r="B411" s="1"/>
      <c r="C411" s="1"/>
      <c r="D411" s="1"/>
      <c r="E411" s="1"/>
      <c r="F411" s="1"/>
      <c r="G411" s="1"/>
      <c r="H411" s="1"/>
      <c r="I411" s="1"/>
      <c r="J411" s="8"/>
      <c r="K411" s="8"/>
      <c r="L411" s="1"/>
      <c r="M411" s="1"/>
    </row>
    <row r="412" spans="1:13">
      <c r="A412" s="1"/>
      <c r="B412" s="1"/>
      <c r="C412" s="1"/>
      <c r="D412" s="1"/>
      <c r="E412" s="1"/>
      <c r="F412" s="1"/>
      <c r="G412" s="1"/>
      <c r="H412" s="1"/>
      <c r="I412" s="1"/>
      <c r="J412" s="8"/>
      <c r="K412" s="8"/>
      <c r="L412" s="1"/>
      <c r="M412" s="1"/>
    </row>
    <row r="413" spans="1:13">
      <c r="A413" s="1"/>
      <c r="B413" s="1"/>
      <c r="C413" s="1"/>
      <c r="D413" s="1"/>
      <c r="E413" s="1"/>
      <c r="F413" s="1"/>
      <c r="G413" s="1"/>
      <c r="H413" s="1"/>
      <c r="I413" s="1"/>
      <c r="J413" s="8"/>
      <c r="K413" s="8"/>
      <c r="L413" s="1"/>
      <c r="M413" s="1"/>
    </row>
    <row r="414" spans="1:13">
      <c r="A414" s="1"/>
      <c r="B414" s="1"/>
      <c r="C414" s="1"/>
      <c r="D414" s="1"/>
      <c r="E414" s="1"/>
      <c r="F414" s="1"/>
      <c r="G414" s="1"/>
      <c r="H414" s="1"/>
      <c r="I414" s="1"/>
      <c r="J414" s="8"/>
      <c r="K414" s="8"/>
      <c r="L414" s="1"/>
      <c r="M414" s="1"/>
    </row>
    <row r="415" spans="1:13">
      <c r="A415" s="1"/>
      <c r="B415" s="1"/>
      <c r="C415" s="1"/>
      <c r="D415" s="1"/>
      <c r="E415" s="1"/>
      <c r="F415" s="1"/>
      <c r="G415" s="1"/>
      <c r="H415" s="1"/>
      <c r="I415" s="1"/>
      <c r="J415" s="8"/>
      <c r="K415" s="8"/>
      <c r="L415" s="1"/>
      <c r="M415" s="1"/>
    </row>
    <row r="416" spans="1:13">
      <c r="A416" s="1"/>
      <c r="B416" s="1"/>
      <c r="C416" s="1"/>
      <c r="D416" s="1"/>
      <c r="E416" s="1"/>
      <c r="F416" s="1"/>
      <c r="G416" s="1"/>
      <c r="H416" s="1"/>
      <c r="I416" s="1"/>
      <c r="J416" s="8"/>
      <c r="K416" s="8"/>
      <c r="L416" s="1"/>
      <c r="M416" s="1"/>
    </row>
    <row r="417" spans="1:13">
      <c r="A417" s="1"/>
      <c r="B417" s="1"/>
      <c r="C417" s="1"/>
      <c r="D417" s="1"/>
      <c r="E417" s="1"/>
      <c r="F417" s="1"/>
      <c r="G417" s="1"/>
      <c r="H417" s="1"/>
      <c r="I417" s="1"/>
      <c r="J417" s="8"/>
      <c r="K417" s="8"/>
      <c r="L417" s="1"/>
      <c r="M417" s="1"/>
    </row>
    <row r="418" spans="1:13">
      <c r="A418" s="1"/>
      <c r="B418" s="1"/>
      <c r="C418" s="1"/>
      <c r="D418" s="1"/>
      <c r="E418" s="1"/>
      <c r="F418" s="1"/>
      <c r="G418" s="1"/>
      <c r="H418" s="1"/>
      <c r="I418" s="1"/>
      <c r="J418" s="8"/>
      <c r="K418" s="8"/>
      <c r="L418" s="1"/>
      <c r="M418" s="1"/>
    </row>
    <row r="419" spans="1:13">
      <c r="A419" s="1"/>
      <c r="B419" s="1"/>
      <c r="C419" s="1"/>
      <c r="D419" s="1"/>
      <c r="E419" s="1"/>
      <c r="F419" s="1"/>
      <c r="G419" s="1"/>
      <c r="H419" s="1"/>
      <c r="I419" s="1"/>
      <c r="J419" s="8"/>
      <c r="K419" s="8"/>
      <c r="L419" s="1"/>
      <c r="M419" s="1"/>
    </row>
    <row r="420" spans="1:13">
      <c r="A420" s="1"/>
      <c r="B420" s="1"/>
      <c r="C420" s="1"/>
      <c r="D420" s="1"/>
      <c r="E420" s="1"/>
      <c r="F420" s="1"/>
      <c r="G420" s="1"/>
      <c r="H420" s="1"/>
      <c r="I420" s="1"/>
      <c r="J420" s="8"/>
      <c r="K420" s="8"/>
      <c r="L420" s="1"/>
      <c r="M420" s="1"/>
    </row>
    <row r="421" spans="1:13">
      <c r="A421" s="1"/>
      <c r="B421" s="1"/>
      <c r="C421" s="1"/>
      <c r="D421" s="1"/>
      <c r="E421" s="1"/>
      <c r="F421" s="1"/>
      <c r="G421" s="1"/>
      <c r="H421" s="1"/>
      <c r="I421" s="1"/>
      <c r="J421" s="8"/>
      <c r="K421" s="8"/>
      <c r="L421" s="1"/>
      <c r="M421" s="1"/>
    </row>
    <row r="422" spans="1:13">
      <c r="A422" s="1"/>
      <c r="B422" s="1"/>
      <c r="C422" s="1"/>
      <c r="D422" s="1"/>
      <c r="E422" s="1"/>
      <c r="F422" s="1"/>
      <c r="G422" s="1"/>
      <c r="H422" s="1"/>
      <c r="I422" s="1"/>
      <c r="J422" s="8"/>
      <c r="K422" s="8"/>
      <c r="L422" s="1"/>
      <c r="M422" s="1"/>
    </row>
    <row r="423" spans="1:13">
      <c r="A423" s="1"/>
      <c r="B423" s="1"/>
      <c r="C423" s="1"/>
      <c r="D423" s="1"/>
      <c r="E423" s="1"/>
      <c r="F423" s="1"/>
      <c r="G423" s="1"/>
      <c r="H423" s="1"/>
      <c r="I423" s="1"/>
      <c r="J423" s="8"/>
      <c r="K423" s="8"/>
      <c r="L423" s="1"/>
      <c r="M423" s="1"/>
    </row>
    <row r="424" spans="1:13">
      <c r="A424" s="1"/>
      <c r="B424" s="1"/>
      <c r="C424" s="1"/>
      <c r="D424" s="1"/>
      <c r="E424" s="1"/>
      <c r="F424" s="1"/>
      <c r="G424" s="1"/>
      <c r="H424" s="1"/>
      <c r="I424" s="1"/>
      <c r="J424" s="8"/>
      <c r="K424" s="8"/>
      <c r="L424" s="1"/>
      <c r="M424" s="1"/>
    </row>
    <row r="425" spans="1:13">
      <c r="A425" s="1"/>
      <c r="B425" s="1"/>
      <c r="C425" s="1"/>
      <c r="D425" s="1"/>
      <c r="E425" s="1"/>
      <c r="F425" s="1"/>
      <c r="G425" s="1"/>
      <c r="H425" s="1"/>
      <c r="I425" s="1"/>
      <c r="J425" s="8"/>
      <c r="K425" s="8"/>
      <c r="L425" s="1"/>
      <c r="M425" s="1"/>
    </row>
    <row r="426" spans="1:13">
      <c r="A426" s="1"/>
      <c r="B426" s="1"/>
      <c r="C426" s="1"/>
      <c r="D426" s="1"/>
      <c r="E426" s="1"/>
      <c r="F426" s="1"/>
      <c r="G426" s="1"/>
      <c r="H426" s="1"/>
      <c r="I426" s="1"/>
      <c r="J426" s="8"/>
      <c r="K426" s="8"/>
      <c r="L426" s="1"/>
      <c r="M426" s="1"/>
    </row>
    <row r="427" spans="1:13">
      <c r="A427" s="1"/>
      <c r="B427" s="1"/>
      <c r="C427" s="1"/>
      <c r="D427" s="1"/>
      <c r="E427" s="1"/>
      <c r="F427" s="1"/>
      <c r="G427" s="1"/>
      <c r="H427" s="1"/>
      <c r="I427" s="1"/>
      <c r="J427" s="8"/>
      <c r="K427" s="8"/>
      <c r="L427" s="1"/>
      <c r="M427" s="1"/>
    </row>
    <row r="428" spans="1:13">
      <c r="A428" s="1"/>
      <c r="B428" s="1"/>
      <c r="C428" s="1"/>
      <c r="D428" s="1"/>
      <c r="E428" s="1"/>
      <c r="F428" s="1"/>
      <c r="G428" s="1"/>
      <c r="H428" s="1"/>
      <c r="I428" s="1"/>
      <c r="J428" s="8"/>
      <c r="K428" s="8"/>
      <c r="L428" s="1"/>
      <c r="M428" s="1"/>
    </row>
    <row r="429" spans="1:13">
      <c r="A429" s="1"/>
      <c r="B429" s="1"/>
      <c r="C429" s="1"/>
      <c r="D429" s="1"/>
      <c r="E429" s="1"/>
      <c r="F429" s="1"/>
      <c r="G429" s="1"/>
      <c r="H429" s="1"/>
      <c r="I429" s="1"/>
      <c r="J429" s="8"/>
      <c r="K429" s="8"/>
      <c r="L429" s="1"/>
      <c r="M429" s="1"/>
    </row>
    <row r="430" spans="1:13">
      <c r="A430" s="1"/>
      <c r="B430" s="1"/>
      <c r="C430" s="1"/>
      <c r="D430" s="1"/>
      <c r="E430" s="1"/>
      <c r="F430" s="1"/>
      <c r="G430" s="1"/>
      <c r="H430" s="1"/>
      <c r="I430" s="1"/>
      <c r="J430" s="8"/>
      <c r="K430" s="8"/>
      <c r="L430" s="1"/>
      <c r="M430" s="1"/>
    </row>
    <row r="431" spans="1:13">
      <c r="A431" s="1"/>
      <c r="B431" s="1"/>
      <c r="C431" s="1"/>
      <c r="D431" s="1"/>
      <c r="E431" s="1"/>
      <c r="F431" s="1"/>
      <c r="G431" s="1"/>
      <c r="H431" s="1"/>
      <c r="I431" s="1"/>
      <c r="J431" s="8"/>
      <c r="K431" s="8"/>
      <c r="L431" s="1"/>
      <c r="M431" s="1"/>
    </row>
    <row r="432" spans="1:13">
      <c r="A432" s="1"/>
      <c r="B432" s="1"/>
      <c r="C432" s="1"/>
      <c r="D432" s="1"/>
      <c r="E432" s="1"/>
      <c r="F432" s="1"/>
      <c r="G432" s="1"/>
      <c r="H432" s="1"/>
      <c r="I432" s="1"/>
      <c r="J432" s="8"/>
      <c r="K432" s="8"/>
      <c r="L432" s="1"/>
      <c r="M432" s="1"/>
    </row>
    <row r="433" spans="1:13">
      <c r="A433" s="1"/>
      <c r="B433" s="1"/>
      <c r="C433" s="1"/>
      <c r="D433" s="1"/>
      <c r="E433" s="1"/>
      <c r="F433" s="1"/>
      <c r="G433" s="1"/>
      <c r="H433" s="1"/>
      <c r="I433" s="1"/>
      <c r="J433" s="8"/>
      <c r="K433" s="8"/>
      <c r="L433" s="1"/>
      <c r="M433" s="1"/>
    </row>
    <row r="434" spans="1:13">
      <c r="A434" s="1"/>
      <c r="B434" s="1"/>
      <c r="C434" s="1"/>
      <c r="D434" s="1"/>
      <c r="E434" s="1"/>
      <c r="F434" s="1"/>
      <c r="G434" s="1"/>
      <c r="H434" s="1"/>
      <c r="I434" s="1"/>
      <c r="J434" s="8"/>
      <c r="K434" s="8"/>
      <c r="L434" s="1"/>
      <c r="M434" s="1"/>
    </row>
    <row r="435" spans="1:13">
      <c r="A435" s="1"/>
      <c r="B435" s="1"/>
      <c r="C435" s="1"/>
      <c r="D435" s="1"/>
      <c r="E435" s="1"/>
      <c r="F435" s="1"/>
      <c r="G435" s="1"/>
      <c r="H435" s="1"/>
      <c r="I435" s="1"/>
      <c r="J435" s="8"/>
      <c r="K435" s="8"/>
      <c r="L435" s="1"/>
      <c r="M435" s="1"/>
    </row>
    <row r="436" spans="1:13">
      <c r="A436" s="1"/>
      <c r="B436" s="1"/>
      <c r="C436" s="1"/>
      <c r="D436" s="1"/>
      <c r="E436" s="1"/>
      <c r="F436" s="1"/>
      <c r="G436" s="1"/>
      <c r="H436" s="1"/>
      <c r="I436" s="1"/>
      <c r="J436" s="8"/>
      <c r="K436" s="8"/>
      <c r="L436" s="1"/>
      <c r="M436" s="1"/>
    </row>
    <row r="437" spans="1:13">
      <c r="A437" s="1"/>
      <c r="B437" s="1"/>
      <c r="C437" s="1"/>
      <c r="D437" s="1"/>
      <c r="E437" s="1"/>
      <c r="F437" s="1"/>
      <c r="G437" s="1"/>
      <c r="H437" s="1"/>
      <c r="I437" s="1"/>
      <c r="J437" s="8"/>
      <c r="K437" s="8"/>
      <c r="L437" s="1"/>
      <c r="M437" s="1"/>
    </row>
    <row r="438" spans="1:13">
      <c r="A438" s="1"/>
      <c r="B438" s="1"/>
      <c r="C438" s="1"/>
      <c r="D438" s="1"/>
      <c r="E438" s="1"/>
      <c r="F438" s="1"/>
      <c r="G438" s="1"/>
      <c r="H438" s="1"/>
      <c r="I438" s="1"/>
      <c r="J438" s="8"/>
      <c r="K438" s="8"/>
      <c r="L438" s="1"/>
      <c r="M438" s="1"/>
    </row>
    <row r="439" spans="1:13">
      <c r="A439" s="1"/>
      <c r="B439" s="1"/>
      <c r="C439" s="1"/>
      <c r="D439" s="1"/>
      <c r="E439" s="1"/>
      <c r="F439" s="1"/>
      <c r="G439" s="1"/>
      <c r="H439" s="1"/>
      <c r="I439" s="1"/>
      <c r="J439" s="8"/>
      <c r="K439" s="8"/>
      <c r="L439" s="1"/>
      <c r="M439" s="1"/>
    </row>
    <row r="440" spans="1:13">
      <c r="A440" s="1"/>
      <c r="B440" s="1"/>
      <c r="C440" s="1"/>
      <c r="D440" s="1"/>
      <c r="E440" s="1"/>
      <c r="F440" s="1"/>
      <c r="G440" s="1"/>
      <c r="H440" s="1"/>
      <c r="I440" s="1"/>
      <c r="J440" s="8"/>
      <c r="K440" s="8"/>
      <c r="L440" s="1"/>
      <c r="M440" s="1"/>
    </row>
    <row r="441" spans="1:13">
      <c r="A441" s="1"/>
      <c r="B441" s="1"/>
      <c r="C441" s="1"/>
      <c r="D441" s="1"/>
      <c r="E441" s="1"/>
      <c r="F441" s="1"/>
      <c r="G441" s="1"/>
      <c r="H441" s="1"/>
      <c r="I441" s="1"/>
      <c r="J441" s="8"/>
      <c r="K441" s="8"/>
      <c r="L441" s="1"/>
      <c r="M441" s="1"/>
    </row>
    <row r="442" spans="1:13">
      <c r="A442" s="1"/>
      <c r="B442" s="1"/>
      <c r="C442" s="1"/>
      <c r="D442" s="1"/>
      <c r="E442" s="1"/>
      <c r="F442" s="1"/>
      <c r="G442" s="1"/>
      <c r="H442" s="1"/>
      <c r="I442" s="1"/>
      <c r="J442" s="8"/>
      <c r="K442" s="8"/>
      <c r="L442" s="1"/>
      <c r="M442" s="1"/>
    </row>
    <row r="443" spans="1:13">
      <c r="A443" s="1"/>
      <c r="B443" s="1"/>
      <c r="C443" s="1"/>
      <c r="D443" s="1"/>
      <c r="E443" s="1"/>
      <c r="F443" s="1"/>
      <c r="G443" s="1"/>
      <c r="H443" s="1"/>
      <c r="I443" s="1"/>
      <c r="J443" s="8"/>
      <c r="K443" s="8"/>
      <c r="L443" s="1"/>
      <c r="M443" s="1"/>
    </row>
    <row r="444" spans="1:13">
      <c r="A444" s="1"/>
      <c r="B444" s="1"/>
      <c r="C444" s="1"/>
      <c r="D444" s="1"/>
      <c r="E444" s="1"/>
      <c r="F444" s="1"/>
      <c r="G444" s="1"/>
      <c r="H444" s="1"/>
      <c r="I444" s="1"/>
      <c r="J444" s="8"/>
      <c r="K444" s="8"/>
      <c r="L444" s="1"/>
      <c r="M444" s="1"/>
    </row>
    <row r="445" spans="1:13">
      <c r="A445" s="1"/>
      <c r="B445" s="1"/>
      <c r="C445" s="1"/>
      <c r="D445" s="1"/>
      <c r="E445" s="1"/>
      <c r="F445" s="1"/>
      <c r="G445" s="1"/>
      <c r="H445" s="1"/>
      <c r="I445" s="1"/>
      <c r="J445" s="8"/>
      <c r="K445" s="8"/>
      <c r="L445" s="1"/>
      <c r="M445" s="1"/>
    </row>
    <row r="446" spans="1:13">
      <c r="A446" s="1"/>
      <c r="B446" s="1"/>
      <c r="C446" s="1"/>
      <c r="D446" s="1"/>
      <c r="E446" s="1"/>
      <c r="F446" s="1"/>
      <c r="G446" s="1"/>
      <c r="H446" s="1"/>
      <c r="I446" s="1"/>
      <c r="J446" s="8"/>
      <c r="K446" s="8"/>
      <c r="L446" s="1"/>
      <c r="M446" s="1"/>
    </row>
    <row r="447" spans="1:13">
      <c r="A447" s="1"/>
      <c r="B447" s="1"/>
      <c r="C447" s="1"/>
      <c r="D447" s="1"/>
      <c r="E447" s="1"/>
      <c r="F447" s="1"/>
      <c r="G447" s="1"/>
      <c r="H447" s="1"/>
      <c r="I447" s="1"/>
      <c r="J447" s="8"/>
      <c r="K447" s="8"/>
      <c r="L447" s="1"/>
      <c r="M447" s="1"/>
    </row>
    <row r="448" spans="1:13">
      <c r="A448" s="1"/>
      <c r="B448" s="1"/>
      <c r="C448" s="1"/>
      <c r="D448" s="1"/>
      <c r="E448" s="1"/>
      <c r="F448" s="1"/>
      <c r="G448" s="1"/>
      <c r="H448" s="1"/>
      <c r="I448" s="1"/>
      <c r="J448" s="8"/>
      <c r="K448" s="8"/>
      <c r="L448" s="1"/>
      <c r="M448" s="1"/>
    </row>
    <row r="449" spans="1:13">
      <c r="A449" s="1"/>
      <c r="B449" s="1"/>
      <c r="C449" s="1"/>
      <c r="D449" s="1"/>
      <c r="E449" s="1"/>
      <c r="F449" s="1"/>
      <c r="G449" s="1"/>
      <c r="H449" s="1"/>
      <c r="I449" s="1"/>
      <c r="J449" s="8"/>
      <c r="K449" s="8"/>
      <c r="L449" s="1"/>
      <c r="M449" s="1"/>
    </row>
    <row r="450" spans="1:13">
      <c r="A450" s="1"/>
      <c r="B450" s="1"/>
      <c r="C450" s="1"/>
      <c r="D450" s="1"/>
      <c r="E450" s="1"/>
      <c r="F450" s="1"/>
      <c r="G450" s="1"/>
      <c r="H450" s="1"/>
      <c r="I450" s="1"/>
      <c r="J450" s="8"/>
      <c r="K450" s="8"/>
      <c r="L450" s="1"/>
      <c r="M450" s="1"/>
    </row>
    <row r="451" spans="1:13">
      <c r="A451" s="1"/>
      <c r="B451" s="1"/>
      <c r="C451" s="1"/>
      <c r="D451" s="1"/>
      <c r="E451" s="1"/>
      <c r="F451" s="1"/>
      <c r="G451" s="1"/>
      <c r="H451" s="1"/>
      <c r="I451" s="1"/>
      <c r="J451" s="8"/>
      <c r="K451" s="8"/>
      <c r="L451" s="1"/>
      <c r="M451" s="1"/>
    </row>
    <row r="452" spans="1:13">
      <c r="A452" s="1"/>
      <c r="B452" s="1"/>
      <c r="C452" s="1"/>
      <c r="D452" s="1"/>
      <c r="E452" s="1"/>
      <c r="F452" s="1"/>
      <c r="G452" s="1"/>
      <c r="H452" s="1"/>
      <c r="I452" s="1"/>
      <c r="J452" s="8"/>
      <c r="K452" s="8"/>
      <c r="L452" s="1"/>
      <c r="M452" s="1"/>
    </row>
    <row r="453" spans="1:13">
      <c r="A453" s="1"/>
      <c r="B453" s="1"/>
      <c r="C453" s="1"/>
      <c r="D453" s="1"/>
      <c r="E453" s="1"/>
      <c r="F453" s="1"/>
      <c r="G453" s="1"/>
      <c r="H453" s="1"/>
      <c r="I453" s="1"/>
      <c r="J453" s="8"/>
      <c r="K453" s="8"/>
      <c r="L453" s="1"/>
      <c r="M453" s="1"/>
    </row>
    <row r="454" spans="1:13">
      <c r="A454" s="1"/>
      <c r="B454" s="1"/>
      <c r="C454" s="1"/>
      <c r="D454" s="1"/>
      <c r="E454" s="1"/>
      <c r="F454" s="1"/>
      <c r="G454" s="1"/>
      <c r="H454" s="1"/>
      <c r="I454" s="1"/>
      <c r="J454" s="8"/>
      <c r="K454" s="8"/>
      <c r="L454" s="1"/>
      <c r="M454" s="1"/>
    </row>
    <row r="455" spans="1:13">
      <c r="A455" s="1"/>
      <c r="B455" s="1"/>
      <c r="C455" s="1"/>
      <c r="D455" s="1"/>
      <c r="E455" s="1"/>
      <c r="F455" s="1"/>
      <c r="G455" s="1"/>
      <c r="H455" s="1"/>
      <c r="I455" s="1"/>
      <c r="J455" s="8"/>
      <c r="K455" s="8"/>
      <c r="L455" s="1"/>
      <c r="M455" s="1"/>
    </row>
    <row r="456" spans="1:13">
      <c r="A456" s="1"/>
      <c r="B456" s="1"/>
      <c r="C456" s="1"/>
      <c r="D456" s="1"/>
      <c r="E456" s="1"/>
      <c r="F456" s="1"/>
      <c r="G456" s="1"/>
      <c r="H456" s="1"/>
      <c r="I456" s="1"/>
      <c r="J456" s="8"/>
      <c r="K456" s="8"/>
      <c r="L456" s="1"/>
      <c r="M456" s="1"/>
    </row>
    <row r="457" spans="1:13">
      <c r="A457" s="1"/>
      <c r="B457" s="1"/>
      <c r="C457" s="1"/>
      <c r="D457" s="1"/>
      <c r="E457" s="1"/>
      <c r="F457" s="1"/>
      <c r="G457" s="1"/>
      <c r="H457" s="1"/>
      <c r="I457" s="1"/>
      <c r="J457" s="8"/>
      <c r="K457" s="8"/>
      <c r="L457" s="1"/>
      <c r="M457" s="1"/>
    </row>
    <row r="458" spans="1:13">
      <c r="A458" s="1"/>
      <c r="B458" s="1"/>
      <c r="C458" s="1"/>
      <c r="D458" s="1"/>
      <c r="E458" s="1"/>
      <c r="F458" s="1"/>
      <c r="G458" s="1"/>
      <c r="H458" s="1"/>
      <c r="I458" s="1"/>
      <c r="J458" s="8"/>
      <c r="K458" s="8"/>
      <c r="L458" s="1"/>
      <c r="M458" s="1"/>
    </row>
    <row r="459" spans="1:13">
      <c r="A459" s="1"/>
      <c r="B459" s="1"/>
      <c r="C459" s="1"/>
      <c r="D459" s="1"/>
      <c r="E459" s="1"/>
      <c r="F459" s="1"/>
      <c r="G459" s="1"/>
      <c r="H459" s="1"/>
      <c r="I459" s="1"/>
      <c r="J459" s="8"/>
      <c r="K459" s="8"/>
      <c r="L459" s="1"/>
      <c r="M459" s="1"/>
    </row>
    <row r="460" spans="1:13">
      <c r="A460" s="1"/>
      <c r="B460" s="1"/>
      <c r="C460" s="1"/>
      <c r="D460" s="1"/>
      <c r="E460" s="1"/>
      <c r="F460" s="1"/>
      <c r="G460" s="1"/>
      <c r="H460" s="1"/>
      <c r="I460" s="1"/>
      <c r="J460" s="8"/>
      <c r="K460" s="8"/>
      <c r="L460" s="1"/>
      <c r="M460" s="1"/>
    </row>
    <row r="461" spans="1:13">
      <c r="A461" s="1"/>
      <c r="B461" s="1"/>
      <c r="C461" s="1"/>
      <c r="D461" s="1"/>
      <c r="E461" s="1"/>
      <c r="F461" s="1"/>
      <c r="G461" s="1"/>
      <c r="H461" s="1"/>
      <c r="I461" s="1"/>
      <c r="J461" s="8"/>
      <c r="K461" s="8"/>
      <c r="L461" s="1"/>
      <c r="M461" s="1"/>
    </row>
    <row r="462" spans="1:13">
      <c r="A462" s="1"/>
      <c r="B462" s="1"/>
      <c r="C462" s="1"/>
      <c r="D462" s="1"/>
      <c r="E462" s="1"/>
      <c r="F462" s="1"/>
      <c r="G462" s="1"/>
      <c r="H462" s="1"/>
      <c r="I462" s="1"/>
      <c r="J462" s="8"/>
      <c r="K462" s="8"/>
      <c r="L462" s="1"/>
      <c r="M462" s="1"/>
    </row>
    <row r="463" spans="1:13">
      <c r="A463" s="1"/>
      <c r="B463" s="1"/>
      <c r="C463" s="1"/>
      <c r="D463" s="1"/>
      <c r="E463" s="1"/>
      <c r="F463" s="1"/>
      <c r="G463" s="1"/>
      <c r="H463" s="1"/>
      <c r="I463" s="1"/>
      <c r="J463" s="8"/>
      <c r="K463" s="8"/>
      <c r="L463" s="1"/>
      <c r="M463" s="1"/>
    </row>
    <row r="464" spans="1:13">
      <c r="A464" s="1"/>
      <c r="B464" s="1"/>
      <c r="C464" s="1"/>
      <c r="D464" s="1"/>
      <c r="E464" s="1"/>
      <c r="F464" s="1"/>
      <c r="G464" s="1"/>
      <c r="H464" s="1"/>
      <c r="I464" s="1"/>
      <c r="J464" s="8"/>
      <c r="K464" s="8"/>
      <c r="L464" s="1"/>
      <c r="M464" s="1"/>
    </row>
    <row r="465" spans="1:13">
      <c r="A465" s="1"/>
      <c r="B465" s="1"/>
      <c r="C465" s="1"/>
      <c r="D465" s="1"/>
      <c r="E465" s="1"/>
      <c r="F465" s="1"/>
      <c r="G465" s="1"/>
      <c r="H465" s="1"/>
      <c r="I465" s="1"/>
      <c r="J465" s="8"/>
      <c r="K465" s="8"/>
      <c r="L465" s="1"/>
      <c r="M465" s="1"/>
    </row>
    <row r="466" spans="1:13">
      <c r="A466" s="1"/>
      <c r="B466" s="1"/>
      <c r="C466" s="1"/>
      <c r="D466" s="1"/>
      <c r="E466" s="1"/>
      <c r="F466" s="1"/>
      <c r="G466" s="1"/>
      <c r="H466" s="1"/>
      <c r="I466" s="1"/>
      <c r="J466" s="8"/>
      <c r="K466" s="8"/>
      <c r="L466" s="1"/>
      <c r="M466" s="1"/>
    </row>
    <row r="467" spans="1:13">
      <c r="A467" s="1"/>
      <c r="B467" s="1"/>
      <c r="C467" s="1"/>
      <c r="D467" s="1"/>
      <c r="E467" s="1"/>
      <c r="F467" s="1"/>
      <c r="G467" s="1"/>
      <c r="H467" s="1"/>
      <c r="I467" s="1"/>
      <c r="J467" s="8"/>
      <c r="K467" s="8"/>
      <c r="L467" s="1"/>
      <c r="M467" s="1"/>
    </row>
    <row r="468" spans="1:13">
      <c r="A468" s="1"/>
      <c r="B468" s="1"/>
      <c r="C468" s="1"/>
      <c r="D468" s="1"/>
      <c r="E468" s="1"/>
      <c r="F468" s="1"/>
      <c r="G468" s="1"/>
      <c r="H468" s="1"/>
      <c r="I468" s="1"/>
      <c r="J468" s="8"/>
      <c r="K468" s="8"/>
      <c r="L468" s="1"/>
      <c r="M468" s="1"/>
    </row>
    <row r="469" spans="1:13">
      <c r="A469" s="1"/>
      <c r="B469" s="1"/>
      <c r="C469" s="1"/>
      <c r="D469" s="1"/>
      <c r="E469" s="1"/>
      <c r="F469" s="1"/>
      <c r="G469" s="1"/>
      <c r="H469" s="1"/>
      <c r="I469" s="1"/>
      <c r="J469" s="8"/>
      <c r="K469" s="8"/>
      <c r="L469" s="1"/>
      <c r="M469" s="1"/>
    </row>
    <row r="470" spans="1:13">
      <c r="A470" s="1"/>
      <c r="B470" s="1"/>
      <c r="C470" s="1"/>
      <c r="D470" s="1"/>
      <c r="E470" s="1"/>
      <c r="F470" s="1"/>
      <c r="G470" s="1"/>
      <c r="H470" s="1"/>
      <c r="I470" s="1"/>
      <c r="J470" s="8"/>
      <c r="K470" s="8"/>
      <c r="L470" s="1"/>
      <c r="M470" s="1"/>
    </row>
    <row r="471" spans="1:13">
      <c r="A471" s="1"/>
      <c r="B471" s="1"/>
      <c r="C471" s="1"/>
      <c r="D471" s="1"/>
      <c r="E471" s="1"/>
      <c r="F471" s="1"/>
      <c r="G471" s="1"/>
      <c r="H471" s="1"/>
      <c r="I471" s="1"/>
      <c r="J471" s="8"/>
      <c r="K471" s="8"/>
      <c r="L471" s="1"/>
      <c r="M471" s="1"/>
    </row>
    <row r="472" spans="1:13">
      <c r="A472" s="1"/>
      <c r="B472" s="1"/>
      <c r="C472" s="1"/>
      <c r="D472" s="1"/>
      <c r="E472" s="1"/>
      <c r="F472" s="1"/>
      <c r="G472" s="1"/>
      <c r="H472" s="1"/>
      <c r="I472" s="1"/>
      <c r="J472" s="8"/>
      <c r="K472" s="8"/>
      <c r="L472" s="1"/>
      <c r="M472" s="1"/>
    </row>
    <row r="473" spans="1:13">
      <c r="A473" s="1"/>
      <c r="B473" s="1"/>
      <c r="C473" s="1"/>
      <c r="D473" s="1"/>
      <c r="E473" s="1"/>
      <c r="F473" s="1"/>
      <c r="G473" s="1"/>
      <c r="H473" s="1"/>
      <c r="I473" s="1"/>
      <c r="J473" s="8"/>
      <c r="K473" s="8"/>
      <c r="L473" s="1"/>
      <c r="M473" s="1"/>
    </row>
    <row r="474" spans="1:13">
      <c r="A474" s="1"/>
      <c r="B474" s="1"/>
      <c r="C474" s="1"/>
      <c r="D474" s="1"/>
      <c r="E474" s="1"/>
      <c r="F474" s="1"/>
      <c r="G474" s="1"/>
      <c r="H474" s="1"/>
      <c r="I474" s="1"/>
      <c r="J474" s="8"/>
      <c r="K474" s="8"/>
      <c r="L474" s="1"/>
      <c r="M474" s="1"/>
    </row>
    <row r="475" spans="1:13">
      <c r="A475" s="1"/>
      <c r="B475" s="1"/>
      <c r="C475" s="1"/>
      <c r="D475" s="1"/>
      <c r="E475" s="1"/>
      <c r="F475" s="1"/>
      <c r="G475" s="1"/>
      <c r="H475" s="1"/>
      <c r="I475" s="1"/>
      <c r="J475" s="8"/>
      <c r="K475" s="8"/>
      <c r="L475" s="1"/>
      <c r="M475" s="1"/>
    </row>
    <row r="476" spans="1:13">
      <c r="A476" s="1"/>
      <c r="B476" s="1"/>
      <c r="C476" s="1"/>
      <c r="D476" s="1"/>
      <c r="E476" s="1"/>
      <c r="F476" s="1"/>
      <c r="G476" s="1"/>
      <c r="H476" s="1"/>
      <c r="I476" s="1"/>
      <c r="J476" s="8"/>
      <c r="K476" s="8"/>
      <c r="L476" s="1"/>
      <c r="M476" s="1"/>
    </row>
    <row r="477" spans="1:13">
      <c r="A477" s="1"/>
      <c r="B477" s="1"/>
      <c r="C477" s="1"/>
      <c r="D477" s="1"/>
      <c r="E477" s="1"/>
      <c r="F477" s="1"/>
      <c r="G477" s="1"/>
      <c r="H477" s="1"/>
      <c r="I477" s="1"/>
      <c r="J477" s="8"/>
      <c r="K477" s="8"/>
      <c r="L477" s="1"/>
      <c r="M477" s="1"/>
    </row>
    <row r="478" spans="1:13">
      <c r="A478" s="1"/>
      <c r="B478" s="1"/>
      <c r="C478" s="1"/>
      <c r="D478" s="1"/>
      <c r="E478" s="1"/>
      <c r="F478" s="1"/>
      <c r="G478" s="1"/>
      <c r="H478" s="1"/>
      <c r="I478" s="1"/>
      <c r="J478" s="8"/>
      <c r="K478" s="8"/>
      <c r="L478" s="1"/>
      <c r="M478" s="1"/>
    </row>
    <row r="479" spans="1:13">
      <c r="A479" s="1"/>
      <c r="B479" s="1"/>
      <c r="C479" s="1"/>
      <c r="D479" s="1"/>
      <c r="E479" s="1"/>
      <c r="F479" s="1"/>
      <c r="G479" s="1"/>
      <c r="H479" s="1"/>
      <c r="I479" s="1"/>
      <c r="J479" s="8"/>
      <c r="K479" s="8"/>
      <c r="L479" s="1"/>
      <c r="M479" s="1"/>
    </row>
    <row r="480" spans="1:13">
      <c r="A480" s="1"/>
      <c r="B480" s="1"/>
      <c r="C480" s="1"/>
      <c r="D480" s="1"/>
      <c r="E480" s="1"/>
      <c r="F480" s="1"/>
      <c r="G480" s="1"/>
      <c r="H480" s="1"/>
      <c r="I480" s="1"/>
      <c r="J480" s="8"/>
      <c r="K480" s="8"/>
      <c r="L480" s="1"/>
      <c r="M480" s="1"/>
    </row>
    <row r="481" spans="1:13">
      <c r="A481" s="1"/>
      <c r="B481" s="1"/>
      <c r="C481" s="1"/>
      <c r="D481" s="1"/>
      <c r="E481" s="1"/>
      <c r="F481" s="1"/>
      <c r="G481" s="1"/>
      <c r="H481" s="1"/>
      <c r="I481" s="1"/>
      <c r="J481" s="8"/>
      <c r="K481" s="8"/>
      <c r="L481" s="1"/>
      <c r="M481" s="1"/>
    </row>
    <row r="482" spans="1:13">
      <c r="A482" s="1"/>
      <c r="B482" s="1"/>
      <c r="C482" s="1"/>
      <c r="D482" s="1"/>
      <c r="E482" s="1"/>
      <c r="F482" s="1"/>
      <c r="G482" s="1"/>
      <c r="H482" s="1"/>
      <c r="I482" s="1"/>
      <c r="J482" s="8"/>
      <c r="K482" s="8"/>
      <c r="L482" s="1"/>
      <c r="M482" s="1"/>
    </row>
    <row r="483" spans="1:13">
      <c r="A483" s="1"/>
      <c r="B483" s="1"/>
      <c r="C483" s="1"/>
      <c r="D483" s="1"/>
      <c r="E483" s="1"/>
      <c r="F483" s="1"/>
      <c r="G483" s="1"/>
      <c r="H483" s="1"/>
      <c r="I483" s="1"/>
      <c r="J483" s="8"/>
      <c r="K483" s="8"/>
      <c r="L483" s="1"/>
      <c r="M483" s="1"/>
    </row>
    <row r="484" spans="1:13">
      <c r="A484" s="1"/>
      <c r="B484" s="1"/>
      <c r="C484" s="1"/>
      <c r="D484" s="1"/>
      <c r="E484" s="1"/>
      <c r="F484" s="1"/>
      <c r="G484" s="1"/>
      <c r="H484" s="1"/>
      <c r="I484" s="1"/>
      <c r="J484" s="8"/>
      <c r="K484" s="8"/>
      <c r="L484" s="1"/>
      <c r="M484" s="1"/>
    </row>
    <row r="485" spans="1:13">
      <c r="A485" s="1"/>
      <c r="B485" s="1"/>
      <c r="C485" s="1"/>
      <c r="D485" s="1"/>
      <c r="E485" s="1"/>
      <c r="F485" s="1"/>
      <c r="G485" s="1"/>
      <c r="H485" s="1"/>
      <c r="I485" s="1"/>
      <c r="J485" s="8"/>
      <c r="K485" s="8"/>
      <c r="L485" s="1"/>
      <c r="M485" s="1"/>
    </row>
    <row r="486" spans="1:13">
      <c r="A486" s="1"/>
      <c r="B486" s="1"/>
      <c r="C486" s="1"/>
      <c r="D486" s="1"/>
      <c r="E486" s="1"/>
      <c r="F486" s="1"/>
      <c r="G486" s="1"/>
      <c r="H486" s="1"/>
      <c r="I486" s="1"/>
      <c r="J486" s="8"/>
      <c r="K486" s="8"/>
      <c r="L486" s="1"/>
      <c r="M486" s="1"/>
    </row>
    <row r="487" spans="1:13">
      <c r="A487" s="1"/>
      <c r="B487" s="1"/>
      <c r="C487" s="1"/>
      <c r="D487" s="1"/>
      <c r="E487" s="1"/>
      <c r="F487" s="1"/>
      <c r="G487" s="1"/>
      <c r="H487" s="1"/>
      <c r="I487" s="1"/>
      <c r="J487" s="8"/>
      <c r="K487" s="8"/>
      <c r="L487" s="1"/>
      <c r="M487" s="1"/>
    </row>
    <row r="488" spans="1:13">
      <c r="A488" s="1"/>
      <c r="B488" s="1"/>
      <c r="C488" s="1"/>
      <c r="D488" s="1"/>
      <c r="E488" s="1"/>
      <c r="F488" s="1"/>
      <c r="G488" s="1"/>
      <c r="H488" s="1"/>
      <c r="I488" s="1"/>
      <c r="J488" s="8"/>
      <c r="K488" s="8"/>
      <c r="L488" s="1"/>
      <c r="M488" s="1"/>
    </row>
    <row r="489" spans="1:13">
      <c r="A489" s="1"/>
      <c r="B489" s="1"/>
      <c r="C489" s="1"/>
      <c r="D489" s="1"/>
      <c r="E489" s="1"/>
      <c r="F489" s="1"/>
      <c r="G489" s="1"/>
      <c r="H489" s="1"/>
      <c r="I489" s="1"/>
      <c r="J489" s="8"/>
      <c r="K489" s="8"/>
      <c r="L489" s="1"/>
      <c r="M489" s="1"/>
    </row>
    <row r="490" spans="1:13">
      <c r="A490" s="1"/>
      <c r="B490" s="1"/>
      <c r="C490" s="1"/>
      <c r="D490" s="1"/>
      <c r="E490" s="1"/>
      <c r="F490" s="1"/>
      <c r="G490" s="1"/>
      <c r="H490" s="1"/>
      <c r="I490" s="1"/>
      <c r="J490" s="8"/>
      <c r="K490" s="8"/>
      <c r="L490" s="1"/>
      <c r="M490" s="1"/>
    </row>
    <row r="491" spans="1:13">
      <c r="A491" s="1"/>
      <c r="B491" s="1"/>
      <c r="C491" s="1"/>
      <c r="D491" s="1"/>
      <c r="E491" s="1"/>
      <c r="F491" s="1"/>
      <c r="G491" s="1"/>
      <c r="H491" s="1"/>
      <c r="I491" s="1"/>
      <c r="J491" s="8"/>
      <c r="K491" s="8"/>
      <c r="L491" s="1"/>
      <c r="M491" s="1"/>
    </row>
    <row r="492" spans="1:13">
      <c r="A492" s="1"/>
      <c r="B492" s="1"/>
      <c r="C492" s="1"/>
      <c r="D492" s="1"/>
      <c r="E492" s="1"/>
      <c r="F492" s="1"/>
      <c r="G492" s="1"/>
      <c r="H492" s="1"/>
      <c r="I492" s="1"/>
      <c r="J492" s="8"/>
      <c r="K492" s="8"/>
      <c r="L492" s="1"/>
      <c r="M492" s="1"/>
    </row>
    <row r="493" spans="1:13">
      <c r="A493" s="1"/>
      <c r="B493" s="1"/>
      <c r="C493" s="1"/>
      <c r="D493" s="1"/>
      <c r="E493" s="1"/>
      <c r="F493" s="1"/>
      <c r="G493" s="1"/>
      <c r="H493" s="1"/>
      <c r="I493" s="1"/>
      <c r="J493" s="8"/>
      <c r="K493" s="8"/>
      <c r="L493" s="1"/>
      <c r="M493" s="1"/>
    </row>
    <row r="494" spans="1:13">
      <c r="A494" s="1"/>
      <c r="B494" s="1"/>
      <c r="C494" s="1"/>
      <c r="D494" s="1"/>
      <c r="E494" s="1"/>
      <c r="F494" s="1"/>
      <c r="G494" s="1"/>
      <c r="H494" s="1"/>
      <c r="I494" s="1"/>
      <c r="J494" s="8"/>
      <c r="K494" s="8"/>
      <c r="L494" s="1"/>
      <c r="M494" s="1"/>
    </row>
    <row r="495" spans="1:13">
      <c r="A495" s="1"/>
      <c r="B495" s="1"/>
      <c r="C495" s="1"/>
      <c r="D495" s="1"/>
      <c r="E495" s="1"/>
      <c r="F495" s="1"/>
      <c r="G495" s="1"/>
      <c r="H495" s="1"/>
      <c r="I495" s="1"/>
      <c r="J495" s="8"/>
      <c r="K495" s="8"/>
      <c r="L495" s="1"/>
      <c r="M495" s="1"/>
    </row>
    <row r="496" spans="1:13">
      <c r="A496" s="1"/>
      <c r="B496" s="1"/>
      <c r="C496" s="1"/>
      <c r="D496" s="1"/>
      <c r="E496" s="1"/>
      <c r="F496" s="1"/>
      <c r="G496" s="1"/>
      <c r="H496" s="1"/>
      <c r="I496" s="1"/>
      <c r="J496" s="8"/>
      <c r="K496" s="8"/>
      <c r="L496" s="1"/>
      <c r="M496" s="1"/>
    </row>
    <row r="497" spans="1:13">
      <c r="A497" s="1"/>
      <c r="B497" s="1"/>
      <c r="C497" s="1"/>
      <c r="D497" s="1"/>
      <c r="E497" s="1"/>
      <c r="F497" s="1"/>
      <c r="G497" s="1"/>
      <c r="H497" s="1"/>
      <c r="I497" s="1"/>
      <c r="J497" s="8"/>
      <c r="K497" s="8"/>
      <c r="L497" s="1"/>
      <c r="M497" s="1"/>
    </row>
  </sheetData>
  <dataValidations count="7">
    <dataValidation type="list" allowBlank="1" showErrorMessage="1" errorTitle="Valeur non autorisée" error="Veuillez choisir une valeur depuis la liste dynamique REF_TRIMESTRES." sqref="C2:C1000" xr:uid="{00000000-0002-0000-0500-000000000000}">
      <formula1>REF_TRIMESTRES</formula1>
    </dataValidation>
    <dataValidation type="list" allowBlank="1" showErrorMessage="1" errorTitle="Valeur non autorisée" error="Veuillez choisir une valeur depuis la liste dynamique REF_CYCLES." sqref="D2:D1000" xr:uid="{00000000-0002-0000-0500-000001000000}">
      <formula1>REF_CYCLES</formula1>
    </dataValidation>
    <dataValidation type="list" allowBlank="1" showErrorMessage="1" errorTitle="Valeur non autorisée" error="Veuillez choisir une valeur depuis la liste dynamique REF_AGENCES." sqref="E2:E1000" xr:uid="{00000000-0002-0000-0500-000002000000}">
      <formula1>REF_AGENCES</formula1>
    </dataValidation>
    <dataValidation type="list" allowBlank="1" showErrorMessage="1" errorTitle="Valeur non autorisée" error="Veuillez choisir une valeur depuis la liste dynamique REF_TYPES_MISSION." sqref="F2:F1000" xr:uid="{00000000-0002-0000-0500-000003000000}">
      <formula1>REF_TYPES_MISSION</formula1>
    </dataValidation>
    <dataValidation type="list" allowBlank="1" showErrorMessage="1" errorTitle="Valeur non autorisée" error="Veuillez choisir une valeur depuis la liste dynamique REF_FREQUENCES." sqref="H2:H1000" xr:uid="{00000000-0002-0000-0500-000004000000}">
      <formula1>REF_FREQUENCES</formula1>
    </dataValidation>
    <dataValidation type="list" allowBlank="1" showErrorMessage="1" errorTitle="Valeur non autorisée" error="Veuillez choisir une valeur depuis la liste dynamique REF_RESPONSABLES." sqref="I2:I1000" xr:uid="{00000000-0002-0000-0500-000005000000}">
      <formula1>REF_RESPONSABLES</formula1>
    </dataValidation>
    <dataValidation type="list" allowBlank="1" showErrorMessage="1" errorTitle="Valeur non autorisée" error="Veuillez choisir une valeur depuis la liste dynamique REF_STATUTS_ACTION." sqref="L2:L1000" xr:uid="{00000000-0002-0000-0500-000006000000}">
      <formula1>REF_STATUTS_ACTION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97"/>
  <sheetViews>
    <sheetView workbookViewId="0"/>
  </sheetViews>
  <sheetFormatPr baseColWidth="10" defaultColWidth="9" defaultRowHeight="14.25"/>
  <cols>
    <col min="1" max="1" width="12" customWidth="1"/>
    <col min="2" max="2" width="30" customWidth="1"/>
    <col min="3" max="5" width="34" customWidth="1"/>
    <col min="6" max="7" width="12" customWidth="1"/>
    <col min="8" max="8" width="10" customWidth="1"/>
    <col min="9" max="9" width="12" customWidth="1"/>
    <col min="10" max="10" width="14" customWidth="1"/>
    <col min="11" max="11" width="30" customWidth="1"/>
    <col min="12" max="12" width="36" customWidth="1"/>
    <col min="13" max="13" width="20" customWidth="1"/>
    <col min="14" max="14" width="16" customWidth="1"/>
  </cols>
  <sheetData>
    <row r="1" spans="1:14" ht="32.1" customHeight="1">
      <c r="A1" s="2" t="s">
        <v>27</v>
      </c>
      <c r="B1" s="2" t="s">
        <v>18</v>
      </c>
      <c r="C1" s="2" t="s">
        <v>224</v>
      </c>
      <c r="D1" s="2" t="s">
        <v>225</v>
      </c>
      <c r="E1" s="2" t="s">
        <v>226</v>
      </c>
      <c r="F1" s="2" t="s">
        <v>227</v>
      </c>
      <c r="G1" s="2" t="s">
        <v>228</v>
      </c>
      <c r="H1" s="2" t="s">
        <v>229</v>
      </c>
      <c r="I1" s="2" t="s">
        <v>230</v>
      </c>
      <c r="J1" s="2" t="s">
        <v>231</v>
      </c>
      <c r="K1" s="2" t="s">
        <v>232</v>
      </c>
      <c r="L1" s="2" t="s">
        <v>233</v>
      </c>
      <c r="M1" s="2" t="s">
        <v>196</v>
      </c>
      <c r="N1" s="2" t="s">
        <v>198</v>
      </c>
    </row>
    <row r="2" spans="1:14" ht="28.5">
      <c r="A2" s="1" t="s">
        <v>234</v>
      </c>
      <c r="B2" s="1" t="s">
        <v>56</v>
      </c>
      <c r="C2" s="1" t="s">
        <v>235</v>
      </c>
      <c r="D2" s="1" t="s">
        <v>236</v>
      </c>
      <c r="E2" s="1" t="s">
        <v>237</v>
      </c>
      <c r="F2" s="1">
        <v>4</v>
      </c>
      <c r="G2" s="1">
        <v>5</v>
      </c>
      <c r="H2" s="6">
        <f t="shared" ref="H2:H65" si="0">IF(OR(F2="",G2=""),"",F2*G2)</f>
        <v>20</v>
      </c>
      <c r="I2" s="1" t="str">
        <f t="shared" ref="I2:I65" si="1">IF(H2="","",IF(H2&gt;=20,"Critique",IF(H2&gt;=12,"Élevé",IF(H2&gt;=6,"Moyen","Faible"))))</f>
        <v>Critique</v>
      </c>
      <c r="J2" s="1" t="s">
        <v>72</v>
      </c>
      <c r="K2" s="1" t="s">
        <v>238</v>
      </c>
      <c r="L2" s="1" t="s">
        <v>239</v>
      </c>
      <c r="M2" s="1" t="s">
        <v>90</v>
      </c>
      <c r="N2" s="1" t="s">
        <v>75</v>
      </c>
    </row>
    <row r="3" spans="1:14">
      <c r="A3" s="1" t="s">
        <v>240</v>
      </c>
      <c r="B3" s="1" t="s">
        <v>82</v>
      </c>
      <c r="C3" s="1" t="s">
        <v>241</v>
      </c>
      <c r="D3" s="1" t="s">
        <v>242</v>
      </c>
      <c r="E3" s="1" t="s">
        <v>243</v>
      </c>
      <c r="F3" s="1">
        <v>4</v>
      </c>
      <c r="G3" s="1">
        <v>5</v>
      </c>
      <c r="H3" s="6">
        <f t="shared" si="0"/>
        <v>20</v>
      </c>
      <c r="I3" s="1" t="str">
        <f t="shared" si="1"/>
        <v>Critique</v>
      </c>
      <c r="J3" s="1" t="s">
        <v>59</v>
      </c>
      <c r="K3" s="1" t="s">
        <v>244</v>
      </c>
      <c r="L3" s="1" t="s">
        <v>245</v>
      </c>
      <c r="M3" s="1" t="s">
        <v>77</v>
      </c>
      <c r="N3" s="1" t="s">
        <v>75</v>
      </c>
    </row>
    <row r="4" spans="1:14" ht="28.5">
      <c r="A4" s="1" t="s">
        <v>246</v>
      </c>
      <c r="B4" s="1" t="s">
        <v>122</v>
      </c>
      <c r="C4" s="1" t="s">
        <v>247</v>
      </c>
      <c r="D4" s="1" t="s">
        <v>248</v>
      </c>
      <c r="E4" s="1" t="s">
        <v>249</v>
      </c>
      <c r="F4" s="1">
        <v>3</v>
      </c>
      <c r="G4" s="1">
        <v>5</v>
      </c>
      <c r="H4" s="6">
        <f t="shared" si="0"/>
        <v>15</v>
      </c>
      <c r="I4" s="1" t="str">
        <f t="shared" si="1"/>
        <v>Élevé</v>
      </c>
      <c r="J4" s="1" t="s">
        <v>59</v>
      </c>
      <c r="K4" s="1" t="s">
        <v>250</v>
      </c>
      <c r="L4" s="1" t="s">
        <v>251</v>
      </c>
      <c r="M4" s="1" t="s">
        <v>121</v>
      </c>
      <c r="N4" s="1" t="s">
        <v>62</v>
      </c>
    </row>
    <row r="5" spans="1:14" ht="28.5">
      <c r="A5" s="1" t="s">
        <v>252</v>
      </c>
      <c r="B5" s="1" t="s">
        <v>94</v>
      </c>
      <c r="C5" s="1" t="s">
        <v>253</v>
      </c>
      <c r="D5" s="1" t="s">
        <v>254</v>
      </c>
      <c r="E5" s="1" t="s">
        <v>255</v>
      </c>
      <c r="F5" s="1">
        <v>3</v>
      </c>
      <c r="G5" s="1">
        <v>4</v>
      </c>
      <c r="H5" s="6">
        <f t="shared" si="0"/>
        <v>12</v>
      </c>
      <c r="I5" s="1" t="str">
        <f t="shared" si="1"/>
        <v>Élevé</v>
      </c>
      <c r="J5" s="1" t="s">
        <v>72</v>
      </c>
      <c r="K5" s="1" t="s">
        <v>256</v>
      </c>
      <c r="L5" s="1" t="s">
        <v>257</v>
      </c>
      <c r="M5" s="1" t="s">
        <v>102</v>
      </c>
      <c r="N5" s="1" t="s">
        <v>75</v>
      </c>
    </row>
    <row r="6" spans="1:14">
      <c r="A6" s="1"/>
      <c r="B6" s="1"/>
      <c r="C6" s="1"/>
      <c r="D6" s="1"/>
      <c r="E6" s="1"/>
      <c r="F6" s="1"/>
      <c r="G6" s="1"/>
      <c r="H6" s="6" t="str">
        <f t="shared" si="0"/>
        <v/>
      </c>
      <c r="I6" s="1" t="str">
        <f t="shared" si="1"/>
        <v/>
      </c>
      <c r="J6" s="1"/>
      <c r="K6" s="1"/>
      <c r="L6" s="1"/>
      <c r="M6" s="1"/>
      <c r="N6" s="1"/>
    </row>
    <row r="7" spans="1:14">
      <c r="A7" s="1"/>
      <c r="B7" s="1"/>
      <c r="C7" s="1"/>
      <c r="D7" s="1"/>
      <c r="E7" s="1"/>
      <c r="F7" s="1"/>
      <c r="G7" s="1"/>
      <c r="H7" s="6" t="str">
        <f t="shared" si="0"/>
        <v/>
      </c>
      <c r="I7" s="1" t="str">
        <f t="shared" si="1"/>
        <v/>
      </c>
      <c r="J7" s="1"/>
      <c r="K7" s="1"/>
      <c r="L7" s="1"/>
      <c r="M7" s="1"/>
      <c r="N7" s="1"/>
    </row>
    <row r="8" spans="1:14">
      <c r="A8" s="1"/>
      <c r="B8" s="1"/>
      <c r="C8" s="1"/>
      <c r="D8" s="1"/>
      <c r="E8" s="1"/>
      <c r="F8" s="1"/>
      <c r="G8" s="1"/>
      <c r="H8" s="6" t="str">
        <f t="shared" si="0"/>
        <v/>
      </c>
      <c r="I8" s="1" t="str">
        <f t="shared" si="1"/>
        <v/>
      </c>
      <c r="J8" s="1"/>
      <c r="K8" s="1"/>
      <c r="L8" s="1"/>
      <c r="M8" s="1"/>
      <c r="N8" s="1"/>
    </row>
    <row r="9" spans="1:14">
      <c r="A9" s="1"/>
      <c r="B9" s="1"/>
      <c r="C9" s="1"/>
      <c r="D9" s="1"/>
      <c r="E9" s="1"/>
      <c r="F9" s="1"/>
      <c r="G9" s="1"/>
      <c r="H9" s="6" t="str">
        <f t="shared" si="0"/>
        <v/>
      </c>
      <c r="I9" s="1" t="str">
        <f t="shared" si="1"/>
        <v/>
      </c>
      <c r="J9" s="1"/>
      <c r="K9" s="1"/>
      <c r="L9" s="1"/>
      <c r="M9" s="1"/>
      <c r="N9" s="1"/>
    </row>
    <row r="10" spans="1:14">
      <c r="A10" s="1"/>
      <c r="B10" s="1"/>
      <c r="C10" s="1"/>
      <c r="D10" s="1"/>
      <c r="E10" s="1"/>
      <c r="F10" s="1"/>
      <c r="G10" s="1"/>
      <c r="H10" s="6" t="str">
        <f t="shared" si="0"/>
        <v/>
      </c>
      <c r="I10" s="1" t="str">
        <f t="shared" si="1"/>
        <v/>
      </c>
      <c r="J10" s="1"/>
      <c r="K10" s="1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6" t="str">
        <f t="shared" si="0"/>
        <v/>
      </c>
      <c r="I11" s="1" t="str">
        <f t="shared" si="1"/>
        <v/>
      </c>
      <c r="J11" s="1"/>
      <c r="K11" s="1"/>
      <c r="L11" s="1"/>
      <c r="M11" s="1"/>
      <c r="N11" s="1"/>
    </row>
    <row r="12" spans="1:14">
      <c r="A12" s="1"/>
      <c r="B12" s="1"/>
      <c r="C12" s="1"/>
      <c r="D12" s="1"/>
      <c r="E12" s="1"/>
      <c r="F12" s="1"/>
      <c r="G12" s="1"/>
      <c r="H12" s="6" t="str">
        <f t="shared" si="0"/>
        <v/>
      </c>
      <c r="I12" s="1" t="str">
        <f t="shared" si="1"/>
        <v/>
      </c>
      <c r="J12" s="1"/>
      <c r="K12" s="1"/>
      <c r="L12" s="1"/>
      <c r="M12" s="1"/>
      <c r="N12" s="1"/>
    </row>
    <row r="13" spans="1:14">
      <c r="A13" s="1"/>
      <c r="B13" s="1"/>
      <c r="C13" s="1"/>
      <c r="D13" s="1"/>
      <c r="E13" s="1"/>
      <c r="F13" s="1"/>
      <c r="G13" s="1"/>
      <c r="H13" s="6" t="str">
        <f t="shared" si="0"/>
        <v/>
      </c>
      <c r="I13" s="1" t="str">
        <f t="shared" si="1"/>
        <v/>
      </c>
      <c r="J13" s="1"/>
      <c r="K13" s="1"/>
      <c r="L13" s="1"/>
      <c r="M13" s="1"/>
      <c r="N13" s="1"/>
    </row>
    <row r="14" spans="1:14">
      <c r="A14" s="1"/>
      <c r="B14" s="1"/>
      <c r="C14" s="1"/>
      <c r="D14" s="1"/>
      <c r="E14" s="1"/>
      <c r="F14" s="1"/>
      <c r="G14" s="1"/>
      <c r="H14" s="6" t="str">
        <f t="shared" si="0"/>
        <v/>
      </c>
      <c r="I14" s="1" t="str">
        <f t="shared" si="1"/>
        <v/>
      </c>
      <c r="J14" s="1"/>
      <c r="K14" s="1"/>
      <c r="L14" s="1"/>
      <c r="M14" s="1"/>
      <c r="N14" s="1"/>
    </row>
    <row r="15" spans="1:14">
      <c r="A15" s="1"/>
      <c r="B15" s="1"/>
      <c r="C15" s="1"/>
      <c r="D15" s="1"/>
      <c r="E15" s="1"/>
      <c r="F15" s="1"/>
      <c r="G15" s="1"/>
      <c r="H15" s="6" t="str">
        <f t="shared" si="0"/>
        <v/>
      </c>
      <c r="I15" s="1" t="str">
        <f t="shared" si="1"/>
        <v/>
      </c>
      <c r="J15" s="1"/>
      <c r="K15" s="1"/>
      <c r="L15" s="1"/>
      <c r="M15" s="1"/>
      <c r="N15" s="1"/>
    </row>
    <row r="16" spans="1:14">
      <c r="A16" s="1"/>
      <c r="B16" s="1"/>
      <c r="C16" s="1"/>
      <c r="D16" s="1"/>
      <c r="E16" s="1"/>
      <c r="F16" s="1"/>
      <c r="G16" s="1"/>
      <c r="H16" s="6" t="str">
        <f t="shared" si="0"/>
        <v/>
      </c>
      <c r="I16" s="1" t="str">
        <f t="shared" si="1"/>
        <v/>
      </c>
      <c r="J16" s="1"/>
      <c r="K16" s="1"/>
      <c r="L16" s="1"/>
      <c r="M16" s="1"/>
      <c r="N16" s="1"/>
    </row>
    <row r="17" spans="1:14">
      <c r="A17" s="1"/>
      <c r="B17" s="1"/>
      <c r="C17" s="1"/>
      <c r="D17" s="1"/>
      <c r="E17" s="1"/>
      <c r="F17" s="1"/>
      <c r="G17" s="1"/>
      <c r="H17" s="6" t="str">
        <f t="shared" si="0"/>
        <v/>
      </c>
      <c r="I17" s="1" t="str">
        <f t="shared" si="1"/>
        <v/>
      </c>
      <c r="J17" s="1"/>
      <c r="K17" s="1"/>
      <c r="L17" s="1"/>
      <c r="M17" s="1"/>
      <c r="N17" s="1"/>
    </row>
    <row r="18" spans="1:14">
      <c r="A18" s="1"/>
      <c r="B18" s="1"/>
      <c r="C18" s="1"/>
      <c r="D18" s="1"/>
      <c r="E18" s="1"/>
      <c r="F18" s="1"/>
      <c r="G18" s="1"/>
      <c r="H18" s="6" t="str">
        <f t="shared" si="0"/>
        <v/>
      </c>
      <c r="I18" s="1" t="str">
        <f t="shared" si="1"/>
        <v/>
      </c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1"/>
      <c r="F19" s="1"/>
      <c r="G19" s="1"/>
      <c r="H19" s="6" t="str">
        <f t="shared" si="0"/>
        <v/>
      </c>
      <c r="I19" s="1" t="str">
        <f t="shared" si="1"/>
        <v/>
      </c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1"/>
      <c r="F20" s="1"/>
      <c r="G20" s="1"/>
      <c r="H20" s="6" t="str">
        <f t="shared" si="0"/>
        <v/>
      </c>
      <c r="I20" s="1" t="str">
        <f t="shared" si="1"/>
        <v/>
      </c>
      <c r="J20" s="1"/>
      <c r="K20" s="1"/>
      <c r="L20" s="1"/>
      <c r="M20" s="1"/>
      <c r="N20" s="1"/>
    </row>
    <row r="21" spans="1:14">
      <c r="A21" s="1"/>
      <c r="B21" s="1"/>
      <c r="C21" s="1"/>
      <c r="D21" s="1"/>
      <c r="E21" s="1"/>
      <c r="F21" s="1"/>
      <c r="G21" s="1"/>
      <c r="H21" s="6" t="str">
        <f t="shared" si="0"/>
        <v/>
      </c>
      <c r="I21" s="1" t="str">
        <f t="shared" si="1"/>
        <v/>
      </c>
      <c r="J21" s="1"/>
      <c r="K21" s="1"/>
      <c r="L21" s="1"/>
      <c r="M21" s="1"/>
      <c r="N21" s="1"/>
    </row>
    <row r="22" spans="1:14">
      <c r="A22" s="1"/>
      <c r="B22" s="1"/>
      <c r="C22" s="1"/>
      <c r="D22" s="1"/>
      <c r="E22" s="1"/>
      <c r="F22" s="1"/>
      <c r="G22" s="1"/>
      <c r="H22" s="6" t="str">
        <f t="shared" si="0"/>
        <v/>
      </c>
      <c r="I22" s="1" t="str">
        <f t="shared" si="1"/>
        <v/>
      </c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1"/>
      <c r="F23" s="1"/>
      <c r="G23" s="1"/>
      <c r="H23" s="6" t="str">
        <f t="shared" si="0"/>
        <v/>
      </c>
      <c r="I23" s="1" t="str">
        <f t="shared" si="1"/>
        <v/>
      </c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1"/>
      <c r="F24" s="1"/>
      <c r="G24" s="1"/>
      <c r="H24" s="6" t="str">
        <f t="shared" si="0"/>
        <v/>
      </c>
      <c r="I24" s="1" t="str">
        <f t="shared" si="1"/>
        <v/>
      </c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6" t="str">
        <f t="shared" si="0"/>
        <v/>
      </c>
      <c r="I25" s="1" t="str">
        <f t="shared" si="1"/>
        <v/>
      </c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6" t="str">
        <f t="shared" si="0"/>
        <v/>
      </c>
      <c r="I26" s="1" t="str">
        <f t="shared" si="1"/>
        <v/>
      </c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6" t="str">
        <f t="shared" si="0"/>
        <v/>
      </c>
      <c r="I27" s="1" t="str">
        <f t="shared" si="1"/>
        <v/>
      </c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6" t="str">
        <f t="shared" si="0"/>
        <v/>
      </c>
      <c r="I28" s="1" t="str">
        <f t="shared" si="1"/>
        <v/>
      </c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6" t="str">
        <f t="shared" si="0"/>
        <v/>
      </c>
      <c r="I29" s="1" t="str">
        <f t="shared" si="1"/>
        <v/>
      </c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1"/>
      <c r="F30" s="1"/>
      <c r="G30" s="1"/>
      <c r="H30" s="6" t="str">
        <f t="shared" si="0"/>
        <v/>
      </c>
      <c r="I30" s="1" t="str">
        <f t="shared" si="1"/>
        <v/>
      </c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1"/>
      <c r="F31" s="1"/>
      <c r="G31" s="1"/>
      <c r="H31" s="6" t="str">
        <f t="shared" si="0"/>
        <v/>
      </c>
      <c r="I31" s="1" t="str">
        <f t="shared" si="1"/>
        <v/>
      </c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6" t="str">
        <f t="shared" si="0"/>
        <v/>
      </c>
      <c r="I32" s="1" t="str">
        <f t="shared" si="1"/>
        <v/>
      </c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6" t="str">
        <f t="shared" si="0"/>
        <v/>
      </c>
      <c r="I33" s="1" t="str">
        <f t="shared" si="1"/>
        <v/>
      </c>
      <c r="J33" s="1"/>
      <c r="K33" s="1"/>
      <c r="L33" s="1"/>
      <c r="M33" s="1"/>
      <c r="N33" s="1"/>
    </row>
    <row r="34" spans="1:14">
      <c r="A34" s="1"/>
      <c r="B34" s="1"/>
      <c r="C34" s="1"/>
      <c r="D34" s="1"/>
      <c r="E34" s="1"/>
      <c r="F34" s="1"/>
      <c r="G34" s="1"/>
      <c r="H34" s="6" t="str">
        <f t="shared" si="0"/>
        <v/>
      </c>
      <c r="I34" s="1" t="str">
        <f t="shared" si="1"/>
        <v/>
      </c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1"/>
      <c r="F35" s="1"/>
      <c r="G35" s="1"/>
      <c r="H35" s="6" t="str">
        <f t="shared" si="0"/>
        <v/>
      </c>
      <c r="I35" s="1" t="str">
        <f t="shared" si="1"/>
        <v/>
      </c>
      <c r="J35" s="1"/>
      <c r="K35" s="1"/>
      <c r="L35" s="1"/>
      <c r="M35" s="1"/>
      <c r="N35" s="1"/>
    </row>
    <row r="36" spans="1:14">
      <c r="A36" s="1"/>
      <c r="B36" s="1"/>
      <c r="C36" s="1"/>
      <c r="D36" s="1"/>
      <c r="E36" s="1"/>
      <c r="F36" s="1"/>
      <c r="G36" s="1"/>
      <c r="H36" s="6" t="str">
        <f t="shared" si="0"/>
        <v/>
      </c>
      <c r="I36" s="1" t="str">
        <f t="shared" si="1"/>
        <v/>
      </c>
      <c r="J36" s="1"/>
      <c r="K36" s="1"/>
      <c r="L36" s="1"/>
      <c r="M36" s="1"/>
      <c r="N36" s="1"/>
    </row>
    <row r="37" spans="1:14">
      <c r="A37" s="1"/>
      <c r="B37" s="1"/>
      <c r="C37" s="1"/>
      <c r="D37" s="1"/>
      <c r="E37" s="1"/>
      <c r="F37" s="1"/>
      <c r="G37" s="1"/>
      <c r="H37" s="6" t="str">
        <f t="shared" si="0"/>
        <v/>
      </c>
      <c r="I37" s="1" t="str">
        <f t="shared" si="1"/>
        <v/>
      </c>
      <c r="J37" s="1"/>
      <c r="K37" s="1"/>
      <c r="L37" s="1"/>
      <c r="M37" s="1"/>
      <c r="N37" s="1"/>
    </row>
    <row r="38" spans="1:14">
      <c r="A38" s="1"/>
      <c r="B38" s="1"/>
      <c r="C38" s="1"/>
      <c r="D38" s="1"/>
      <c r="E38" s="1"/>
      <c r="F38" s="1"/>
      <c r="G38" s="1"/>
      <c r="H38" s="6" t="str">
        <f t="shared" si="0"/>
        <v/>
      </c>
      <c r="I38" s="1" t="str">
        <f t="shared" si="1"/>
        <v/>
      </c>
      <c r="J38" s="1"/>
      <c r="K38" s="1"/>
      <c r="L38" s="1"/>
      <c r="M38" s="1"/>
      <c r="N38" s="1"/>
    </row>
    <row r="39" spans="1:14">
      <c r="A39" s="1"/>
      <c r="B39" s="1"/>
      <c r="C39" s="1"/>
      <c r="D39" s="1"/>
      <c r="E39" s="1"/>
      <c r="F39" s="1"/>
      <c r="G39" s="1"/>
      <c r="H39" s="6" t="str">
        <f t="shared" si="0"/>
        <v/>
      </c>
      <c r="I39" s="1" t="str">
        <f t="shared" si="1"/>
        <v/>
      </c>
      <c r="J39" s="1"/>
      <c r="K39" s="1"/>
      <c r="L39" s="1"/>
      <c r="M39" s="1"/>
      <c r="N39" s="1"/>
    </row>
    <row r="40" spans="1:14">
      <c r="A40" s="1"/>
      <c r="B40" s="1"/>
      <c r="C40" s="1"/>
      <c r="D40" s="1"/>
      <c r="E40" s="1"/>
      <c r="F40" s="1"/>
      <c r="G40" s="1"/>
      <c r="H40" s="6" t="str">
        <f t="shared" si="0"/>
        <v/>
      </c>
      <c r="I40" s="1" t="str">
        <f t="shared" si="1"/>
        <v/>
      </c>
      <c r="J40" s="1"/>
      <c r="K40" s="1"/>
      <c r="L40" s="1"/>
      <c r="M40" s="1"/>
      <c r="N40" s="1"/>
    </row>
    <row r="41" spans="1:14">
      <c r="A41" s="1"/>
      <c r="B41" s="1"/>
      <c r="C41" s="1"/>
      <c r="D41" s="1"/>
      <c r="E41" s="1"/>
      <c r="F41" s="1"/>
      <c r="G41" s="1"/>
      <c r="H41" s="6" t="str">
        <f t="shared" si="0"/>
        <v/>
      </c>
      <c r="I41" s="1" t="str">
        <f t="shared" si="1"/>
        <v/>
      </c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1"/>
      <c r="F42" s="1"/>
      <c r="G42" s="1"/>
      <c r="H42" s="6" t="str">
        <f t="shared" si="0"/>
        <v/>
      </c>
      <c r="I42" s="1" t="str">
        <f t="shared" si="1"/>
        <v/>
      </c>
      <c r="J42" s="1"/>
      <c r="K42" s="1"/>
      <c r="L42" s="1"/>
      <c r="M42" s="1"/>
      <c r="N42" s="1"/>
    </row>
    <row r="43" spans="1:14">
      <c r="A43" s="1"/>
      <c r="B43" s="1"/>
      <c r="C43" s="1"/>
      <c r="D43" s="1"/>
      <c r="E43" s="1"/>
      <c r="F43" s="1"/>
      <c r="G43" s="1"/>
      <c r="H43" s="6" t="str">
        <f t="shared" si="0"/>
        <v/>
      </c>
      <c r="I43" s="1" t="str">
        <f t="shared" si="1"/>
        <v/>
      </c>
      <c r="J43" s="1"/>
      <c r="K43" s="1"/>
      <c r="L43" s="1"/>
      <c r="M43" s="1"/>
      <c r="N43" s="1"/>
    </row>
    <row r="44" spans="1:14">
      <c r="A44" s="1"/>
      <c r="B44" s="1"/>
      <c r="C44" s="1"/>
      <c r="D44" s="1"/>
      <c r="E44" s="1"/>
      <c r="F44" s="1"/>
      <c r="G44" s="1"/>
      <c r="H44" s="6" t="str">
        <f t="shared" si="0"/>
        <v/>
      </c>
      <c r="I44" s="1" t="str">
        <f t="shared" si="1"/>
        <v/>
      </c>
      <c r="J44" s="1"/>
      <c r="K44" s="1"/>
      <c r="L44" s="1"/>
      <c r="M44" s="1"/>
      <c r="N44" s="1"/>
    </row>
    <row r="45" spans="1:14">
      <c r="A45" s="1"/>
      <c r="B45" s="1"/>
      <c r="C45" s="1"/>
      <c r="D45" s="1"/>
      <c r="E45" s="1"/>
      <c r="F45" s="1"/>
      <c r="G45" s="1"/>
      <c r="H45" s="6" t="str">
        <f t="shared" si="0"/>
        <v/>
      </c>
      <c r="I45" s="1" t="str">
        <f t="shared" si="1"/>
        <v/>
      </c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1"/>
      <c r="F46" s="1"/>
      <c r="G46" s="1"/>
      <c r="H46" s="6" t="str">
        <f t="shared" si="0"/>
        <v/>
      </c>
      <c r="I46" s="1" t="str">
        <f t="shared" si="1"/>
        <v/>
      </c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1"/>
      <c r="F47" s="1"/>
      <c r="G47" s="1"/>
      <c r="H47" s="6" t="str">
        <f t="shared" si="0"/>
        <v/>
      </c>
      <c r="I47" s="1" t="str">
        <f t="shared" si="1"/>
        <v/>
      </c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1"/>
      <c r="F48" s="1"/>
      <c r="G48" s="1"/>
      <c r="H48" s="6" t="str">
        <f t="shared" si="0"/>
        <v/>
      </c>
      <c r="I48" s="1" t="str">
        <f t="shared" si="1"/>
        <v/>
      </c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1"/>
      <c r="F49" s="1"/>
      <c r="G49" s="1"/>
      <c r="H49" s="6" t="str">
        <f t="shared" si="0"/>
        <v/>
      </c>
      <c r="I49" s="1" t="str">
        <f t="shared" si="1"/>
        <v/>
      </c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1"/>
      <c r="F50" s="1"/>
      <c r="G50" s="1"/>
      <c r="H50" s="6" t="str">
        <f t="shared" si="0"/>
        <v/>
      </c>
      <c r="I50" s="1" t="str">
        <f t="shared" si="1"/>
        <v/>
      </c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6" t="str">
        <f t="shared" si="0"/>
        <v/>
      </c>
      <c r="I51" s="1" t="str">
        <f t="shared" si="1"/>
        <v/>
      </c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6" t="str">
        <f t="shared" si="0"/>
        <v/>
      </c>
      <c r="I52" s="1" t="str">
        <f t="shared" si="1"/>
        <v/>
      </c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6" t="str">
        <f t="shared" si="0"/>
        <v/>
      </c>
      <c r="I53" s="1" t="str">
        <f t="shared" si="1"/>
        <v/>
      </c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6" t="str">
        <f t="shared" si="0"/>
        <v/>
      </c>
      <c r="I54" s="1" t="str">
        <f t="shared" si="1"/>
        <v/>
      </c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6" t="str">
        <f t="shared" si="0"/>
        <v/>
      </c>
      <c r="I55" s="1" t="str">
        <f t="shared" si="1"/>
        <v/>
      </c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6" t="str">
        <f t="shared" si="0"/>
        <v/>
      </c>
      <c r="I56" s="1" t="str">
        <f t="shared" si="1"/>
        <v/>
      </c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6" t="str">
        <f t="shared" si="0"/>
        <v/>
      </c>
      <c r="I57" s="1" t="str">
        <f t="shared" si="1"/>
        <v/>
      </c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6" t="str">
        <f t="shared" si="0"/>
        <v/>
      </c>
      <c r="I58" s="1" t="str">
        <f t="shared" si="1"/>
        <v/>
      </c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6" t="str">
        <f t="shared" si="0"/>
        <v/>
      </c>
      <c r="I59" s="1" t="str">
        <f t="shared" si="1"/>
        <v/>
      </c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6" t="str">
        <f t="shared" si="0"/>
        <v/>
      </c>
      <c r="I60" s="1" t="str">
        <f t="shared" si="1"/>
        <v/>
      </c>
      <c r="J60" s="1"/>
      <c r="K60" s="1"/>
      <c r="L60" s="1"/>
      <c r="M60" s="1"/>
      <c r="N60" s="1"/>
    </row>
    <row r="61" spans="1:14">
      <c r="A61" s="1"/>
      <c r="B61" s="1"/>
      <c r="C61" s="1"/>
      <c r="D61" s="1"/>
      <c r="E61" s="1"/>
      <c r="F61" s="1"/>
      <c r="G61" s="1"/>
      <c r="H61" s="6" t="str">
        <f t="shared" si="0"/>
        <v/>
      </c>
      <c r="I61" s="1" t="str">
        <f t="shared" si="1"/>
        <v/>
      </c>
      <c r="J61" s="1"/>
      <c r="K61" s="1"/>
      <c r="L61" s="1"/>
      <c r="M61" s="1"/>
      <c r="N61" s="1"/>
    </row>
    <row r="62" spans="1:14">
      <c r="A62" s="1"/>
      <c r="B62" s="1"/>
      <c r="C62" s="1"/>
      <c r="D62" s="1"/>
      <c r="E62" s="1"/>
      <c r="F62" s="1"/>
      <c r="G62" s="1"/>
      <c r="H62" s="6" t="str">
        <f t="shared" si="0"/>
        <v/>
      </c>
      <c r="I62" s="1" t="str">
        <f t="shared" si="1"/>
        <v/>
      </c>
      <c r="J62" s="1"/>
      <c r="K62" s="1"/>
      <c r="L62" s="1"/>
      <c r="M62" s="1"/>
      <c r="N62" s="1"/>
    </row>
    <row r="63" spans="1:14">
      <c r="A63" s="1"/>
      <c r="B63" s="1"/>
      <c r="C63" s="1"/>
      <c r="D63" s="1"/>
      <c r="E63" s="1"/>
      <c r="F63" s="1"/>
      <c r="G63" s="1"/>
      <c r="H63" s="6" t="str">
        <f t="shared" si="0"/>
        <v/>
      </c>
      <c r="I63" s="1" t="str">
        <f t="shared" si="1"/>
        <v/>
      </c>
      <c r="J63" s="1"/>
      <c r="K63" s="1"/>
      <c r="L63" s="1"/>
      <c r="M63" s="1"/>
      <c r="N63" s="1"/>
    </row>
    <row r="64" spans="1:14">
      <c r="A64" s="1"/>
      <c r="B64" s="1"/>
      <c r="C64" s="1"/>
      <c r="D64" s="1"/>
      <c r="E64" s="1"/>
      <c r="F64" s="1"/>
      <c r="G64" s="1"/>
      <c r="H64" s="6" t="str">
        <f t="shared" si="0"/>
        <v/>
      </c>
      <c r="I64" s="1" t="str">
        <f t="shared" si="1"/>
        <v/>
      </c>
      <c r="J64" s="1"/>
      <c r="K64" s="1"/>
      <c r="L64" s="1"/>
      <c r="M64" s="1"/>
      <c r="N64" s="1"/>
    </row>
    <row r="65" spans="1:14">
      <c r="A65" s="1"/>
      <c r="B65" s="1"/>
      <c r="C65" s="1"/>
      <c r="D65" s="1"/>
      <c r="E65" s="1"/>
      <c r="F65" s="1"/>
      <c r="G65" s="1"/>
      <c r="H65" s="6" t="str">
        <f t="shared" si="0"/>
        <v/>
      </c>
      <c r="I65" s="1" t="str">
        <f t="shared" si="1"/>
        <v/>
      </c>
      <c r="J65" s="1"/>
      <c r="K65" s="1"/>
      <c r="L65" s="1"/>
      <c r="M65" s="1"/>
      <c r="N65" s="1"/>
    </row>
    <row r="66" spans="1:14">
      <c r="A66" s="1"/>
      <c r="B66" s="1"/>
      <c r="C66" s="1"/>
      <c r="D66" s="1"/>
      <c r="E66" s="1"/>
      <c r="F66" s="1"/>
      <c r="G66" s="1"/>
      <c r="H66" s="6" t="str">
        <f t="shared" ref="H66:H129" si="2">IF(OR(F66="",G66=""),"",F66*G66)</f>
        <v/>
      </c>
      <c r="I66" s="1" t="str">
        <f t="shared" ref="I66:I129" si="3">IF(H66="","",IF(H66&gt;=20,"Critique",IF(H66&gt;=12,"Élevé",IF(H66&gt;=6,"Moyen","Faible"))))</f>
        <v/>
      </c>
      <c r="J66" s="1"/>
      <c r="K66" s="1"/>
      <c r="L66" s="1"/>
      <c r="M66" s="1"/>
      <c r="N66" s="1"/>
    </row>
    <row r="67" spans="1:14">
      <c r="A67" s="1"/>
      <c r="B67" s="1"/>
      <c r="C67" s="1"/>
      <c r="D67" s="1"/>
      <c r="E67" s="1"/>
      <c r="F67" s="1"/>
      <c r="G67" s="1"/>
      <c r="H67" s="6" t="str">
        <f t="shared" si="2"/>
        <v/>
      </c>
      <c r="I67" s="1" t="str">
        <f t="shared" si="3"/>
        <v/>
      </c>
      <c r="J67" s="1"/>
      <c r="K67" s="1"/>
      <c r="L67" s="1"/>
      <c r="M67" s="1"/>
      <c r="N67" s="1"/>
    </row>
    <row r="68" spans="1:14">
      <c r="A68" s="1"/>
      <c r="B68" s="1"/>
      <c r="C68" s="1"/>
      <c r="D68" s="1"/>
      <c r="E68" s="1"/>
      <c r="F68" s="1"/>
      <c r="G68" s="1"/>
      <c r="H68" s="6" t="str">
        <f t="shared" si="2"/>
        <v/>
      </c>
      <c r="I68" s="1" t="str">
        <f t="shared" si="3"/>
        <v/>
      </c>
      <c r="J68" s="1"/>
      <c r="K68" s="1"/>
      <c r="L68" s="1"/>
      <c r="M68" s="1"/>
      <c r="N68" s="1"/>
    </row>
    <row r="69" spans="1:14">
      <c r="A69" s="1"/>
      <c r="B69" s="1"/>
      <c r="C69" s="1"/>
      <c r="D69" s="1"/>
      <c r="E69" s="1"/>
      <c r="F69" s="1"/>
      <c r="G69" s="1"/>
      <c r="H69" s="6" t="str">
        <f t="shared" si="2"/>
        <v/>
      </c>
      <c r="I69" s="1" t="str">
        <f t="shared" si="3"/>
        <v/>
      </c>
      <c r="J69" s="1"/>
      <c r="K69" s="1"/>
      <c r="L69" s="1"/>
      <c r="M69" s="1"/>
      <c r="N69" s="1"/>
    </row>
    <row r="70" spans="1:14">
      <c r="A70" s="1"/>
      <c r="B70" s="1"/>
      <c r="C70" s="1"/>
      <c r="D70" s="1"/>
      <c r="E70" s="1"/>
      <c r="F70" s="1"/>
      <c r="G70" s="1"/>
      <c r="H70" s="6" t="str">
        <f t="shared" si="2"/>
        <v/>
      </c>
      <c r="I70" s="1" t="str">
        <f t="shared" si="3"/>
        <v/>
      </c>
      <c r="J70" s="1"/>
      <c r="K70" s="1"/>
      <c r="L70" s="1"/>
      <c r="M70" s="1"/>
      <c r="N70" s="1"/>
    </row>
    <row r="71" spans="1:14">
      <c r="A71" s="1"/>
      <c r="B71" s="1"/>
      <c r="C71" s="1"/>
      <c r="D71" s="1"/>
      <c r="E71" s="1"/>
      <c r="F71" s="1"/>
      <c r="G71" s="1"/>
      <c r="H71" s="6" t="str">
        <f t="shared" si="2"/>
        <v/>
      </c>
      <c r="I71" s="1" t="str">
        <f t="shared" si="3"/>
        <v/>
      </c>
      <c r="J71" s="1"/>
      <c r="K71" s="1"/>
      <c r="L71" s="1"/>
      <c r="M71" s="1"/>
      <c r="N71" s="1"/>
    </row>
    <row r="72" spans="1:14">
      <c r="A72" s="1"/>
      <c r="B72" s="1"/>
      <c r="C72" s="1"/>
      <c r="D72" s="1"/>
      <c r="E72" s="1"/>
      <c r="F72" s="1"/>
      <c r="G72" s="1"/>
      <c r="H72" s="6" t="str">
        <f t="shared" si="2"/>
        <v/>
      </c>
      <c r="I72" s="1" t="str">
        <f t="shared" si="3"/>
        <v/>
      </c>
      <c r="J72" s="1"/>
      <c r="K72" s="1"/>
      <c r="L72" s="1"/>
      <c r="M72" s="1"/>
      <c r="N72" s="1"/>
    </row>
    <row r="73" spans="1:14">
      <c r="A73" s="1"/>
      <c r="B73" s="1"/>
      <c r="C73" s="1"/>
      <c r="D73" s="1"/>
      <c r="E73" s="1"/>
      <c r="F73" s="1"/>
      <c r="G73" s="1"/>
      <c r="H73" s="6" t="str">
        <f t="shared" si="2"/>
        <v/>
      </c>
      <c r="I73" s="1" t="str">
        <f t="shared" si="3"/>
        <v/>
      </c>
      <c r="J73" s="1"/>
      <c r="K73" s="1"/>
      <c r="L73" s="1"/>
      <c r="M73" s="1"/>
      <c r="N73" s="1"/>
    </row>
    <row r="74" spans="1:14">
      <c r="A74" s="1"/>
      <c r="B74" s="1"/>
      <c r="C74" s="1"/>
      <c r="D74" s="1"/>
      <c r="E74" s="1"/>
      <c r="F74" s="1"/>
      <c r="G74" s="1"/>
      <c r="H74" s="6" t="str">
        <f t="shared" si="2"/>
        <v/>
      </c>
      <c r="I74" s="1" t="str">
        <f t="shared" si="3"/>
        <v/>
      </c>
      <c r="J74" s="1"/>
      <c r="K74" s="1"/>
      <c r="L74" s="1"/>
      <c r="M74" s="1"/>
      <c r="N74" s="1"/>
    </row>
    <row r="75" spans="1:14">
      <c r="A75" s="1"/>
      <c r="B75" s="1"/>
      <c r="C75" s="1"/>
      <c r="D75" s="1"/>
      <c r="E75" s="1"/>
      <c r="F75" s="1"/>
      <c r="G75" s="1"/>
      <c r="H75" s="6" t="str">
        <f t="shared" si="2"/>
        <v/>
      </c>
      <c r="I75" s="1" t="str">
        <f t="shared" si="3"/>
        <v/>
      </c>
      <c r="J75" s="1"/>
      <c r="K75" s="1"/>
      <c r="L75" s="1"/>
      <c r="M75" s="1"/>
      <c r="N75" s="1"/>
    </row>
    <row r="76" spans="1:14">
      <c r="A76" s="1"/>
      <c r="B76" s="1"/>
      <c r="C76" s="1"/>
      <c r="D76" s="1"/>
      <c r="E76" s="1"/>
      <c r="F76" s="1"/>
      <c r="G76" s="1"/>
      <c r="H76" s="6" t="str">
        <f t="shared" si="2"/>
        <v/>
      </c>
      <c r="I76" s="1" t="str">
        <f t="shared" si="3"/>
        <v/>
      </c>
      <c r="J76" s="1"/>
      <c r="K76" s="1"/>
      <c r="L76" s="1"/>
      <c r="M76" s="1"/>
      <c r="N76" s="1"/>
    </row>
    <row r="77" spans="1:14">
      <c r="A77" s="1"/>
      <c r="B77" s="1"/>
      <c r="C77" s="1"/>
      <c r="D77" s="1"/>
      <c r="E77" s="1"/>
      <c r="F77" s="1"/>
      <c r="G77" s="1"/>
      <c r="H77" s="6" t="str">
        <f t="shared" si="2"/>
        <v/>
      </c>
      <c r="I77" s="1" t="str">
        <f t="shared" si="3"/>
        <v/>
      </c>
      <c r="J77" s="1"/>
      <c r="K77" s="1"/>
      <c r="L77" s="1"/>
      <c r="M77" s="1"/>
      <c r="N77" s="1"/>
    </row>
    <row r="78" spans="1:14">
      <c r="A78" s="1"/>
      <c r="B78" s="1"/>
      <c r="C78" s="1"/>
      <c r="D78" s="1"/>
      <c r="E78" s="1"/>
      <c r="F78" s="1"/>
      <c r="G78" s="1"/>
      <c r="H78" s="6" t="str">
        <f t="shared" si="2"/>
        <v/>
      </c>
      <c r="I78" s="1" t="str">
        <f t="shared" si="3"/>
        <v/>
      </c>
      <c r="J78" s="1"/>
      <c r="K78" s="1"/>
      <c r="L78" s="1"/>
      <c r="M78" s="1"/>
      <c r="N78" s="1"/>
    </row>
    <row r="79" spans="1:14">
      <c r="A79" s="1"/>
      <c r="B79" s="1"/>
      <c r="C79" s="1"/>
      <c r="D79" s="1"/>
      <c r="E79" s="1"/>
      <c r="F79" s="1"/>
      <c r="G79" s="1"/>
      <c r="H79" s="6" t="str">
        <f t="shared" si="2"/>
        <v/>
      </c>
      <c r="I79" s="1" t="str">
        <f t="shared" si="3"/>
        <v/>
      </c>
      <c r="J79" s="1"/>
      <c r="K79" s="1"/>
      <c r="L79" s="1"/>
      <c r="M79" s="1"/>
      <c r="N79" s="1"/>
    </row>
    <row r="80" spans="1:14">
      <c r="A80" s="1"/>
      <c r="B80" s="1"/>
      <c r="C80" s="1"/>
      <c r="D80" s="1"/>
      <c r="E80" s="1"/>
      <c r="F80" s="1"/>
      <c r="G80" s="1"/>
      <c r="H80" s="6" t="str">
        <f t="shared" si="2"/>
        <v/>
      </c>
      <c r="I80" s="1" t="str">
        <f t="shared" si="3"/>
        <v/>
      </c>
      <c r="J80" s="1"/>
      <c r="K80" s="1"/>
      <c r="L80" s="1"/>
      <c r="M80" s="1"/>
      <c r="N80" s="1"/>
    </row>
    <row r="81" spans="1:14">
      <c r="A81" s="1"/>
      <c r="B81" s="1"/>
      <c r="C81" s="1"/>
      <c r="D81" s="1"/>
      <c r="E81" s="1"/>
      <c r="F81" s="1"/>
      <c r="G81" s="1"/>
      <c r="H81" s="6" t="str">
        <f t="shared" si="2"/>
        <v/>
      </c>
      <c r="I81" s="1" t="str">
        <f t="shared" si="3"/>
        <v/>
      </c>
      <c r="J81" s="1"/>
      <c r="K81" s="1"/>
      <c r="L81" s="1"/>
      <c r="M81" s="1"/>
      <c r="N81" s="1"/>
    </row>
    <row r="82" spans="1:14">
      <c r="A82" s="1"/>
      <c r="B82" s="1"/>
      <c r="C82" s="1"/>
      <c r="D82" s="1"/>
      <c r="E82" s="1"/>
      <c r="F82" s="1"/>
      <c r="G82" s="1"/>
      <c r="H82" s="6" t="str">
        <f t="shared" si="2"/>
        <v/>
      </c>
      <c r="I82" s="1" t="str">
        <f t="shared" si="3"/>
        <v/>
      </c>
      <c r="J82" s="1"/>
      <c r="K82" s="1"/>
      <c r="L82" s="1"/>
      <c r="M82" s="1"/>
      <c r="N82" s="1"/>
    </row>
    <row r="83" spans="1:14">
      <c r="A83" s="1"/>
      <c r="B83" s="1"/>
      <c r="C83" s="1"/>
      <c r="D83" s="1"/>
      <c r="E83" s="1"/>
      <c r="F83" s="1"/>
      <c r="G83" s="1"/>
      <c r="H83" s="6" t="str">
        <f t="shared" si="2"/>
        <v/>
      </c>
      <c r="I83" s="1" t="str">
        <f t="shared" si="3"/>
        <v/>
      </c>
      <c r="J83" s="1"/>
      <c r="K83" s="1"/>
      <c r="L83" s="1"/>
      <c r="M83" s="1"/>
      <c r="N83" s="1"/>
    </row>
    <row r="84" spans="1:14">
      <c r="A84" s="1"/>
      <c r="B84" s="1"/>
      <c r="C84" s="1"/>
      <c r="D84" s="1"/>
      <c r="E84" s="1"/>
      <c r="F84" s="1"/>
      <c r="G84" s="1"/>
      <c r="H84" s="6" t="str">
        <f t="shared" si="2"/>
        <v/>
      </c>
      <c r="I84" s="1" t="str">
        <f t="shared" si="3"/>
        <v/>
      </c>
      <c r="J84" s="1"/>
      <c r="K84" s="1"/>
      <c r="L84" s="1"/>
      <c r="M84" s="1"/>
      <c r="N84" s="1"/>
    </row>
    <row r="85" spans="1:14">
      <c r="A85" s="1"/>
      <c r="B85" s="1"/>
      <c r="C85" s="1"/>
      <c r="D85" s="1"/>
      <c r="E85" s="1"/>
      <c r="F85" s="1"/>
      <c r="G85" s="1"/>
      <c r="H85" s="6" t="str">
        <f t="shared" si="2"/>
        <v/>
      </c>
      <c r="I85" s="1" t="str">
        <f t="shared" si="3"/>
        <v/>
      </c>
      <c r="J85" s="1"/>
      <c r="K85" s="1"/>
      <c r="L85" s="1"/>
      <c r="M85" s="1"/>
      <c r="N85" s="1"/>
    </row>
    <row r="86" spans="1:14">
      <c r="A86" s="1"/>
      <c r="B86" s="1"/>
      <c r="C86" s="1"/>
      <c r="D86" s="1"/>
      <c r="E86" s="1"/>
      <c r="F86" s="1"/>
      <c r="G86" s="1"/>
      <c r="H86" s="6" t="str">
        <f t="shared" si="2"/>
        <v/>
      </c>
      <c r="I86" s="1" t="str">
        <f t="shared" si="3"/>
        <v/>
      </c>
      <c r="J86" s="1"/>
      <c r="K86" s="1"/>
      <c r="L86" s="1"/>
      <c r="M86" s="1"/>
      <c r="N86" s="1"/>
    </row>
    <row r="87" spans="1:14">
      <c r="A87" s="1"/>
      <c r="B87" s="1"/>
      <c r="C87" s="1"/>
      <c r="D87" s="1"/>
      <c r="E87" s="1"/>
      <c r="F87" s="1"/>
      <c r="G87" s="1"/>
      <c r="H87" s="6" t="str">
        <f t="shared" si="2"/>
        <v/>
      </c>
      <c r="I87" s="1" t="str">
        <f t="shared" si="3"/>
        <v/>
      </c>
      <c r="J87" s="1"/>
      <c r="K87" s="1"/>
      <c r="L87" s="1"/>
      <c r="M87" s="1"/>
      <c r="N87" s="1"/>
    </row>
    <row r="88" spans="1:14">
      <c r="A88" s="1"/>
      <c r="B88" s="1"/>
      <c r="C88" s="1"/>
      <c r="D88" s="1"/>
      <c r="E88" s="1"/>
      <c r="F88" s="1"/>
      <c r="G88" s="1"/>
      <c r="H88" s="6" t="str">
        <f t="shared" si="2"/>
        <v/>
      </c>
      <c r="I88" s="1" t="str">
        <f t="shared" si="3"/>
        <v/>
      </c>
      <c r="J88" s="1"/>
      <c r="K88" s="1"/>
      <c r="L88" s="1"/>
      <c r="M88" s="1"/>
      <c r="N88" s="1"/>
    </row>
    <row r="89" spans="1:14">
      <c r="A89" s="1"/>
      <c r="B89" s="1"/>
      <c r="C89" s="1"/>
      <c r="D89" s="1"/>
      <c r="E89" s="1"/>
      <c r="F89" s="1"/>
      <c r="G89" s="1"/>
      <c r="H89" s="6" t="str">
        <f t="shared" si="2"/>
        <v/>
      </c>
      <c r="I89" s="1" t="str">
        <f t="shared" si="3"/>
        <v/>
      </c>
      <c r="J89" s="1"/>
      <c r="K89" s="1"/>
      <c r="L89" s="1"/>
      <c r="M89" s="1"/>
      <c r="N89" s="1"/>
    </row>
    <row r="90" spans="1:14">
      <c r="A90" s="1"/>
      <c r="B90" s="1"/>
      <c r="C90" s="1"/>
      <c r="D90" s="1"/>
      <c r="E90" s="1"/>
      <c r="F90" s="1"/>
      <c r="G90" s="1"/>
      <c r="H90" s="6" t="str">
        <f t="shared" si="2"/>
        <v/>
      </c>
      <c r="I90" s="1" t="str">
        <f t="shared" si="3"/>
        <v/>
      </c>
      <c r="J90" s="1"/>
      <c r="K90" s="1"/>
      <c r="L90" s="1"/>
      <c r="M90" s="1"/>
      <c r="N90" s="1"/>
    </row>
    <row r="91" spans="1:14">
      <c r="A91" s="1"/>
      <c r="B91" s="1"/>
      <c r="C91" s="1"/>
      <c r="D91" s="1"/>
      <c r="E91" s="1"/>
      <c r="F91" s="1"/>
      <c r="G91" s="1"/>
      <c r="H91" s="6" t="str">
        <f t="shared" si="2"/>
        <v/>
      </c>
      <c r="I91" s="1" t="str">
        <f t="shared" si="3"/>
        <v/>
      </c>
      <c r="J91" s="1"/>
      <c r="K91" s="1"/>
      <c r="L91" s="1"/>
      <c r="M91" s="1"/>
      <c r="N91" s="1"/>
    </row>
    <row r="92" spans="1:14">
      <c r="A92" s="1"/>
      <c r="B92" s="1"/>
      <c r="C92" s="1"/>
      <c r="D92" s="1"/>
      <c r="E92" s="1"/>
      <c r="F92" s="1"/>
      <c r="G92" s="1"/>
      <c r="H92" s="6" t="str">
        <f t="shared" si="2"/>
        <v/>
      </c>
      <c r="I92" s="1" t="str">
        <f t="shared" si="3"/>
        <v/>
      </c>
      <c r="J92" s="1"/>
      <c r="K92" s="1"/>
      <c r="L92" s="1"/>
      <c r="M92" s="1"/>
      <c r="N92" s="1"/>
    </row>
    <row r="93" spans="1:14">
      <c r="A93" s="1"/>
      <c r="B93" s="1"/>
      <c r="C93" s="1"/>
      <c r="D93" s="1"/>
      <c r="E93" s="1"/>
      <c r="F93" s="1"/>
      <c r="G93" s="1"/>
      <c r="H93" s="6" t="str">
        <f t="shared" si="2"/>
        <v/>
      </c>
      <c r="I93" s="1" t="str">
        <f t="shared" si="3"/>
        <v/>
      </c>
      <c r="J93" s="1"/>
      <c r="K93" s="1"/>
      <c r="L93" s="1"/>
      <c r="M93" s="1"/>
      <c r="N93" s="1"/>
    </row>
    <row r="94" spans="1:14">
      <c r="A94" s="1"/>
      <c r="B94" s="1"/>
      <c r="C94" s="1"/>
      <c r="D94" s="1"/>
      <c r="E94" s="1"/>
      <c r="F94" s="1"/>
      <c r="G94" s="1"/>
      <c r="H94" s="6" t="str">
        <f t="shared" si="2"/>
        <v/>
      </c>
      <c r="I94" s="1" t="str">
        <f t="shared" si="3"/>
        <v/>
      </c>
      <c r="J94" s="1"/>
      <c r="K94" s="1"/>
      <c r="L94" s="1"/>
      <c r="M94" s="1"/>
      <c r="N94" s="1"/>
    </row>
    <row r="95" spans="1:14">
      <c r="A95" s="1"/>
      <c r="B95" s="1"/>
      <c r="C95" s="1"/>
      <c r="D95" s="1"/>
      <c r="E95" s="1"/>
      <c r="F95" s="1"/>
      <c r="G95" s="1"/>
      <c r="H95" s="6" t="str">
        <f t="shared" si="2"/>
        <v/>
      </c>
      <c r="I95" s="1" t="str">
        <f t="shared" si="3"/>
        <v/>
      </c>
      <c r="J95" s="1"/>
      <c r="K95" s="1"/>
      <c r="L95" s="1"/>
      <c r="M95" s="1"/>
      <c r="N95" s="1"/>
    </row>
    <row r="96" spans="1:14">
      <c r="A96" s="1"/>
      <c r="B96" s="1"/>
      <c r="C96" s="1"/>
      <c r="D96" s="1"/>
      <c r="E96" s="1"/>
      <c r="F96" s="1"/>
      <c r="G96" s="1"/>
      <c r="H96" s="6" t="str">
        <f t="shared" si="2"/>
        <v/>
      </c>
      <c r="I96" s="1" t="str">
        <f t="shared" si="3"/>
        <v/>
      </c>
      <c r="J96" s="1"/>
      <c r="K96" s="1"/>
      <c r="L96" s="1"/>
      <c r="M96" s="1"/>
      <c r="N96" s="1"/>
    </row>
    <row r="97" spans="1:14">
      <c r="A97" s="1"/>
      <c r="B97" s="1"/>
      <c r="C97" s="1"/>
      <c r="D97" s="1"/>
      <c r="E97" s="1"/>
      <c r="F97" s="1"/>
      <c r="G97" s="1"/>
      <c r="H97" s="6" t="str">
        <f t="shared" si="2"/>
        <v/>
      </c>
      <c r="I97" s="1" t="str">
        <f t="shared" si="3"/>
        <v/>
      </c>
      <c r="J97" s="1"/>
      <c r="K97" s="1"/>
      <c r="L97" s="1"/>
      <c r="M97" s="1"/>
      <c r="N97" s="1"/>
    </row>
    <row r="98" spans="1:14">
      <c r="A98" s="1"/>
      <c r="B98" s="1"/>
      <c r="C98" s="1"/>
      <c r="D98" s="1"/>
      <c r="E98" s="1"/>
      <c r="F98" s="1"/>
      <c r="G98" s="1"/>
      <c r="H98" s="6" t="str">
        <f t="shared" si="2"/>
        <v/>
      </c>
      <c r="I98" s="1" t="str">
        <f t="shared" si="3"/>
        <v/>
      </c>
      <c r="J98" s="1"/>
      <c r="K98" s="1"/>
      <c r="L98" s="1"/>
      <c r="M98" s="1"/>
      <c r="N98" s="1"/>
    </row>
    <row r="99" spans="1:14">
      <c r="A99" s="1"/>
      <c r="B99" s="1"/>
      <c r="C99" s="1"/>
      <c r="D99" s="1"/>
      <c r="E99" s="1"/>
      <c r="F99" s="1"/>
      <c r="G99" s="1"/>
      <c r="H99" s="6" t="str">
        <f t="shared" si="2"/>
        <v/>
      </c>
      <c r="I99" s="1" t="str">
        <f t="shared" si="3"/>
        <v/>
      </c>
      <c r="J99" s="1"/>
      <c r="K99" s="1"/>
      <c r="L99" s="1"/>
      <c r="M99" s="1"/>
      <c r="N99" s="1"/>
    </row>
    <row r="100" spans="1:14">
      <c r="A100" s="1"/>
      <c r="B100" s="1"/>
      <c r="C100" s="1"/>
      <c r="D100" s="1"/>
      <c r="E100" s="1"/>
      <c r="F100" s="1"/>
      <c r="G100" s="1"/>
      <c r="H100" s="6" t="str">
        <f t="shared" si="2"/>
        <v/>
      </c>
      <c r="I100" s="1" t="str">
        <f t="shared" si="3"/>
        <v/>
      </c>
      <c r="J100" s="1"/>
      <c r="K100" s="1"/>
      <c r="L100" s="1"/>
      <c r="M100" s="1"/>
      <c r="N100" s="1"/>
    </row>
    <row r="101" spans="1:14">
      <c r="A101" s="1"/>
      <c r="B101" s="1"/>
      <c r="C101" s="1"/>
      <c r="D101" s="1"/>
      <c r="E101" s="1"/>
      <c r="F101" s="1"/>
      <c r="G101" s="1"/>
      <c r="H101" s="6" t="str">
        <f t="shared" si="2"/>
        <v/>
      </c>
      <c r="I101" s="1" t="str">
        <f t="shared" si="3"/>
        <v/>
      </c>
      <c r="J101" s="1"/>
      <c r="K101" s="1"/>
      <c r="L101" s="1"/>
      <c r="M101" s="1"/>
      <c r="N101" s="1"/>
    </row>
    <row r="102" spans="1:14">
      <c r="A102" s="1"/>
      <c r="B102" s="1"/>
      <c r="C102" s="1"/>
      <c r="D102" s="1"/>
      <c r="E102" s="1"/>
      <c r="F102" s="1"/>
      <c r="G102" s="1"/>
      <c r="H102" s="6" t="str">
        <f t="shared" si="2"/>
        <v/>
      </c>
      <c r="I102" s="1" t="str">
        <f t="shared" si="3"/>
        <v/>
      </c>
      <c r="J102" s="1"/>
      <c r="K102" s="1"/>
      <c r="L102" s="1"/>
      <c r="M102" s="1"/>
      <c r="N102" s="1"/>
    </row>
    <row r="103" spans="1:14">
      <c r="A103" s="1"/>
      <c r="B103" s="1"/>
      <c r="C103" s="1"/>
      <c r="D103" s="1"/>
      <c r="E103" s="1"/>
      <c r="F103" s="1"/>
      <c r="G103" s="1"/>
      <c r="H103" s="6" t="str">
        <f t="shared" si="2"/>
        <v/>
      </c>
      <c r="I103" s="1" t="str">
        <f t="shared" si="3"/>
        <v/>
      </c>
      <c r="J103" s="1"/>
      <c r="K103" s="1"/>
      <c r="L103" s="1"/>
      <c r="M103" s="1"/>
      <c r="N103" s="1"/>
    </row>
    <row r="104" spans="1:14">
      <c r="A104" s="1"/>
      <c r="B104" s="1"/>
      <c r="C104" s="1"/>
      <c r="D104" s="1"/>
      <c r="E104" s="1"/>
      <c r="F104" s="1"/>
      <c r="G104" s="1"/>
      <c r="H104" s="6" t="str">
        <f t="shared" si="2"/>
        <v/>
      </c>
      <c r="I104" s="1" t="str">
        <f t="shared" si="3"/>
        <v/>
      </c>
      <c r="J104" s="1"/>
      <c r="K104" s="1"/>
      <c r="L104" s="1"/>
      <c r="M104" s="1"/>
      <c r="N104" s="1"/>
    </row>
    <row r="105" spans="1:14">
      <c r="A105" s="1"/>
      <c r="B105" s="1"/>
      <c r="C105" s="1"/>
      <c r="D105" s="1"/>
      <c r="E105" s="1"/>
      <c r="F105" s="1"/>
      <c r="G105" s="1"/>
      <c r="H105" s="6" t="str">
        <f t="shared" si="2"/>
        <v/>
      </c>
      <c r="I105" s="1" t="str">
        <f t="shared" si="3"/>
        <v/>
      </c>
      <c r="J105" s="1"/>
      <c r="K105" s="1"/>
      <c r="L105" s="1"/>
      <c r="M105" s="1"/>
      <c r="N105" s="1"/>
    </row>
    <row r="106" spans="1:14">
      <c r="A106" s="1"/>
      <c r="B106" s="1"/>
      <c r="C106" s="1"/>
      <c r="D106" s="1"/>
      <c r="E106" s="1"/>
      <c r="F106" s="1"/>
      <c r="G106" s="1"/>
      <c r="H106" s="6" t="str">
        <f t="shared" si="2"/>
        <v/>
      </c>
      <c r="I106" s="1" t="str">
        <f t="shared" si="3"/>
        <v/>
      </c>
      <c r="J106" s="1"/>
      <c r="K106" s="1"/>
      <c r="L106" s="1"/>
      <c r="M106" s="1"/>
      <c r="N106" s="1"/>
    </row>
    <row r="107" spans="1:14">
      <c r="A107" s="1"/>
      <c r="B107" s="1"/>
      <c r="C107" s="1"/>
      <c r="D107" s="1"/>
      <c r="E107" s="1"/>
      <c r="F107" s="1"/>
      <c r="G107" s="1"/>
      <c r="H107" s="6" t="str">
        <f t="shared" si="2"/>
        <v/>
      </c>
      <c r="I107" s="1" t="str">
        <f t="shared" si="3"/>
        <v/>
      </c>
      <c r="J107" s="1"/>
      <c r="K107" s="1"/>
      <c r="L107" s="1"/>
      <c r="M107" s="1"/>
      <c r="N107" s="1"/>
    </row>
    <row r="108" spans="1:14">
      <c r="A108" s="1"/>
      <c r="B108" s="1"/>
      <c r="C108" s="1"/>
      <c r="D108" s="1"/>
      <c r="E108" s="1"/>
      <c r="F108" s="1"/>
      <c r="G108" s="1"/>
      <c r="H108" s="6" t="str">
        <f t="shared" si="2"/>
        <v/>
      </c>
      <c r="I108" s="1" t="str">
        <f t="shared" si="3"/>
        <v/>
      </c>
      <c r="J108" s="1"/>
      <c r="K108" s="1"/>
      <c r="L108" s="1"/>
      <c r="M108" s="1"/>
      <c r="N108" s="1"/>
    </row>
    <row r="109" spans="1:14">
      <c r="A109" s="1"/>
      <c r="B109" s="1"/>
      <c r="C109" s="1"/>
      <c r="D109" s="1"/>
      <c r="E109" s="1"/>
      <c r="F109" s="1"/>
      <c r="G109" s="1"/>
      <c r="H109" s="6" t="str">
        <f t="shared" si="2"/>
        <v/>
      </c>
      <c r="I109" s="1" t="str">
        <f t="shared" si="3"/>
        <v/>
      </c>
      <c r="J109" s="1"/>
      <c r="K109" s="1"/>
      <c r="L109" s="1"/>
      <c r="M109" s="1"/>
      <c r="N109" s="1"/>
    </row>
    <row r="110" spans="1:14">
      <c r="A110" s="1"/>
      <c r="B110" s="1"/>
      <c r="C110" s="1"/>
      <c r="D110" s="1"/>
      <c r="E110" s="1"/>
      <c r="F110" s="1"/>
      <c r="G110" s="1"/>
      <c r="H110" s="6" t="str">
        <f t="shared" si="2"/>
        <v/>
      </c>
      <c r="I110" s="1" t="str">
        <f t="shared" si="3"/>
        <v/>
      </c>
      <c r="J110" s="1"/>
      <c r="K110" s="1"/>
      <c r="L110" s="1"/>
      <c r="M110" s="1"/>
      <c r="N110" s="1"/>
    </row>
    <row r="111" spans="1:14">
      <c r="A111" s="1"/>
      <c r="B111" s="1"/>
      <c r="C111" s="1"/>
      <c r="D111" s="1"/>
      <c r="E111" s="1"/>
      <c r="F111" s="1"/>
      <c r="G111" s="1"/>
      <c r="H111" s="6" t="str">
        <f t="shared" si="2"/>
        <v/>
      </c>
      <c r="I111" s="1" t="str">
        <f t="shared" si="3"/>
        <v/>
      </c>
      <c r="J111" s="1"/>
      <c r="K111" s="1"/>
      <c r="L111" s="1"/>
      <c r="M111" s="1"/>
      <c r="N111" s="1"/>
    </row>
    <row r="112" spans="1:14">
      <c r="A112" s="1"/>
      <c r="B112" s="1"/>
      <c r="C112" s="1"/>
      <c r="D112" s="1"/>
      <c r="E112" s="1"/>
      <c r="F112" s="1"/>
      <c r="G112" s="1"/>
      <c r="H112" s="6" t="str">
        <f t="shared" si="2"/>
        <v/>
      </c>
      <c r="I112" s="1" t="str">
        <f t="shared" si="3"/>
        <v/>
      </c>
      <c r="J112" s="1"/>
      <c r="K112" s="1"/>
      <c r="L112" s="1"/>
      <c r="M112" s="1"/>
      <c r="N112" s="1"/>
    </row>
    <row r="113" spans="1:14">
      <c r="A113" s="1"/>
      <c r="B113" s="1"/>
      <c r="C113" s="1"/>
      <c r="D113" s="1"/>
      <c r="E113" s="1"/>
      <c r="F113" s="1"/>
      <c r="G113" s="1"/>
      <c r="H113" s="6" t="str">
        <f t="shared" si="2"/>
        <v/>
      </c>
      <c r="I113" s="1" t="str">
        <f t="shared" si="3"/>
        <v/>
      </c>
      <c r="J113" s="1"/>
      <c r="K113" s="1"/>
      <c r="L113" s="1"/>
      <c r="M113" s="1"/>
      <c r="N113" s="1"/>
    </row>
    <row r="114" spans="1:14">
      <c r="A114" s="1"/>
      <c r="B114" s="1"/>
      <c r="C114" s="1"/>
      <c r="D114" s="1"/>
      <c r="E114" s="1"/>
      <c r="F114" s="1"/>
      <c r="G114" s="1"/>
      <c r="H114" s="6" t="str">
        <f t="shared" si="2"/>
        <v/>
      </c>
      <c r="I114" s="1" t="str">
        <f t="shared" si="3"/>
        <v/>
      </c>
      <c r="J114" s="1"/>
      <c r="K114" s="1"/>
      <c r="L114" s="1"/>
      <c r="M114" s="1"/>
      <c r="N114" s="1"/>
    </row>
    <row r="115" spans="1:14">
      <c r="A115" s="1"/>
      <c r="B115" s="1"/>
      <c r="C115" s="1"/>
      <c r="D115" s="1"/>
      <c r="E115" s="1"/>
      <c r="F115" s="1"/>
      <c r="G115" s="1"/>
      <c r="H115" s="6" t="str">
        <f t="shared" si="2"/>
        <v/>
      </c>
      <c r="I115" s="1" t="str">
        <f t="shared" si="3"/>
        <v/>
      </c>
      <c r="J115" s="1"/>
      <c r="K115" s="1"/>
      <c r="L115" s="1"/>
      <c r="M115" s="1"/>
      <c r="N115" s="1"/>
    </row>
    <row r="116" spans="1:14">
      <c r="A116" s="1"/>
      <c r="B116" s="1"/>
      <c r="C116" s="1"/>
      <c r="D116" s="1"/>
      <c r="E116" s="1"/>
      <c r="F116" s="1"/>
      <c r="G116" s="1"/>
      <c r="H116" s="6" t="str">
        <f t="shared" si="2"/>
        <v/>
      </c>
      <c r="I116" s="1" t="str">
        <f t="shared" si="3"/>
        <v/>
      </c>
      <c r="J116" s="1"/>
      <c r="K116" s="1"/>
      <c r="L116" s="1"/>
      <c r="M116" s="1"/>
      <c r="N116" s="1"/>
    </row>
    <row r="117" spans="1:14">
      <c r="A117" s="1"/>
      <c r="B117" s="1"/>
      <c r="C117" s="1"/>
      <c r="D117" s="1"/>
      <c r="E117" s="1"/>
      <c r="F117" s="1"/>
      <c r="G117" s="1"/>
      <c r="H117" s="6" t="str">
        <f t="shared" si="2"/>
        <v/>
      </c>
      <c r="I117" s="1" t="str">
        <f t="shared" si="3"/>
        <v/>
      </c>
      <c r="J117" s="1"/>
      <c r="K117" s="1"/>
      <c r="L117" s="1"/>
      <c r="M117" s="1"/>
      <c r="N117" s="1"/>
    </row>
    <row r="118" spans="1:14">
      <c r="A118" s="1"/>
      <c r="B118" s="1"/>
      <c r="C118" s="1"/>
      <c r="D118" s="1"/>
      <c r="E118" s="1"/>
      <c r="F118" s="1"/>
      <c r="G118" s="1"/>
      <c r="H118" s="6" t="str">
        <f t="shared" si="2"/>
        <v/>
      </c>
      <c r="I118" s="1" t="str">
        <f t="shared" si="3"/>
        <v/>
      </c>
      <c r="J118" s="1"/>
      <c r="K118" s="1"/>
      <c r="L118" s="1"/>
      <c r="M118" s="1"/>
      <c r="N118" s="1"/>
    </row>
    <row r="119" spans="1:14">
      <c r="A119" s="1"/>
      <c r="B119" s="1"/>
      <c r="C119" s="1"/>
      <c r="D119" s="1"/>
      <c r="E119" s="1"/>
      <c r="F119" s="1"/>
      <c r="G119" s="1"/>
      <c r="H119" s="6" t="str">
        <f t="shared" si="2"/>
        <v/>
      </c>
      <c r="I119" s="1" t="str">
        <f t="shared" si="3"/>
        <v/>
      </c>
      <c r="J119" s="1"/>
      <c r="K119" s="1"/>
      <c r="L119" s="1"/>
      <c r="M119" s="1"/>
      <c r="N119" s="1"/>
    </row>
    <row r="120" spans="1:14">
      <c r="A120" s="1"/>
      <c r="B120" s="1"/>
      <c r="C120" s="1"/>
      <c r="D120" s="1"/>
      <c r="E120" s="1"/>
      <c r="F120" s="1"/>
      <c r="G120" s="1"/>
      <c r="H120" s="6" t="str">
        <f t="shared" si="2"/>
        <v/>
      </c>
      <c r="I120" s="1" t="str">
        <f t="shared" si="3"/>
        <v/>
      </c>
      <c r="J120" s="1"/>
      <c r="K120" s="1"/>
      <c r="L120" s="1"/>
      <c r="M120" s="1"/>
      <c r="N120" s="1"/>
    </row>
    <row r="121" spans="1:14">
      <c r="A121" s="1"/>
      <c r="B121" s="1"/>
      <c r="C121" s="1"/>
      <c r="D121" s="1"/>
      <c r="E121" s="1"/>
      <c r="F121" s="1"/>
      <c r="G121" s="1"/>
      <c r="H121" s="6" t="str">
        <f t="shared" si="2"/>
        <v/>
      </c>
      <c r="I121" s="1" t="str">
        <f t="shared" si="3"/>
        <v/>
      </c>
      <c r="J121" s="1"/>
      <c r="K121" s="1"/>
      <c r="L121" s="1"/>
      <c r="M121" s="1"/>
      <c r="N121" s="1"/>
    </row>
    <row r="122" spans="1:14">
      <c r="A122" s="1"/>
      <c r="B122" s="1"/>
      <c r="C122" s="1"/>
      <c r="D122" s="1"/>
      <c r="E122" s="1"/>
      <c r="F122" s="1"/>
      <c r="G122" s="1"/>
      <c r="H122" s="6" t="str">
        <f t="shared" si="2"/>
        <v/>
      </c>
      <c r="I122" s="1" t="str">
        <f t="shared" si="3"/>
        <v/>
      </c>
      <c r="J122" s="1"/>
      <c r="K122" s="1"/>
      <c r="L122" s="1"/>
      <c r="M122" s="1"/>
      <c r="N122" s="1"/>
    </row>
    <row r="123" spans="1:14">
      <c r="A123" s="1"/>
      <c r="B123" s="1"/>
      <c r="C123" s="1"/>
      <c r="D123" s="1"/>
      <c r="E123" s="1"/>
      <c r="F123" s="1"/>
      <c r="G123" s="1"/>
      <c r="H123" s="6" t="str">
        <f t="shared" si="2"/>
        <v/>
      </c>
      <c r="I123" s="1" t="str">
        <f t="shared" si="3"/>
        <v/>
      </c>
      <c r="J123" s="1"/>
      <c r="K123" s="1"/>
      <c r="L123" s="1"/>
      <c r="M123" s="1"/>
      <c r="N123" s="1"/>
    </row>
    <row r="124" spans="1:14">
      <c r="A124" s="1"/>
      <c r="B124" s="1"/>
      <c r="C124" s="1"/>
      <c r="D124" s="1"/>
      <c r="E124" s="1"/>
      <c r="F124" s="1"/>
      <c r="G124" s="1"/>
      <c r="H124" s="6" t="str">
        <f t="shared" si="2"/>
        <v/>
      </c>
      <c r="I124" s="1" t="str">
        <f t="shared" si="3"/>
        <v/>
      </c>
      <c r="J124" s="1"/>
      <c r="K124" s="1"/>
      <c r="L124" s="1"/>
      <c r="M124" s="1"/>
      <c r="N124" s="1"/>
    </row>
    <row r="125" spans="1:14">
      <c r="A125" s="1"/>
      <c r="B125" s="1"/>
      <c r="C125" s="1"/>
      <c r="D125" s="1"/>
      <c r="E125" s="1"/>
      <c r="F125" s="1"/>
      <c r="G125" s="1"/>
      <c r="H125" s="6" t="str">
        <f t="shared" si="2"/>
        <v/>
      </c>
      <c r="I125" s="1" t="str">
        <f t="shared" si="3"/>
        <v/>
      </c>
      <c r="J125" s="1"/>
      <c r="K125" s="1"/>
      <c r="L125" s="1"/>
      <c r="M125" s="1"/>
      <c r="N125" s="1"/>
    </row>
    <row r="126" spans="1:14">
      <c r="A126" s="1"/>
      <c r="B126" s="1"/>
      <c r="C126" s="1"/>
      <c r="D126" s="1"/>
      <c r="E126" s="1"/>
      <c r="F126" s="1"/>
      <c r="G126" s="1"/>
      <c r="H126" s="6" t="str">
        <f t="shared" si="2"/>
        <v/>
      </c>
      <c r="I126" s="1" t="str">
        <f t="shared" si="3"/>
        <v/>
      </c>
      <c r="J126" s="1"/>
      <c r="K126" s="1"/>
      <c r="L126" s="1"/>
      <c r="M126" s="1"/>
      <c r="N126" s="1"/>
    </row>
    <row r="127" spans="1:14">
      <c r="A127" s="1"/>
      <c r="B127" s="1"/>
      <c r="C127" s="1"/>
      <c r="D127" s="1"/>
      <c r="E127" s="1"/>
      <c r="F127" s="1"/>
      <c r="G127" s="1"/>
      <c r="H127" s="6" t="str">
        <f t="shared" si="2"/>
        <v/>
      </c>
      <c r="I127" s="1" t="str">
        <f t="shared" si="3"/>
        <v/>
      </c>
      <c r="J127" s="1"/>
      <c r="K127" s="1"/>
      <c r="L127" s="1"/>
      <c r="M127" s="1"/>
      <c r="N127" s="1"/>
    </row>
    <row r="128" spans="1:14">
      <c r="A128" s="1"/>
      <c r="B128" s="1"/>
      <c r="C128" s="1"/>
      <c r="D128" s="1"/>
      <c r="E128" s="1"/>
      <c r="F128" s="1"/>
      <c r="G128" s="1"/>
      <c r="H128" s="6" t="str">
        <f t="shared" si="2"/>
        <v/>
      </c>
      <c r="I128" s="1" t="str">
        <f t="shared" si="3"/>
        <v/>
      </c>
      <c r="J128" s="1"/>
      <c r="K128" s="1"/>
      <c r="L128" s="1"/>
      <c r="M128" s="1"/>
      <c r="N128" s="1"/>
    </row>
    <row r="129" spans="1:14">
      <c r="A129" s="1"/>
      <c r="B129" s="1"/>
      <c r="C129" s="1"/>
      <c r="D129" s="1"/>
      <c r="E129" s="1"/>
      <c r="F129" s="1"/>
      <c r="G129" s="1"/>
      <c r="H129" s="6" t="str">
        <f t="shared" si="2"/>
        <v/>
      </c>
      <c r="I129" s="1" t="str">
        <f t="shared" si="3"/>
        <v/>
      </c>
      <c r="J129" s="1"/>
      <c r="K129" s="1"/>
      <c r="L129" s="1"/>
      <c r="M129" s="1"/>
      <c r="N129" s="1"/>
    </row>
    <row r="130" spans="1:14">
      <c r="A130" s="1"/>
      <c r="B130" s="1"/>
      <c r="C130" s="1"/>
      <c r="D130" s="1"/>
      <c r="E130" s="1"/>
      <c r="F130" s="1"/>
      <c r="G130" s="1"/>
      <c r="H130" s="6" t="str">
        <f t="shared" ref="H130:H193" si="4">IF(OR(F130="",G130=""),"",F130*G130)</f>
        <v/>
      </c>
      <c r="I130" s="1" t="str">
        <f t="shared" ref="I130:I193" si="5">IF(H130="","",IF(H130&gt;=20,"Critique",IF(H130&gt;=12,"Élevé",IF(H130&gt;=6,"Moyen","Faible"))))</f>
        <v/>
      </c>
      <c r="J130" s="1"/>
      <c r="K130" s="1"/>
      <c r="L130" s="1"/>
      <c r="M130" s="1"/>
      <c r="N130" s="1"/>
    </row>
    <row r="131" spans="1:14">
      <c r="A131" s="1"/>
      <c r="B131" s="1"/>
      <c r="C131" s="1"/>
      <c r="D131" s="1"/>
      <c r="E131" s="1"/>
      <c r="F131" s="1"/>
      <c r="G131" s="1"/>
      <c r="H131" s="6" t="str">
        <f t="shared" si="4"/>
        <v/>
      </c>
      <c r="I131" s="1" t="str">
        <f t="shared" si="5"/>
        <v/>
      </c>
      <c r="J131" s="1"/>
      <c r="K131" s="1"/>
      <c r="L131" s="1"/>
      <c r="M131" s="1"/>
      <c r="N131" s="1"/>
    </row>
    <row r="132" spans="1:14">
      <c r="A132" s="1"/>
      <c r="B132" s="1"/>
      <c r="C132" s="1"/>
      <c r="D132" s="1"/>
      <c r="E132" s="1"/>
      <c r="F132" s="1"/>
      <c r="G132" s="1"/>
      <c r="H132" s="6" t="str">
        <f t="shared" si="4"/>
        <v/>
      </c>
      <c r="I132" s="1" t="str">
        <f t="shared" si="5"/>
        <v/>
      </c>
      <c r="J132" s="1"/>
      <c r="K132" s="1"/>
      <c r="L132" s="1"/>
      <c r="M132" s="1"/>
      <c r="N132" s="1"/>
    </row>
    <row r="133" spans="1:14">
      <c r="A133" s="1"/>
      <c r="B133" s="1"/>
      <c r="C133" s="1"/>
      <c r="D133" s="1"/>
      <c r="E133" s="1"/>
      <c r="F133" s="1"/>
      <c r="G133" s="1"/>
      <c r="H133" s="6" t="str">
        <f t="shared" si="4"/>
        <v/>
      </c>
      <c r="I133" s="1" t="str">
        <f t="shared" si="5"/>
        <v/>
      </c>
      <c r="J133" s="1"/>
      <c r="K133" s="1"/>
      <c r="L133" s="1"/>
      <c r="M133" s="1"/>
      <c r="N133" s="1"/>
    </row>
    <row r="134" spans="1:14">
      <c r="A134" s="1"/>
      <c r="B134" s="1"/>
      <c r="C134" s="1"/>
      <c r="D134" s="1"/>
      <c r="E134" s="1"/>
      <c r="F134" s="1"/>
      <c r="G134" s="1"/>
      <c r="H134" s="6" t="str">
        <f t="shared" si="4"/>
        <v/>
      </c>
      <c r="I134" s="1" t="str">
        <f t="shared" si="5"/>
        <v/>
      </c>
      <c r="J134" s="1"/>
      <c r="K134" s="1"/>
      <c r="L134" s="1"/>
      <c r="M134" s="1"/>
      <c r="N134" s="1"/>
    </row>
    <row r="135" spans="1:14">
      <c r="A135" s="1"/>
      <c r="B135" s="1"/>
      <c r="C135" s="1"/>
      <c r="D135" s="1"/>
      <c r="E135" s="1"/>
      <c r="F135" s="1"/>
      <c r="G135" s="1"/>
      <c r="H135" s="6" t="str">
        <f t="shared" si="4"/>
        <v/>
      </c>
      <c r="I135" s="1" t="str">
        <f t="shared" si="5"/>
        <v/>
      </c>
      <c r="J135" s="1"/>
      <c r="K135" s="1"/>
      <c r="L135" s="1"/>
      <c r="M135" s="1"/>
      <c r="N135" s="1"/>
    </row>
    <row r="136" spans="1:14">
      <c r="A136" s="1"/>
      <c r="B136" s="1"/>
      <c r="C136" s="1"/>
      <c r="D136" s="1"/>
      <c r="E136" s="1"/>
      <c r="F136" s="1"/>
      <c r="G136" s="1"/>
      <c r="H136" s="6" t="str">
        <f t="shared" si="4"/>
        <v/>
      </c>
      <c r="I136" s="1" t="str">
        <f t="shared" si="5"/>
        <v/>
      </c>
      <c r="J136" s="1"/>
      <c r="K136" s="1"/>
      <c r="L136" s="1"/>
      <c r="M136" s="1"/>
      <c r="N136" s="1"/>
    </row>
    <row r="137" spans="1:14">
      <c r="A137" s="1"/>
      <c r="B137" s="1"/>
      <c r="C137" s="1"/>
      <c r="D137" s="1"/>
      <c r="E137" s="1"/>
      <c r="F137" s="1"/>
      <c r="G137" s="1"/>
      <c r="H137" s="6" t="str">
        <f t="shared" si="4"/>
        <v/>
      </c>
      <c r="I137" s="1" t="str">
        <f t="shared" si="5"/>
        <v/>
      </c>
      <c r="J137" s="1"/>
      <c r="K137" s="1"/>
      <c r="L137" s="1"/>
      <c r="M137" s="1"/>
      <c r="N137" s="1"/>
    </row>
    <row r="138" spans="1:14">
      <c r="A138" s="1"/>
      <c r="B138" s="1"/>
      <c r="C138" s="1"/>
      <c r="D138" s="1"/>
      <c r="E138" s="1"/>
      <c r="F138" s="1"/>
      <c r="G138" s="1"/>
      <c r="H138" s="6" t="str">
        <f t="shared" si="4"/>
        <v/>
      </c>
      <c r="I138" s="1" t="str">
        <f t="shared" si="5"/>
        <v/>
      </c>
      <c r="J138" s="1"/>
      <c r="K138" s="1"/>
      <c r="L138" s="1"/>
      <c r="M138" s="1"/>
      <c r="N138" s="1"/>
    </row>
    <row r="139" spans="1:14">
      <c r="A139" s="1"/>
      <c r="B139" s="1"/>
      <c r="C139" s="1"/>
      <c r="D139" s="1"/>
      <c r="E139" s="1"/>
      <c r="F139" s="1"/>
      <c r="G139" s="1"/>
      <c r="H139" s="6" t="str">
        <f t="shared" si="4"/>
        <v/>
      </c>
      <c r="I139" s="1" t="str">
        <f t="shared" si="5"/>
        <v/>
      </c>
      <c r="J139" s="1"/>
      <c r="K139" s="1"/>
      <c r="L139" s="1"/>
      <c r="M139" s="1"/>
      <c r="N139" s="1"/>
    </row>
    <row r="140" spans="1:14">
      <c r="A140" s="1"/>
      <c r="B140" s="1"/>
      <c r="C140" s="1"/>
      <c r="D140" s="1"/>
      <c r="E140" s="1"/>
      <c r="F140" s="1"/>
      <c r="G140" s="1"/>
      <c r="H140" s="6" t="str">
        <f t="shared" si="4"/>
        <v/>
      </c>
      <c r="I140" s="1" t="str">
        <f t="shared" si="5"/>
        <v/>
      </c>
      <c r="J140" s="1"/>
      <c r="K140" s="1"/>
      <c r="L140" s="1"/>
      <c r="M140" s="1"/>
      <c r="N140" s="1"/>
    </row>
    <row r="141" spans="1:14">
      <c r="A141" s="1"/>
      <c r="B141" s="1"/>
      <c r="C141" s="1"/>
      <c r="D141" s="1"/>
      <c r="E141" s="1"/>
      <c r="F141" s="1"/>
      <c r="G141" s="1"/>
      <c r="H141" s="6" t="str">
        <f t="shared" si="4"/>
        <v/>
      </c>
      <c r="I141" s="1" t="str">
        <f t="shared" si="5"/>
        <v/>
      </c>
      <c r="J141" s="1"/>
      <c r="K141" s="1"/>
      <c r="L141" s="1"/>
      <c r="M141" s="1"/>
      <c r="N141" s="1"/>
    </row>
    <row r="142" spans="1:14">
      <c r="A142" s="1"/>
      <c r="B142" s="1"/>
      <c r="C142" s="1"/>
      <c r="D142" s="1"/>
      <c r="E142" s="1"/>
      <c r="F142" s="1"/>
      <c r="G142" s="1"/>
      <c r="H142" s="6" t="str">
        <f t="shared" si="4"/>
        <v/>
      </c>
      <c r="I142" s="1" t="str">
        <f t="shared" si="5"/>
        <v/>
      </c>
      <c r="J142" s="1"/>
      <c r="K142" s="1"/>
      <c r="L142" s="1"/>
      <c r="M142" s="1"/>
      <c r="N142" s="1"/>
    </row>
    <row r="143" spans="1:14">
      <c r="A143" s="1"/>
      <c r="B143" s="1"/>
      <c r="C143" s="1"/>
      <c r="D143" s="1"/>
      <c r="E143" s="1"/>
      <c r="F143" s="1"/>
      <c r="G143" s="1"/>
      <c r="H143" s="6" t="str">
        <f t="shared" si="4"/>
        <v/>
      </c>
      <c r="I143" s="1" t="str">
        <f t="shared" si="5"/>
        <v/>
      </c>
      <c r="J143" s="1"/>
      <c r="K143" s="1"/>
      <c r="L143" s="1"/>
      <c r="M143" s="1"/>
      <c r="N143" s="1"/>
    </row>
    <row r="144" spans="1:14">
      <c r="A144" s="1"/>
      <c r="B144" s="1"/>
      <c r="C144" s="1"/>
      <c r="D144" s="1"/>
      <c r="E144" s="1"/>
      <c r="F144" s="1"/>
      <c r="G144" s="1"/>
      <c r="H144" s="6" t="str">
        <f t="shared" si="4"/>
        <v/>
      </c>
      <c r="I144" s="1" t="str">
        <f t="shared" si="5"/>
        <v/>
      </c>
      <c r="J144" s="1"/>
      <c r="K144" s="1"/>
      <c r="L144" s="1"/>
      <c r="M144" s="1"/>
      <c r="N144" s="1"/>
    </row>
    <row r="145" spans="1:14">
      <c r="A145" s="1"/>
      <c r="B145" s="1"/>
      <c r="C145" s="1"/>
      <c r="D145" s="1"/>
      <c r="E145" s="1"/>
      <c r="F145" s="1"/>
      <c r="G145" s="1"/>
      <c r="H145" s="6" t="str">
        <f t="shared" si="4"/>
        <v/>
      </c>
      <c r="I145" s="1" t="str">
        <f t="shared" si="5"/>
        <v/>
      </c>
      <c r="J145" s="1"/>
      <c r="K145" s="1"/>
      <c r="L145" s="1"/>
      <c r="M145" s="1"/>
      <c r="N145" s="1"/>
    </row>
    <row r="146" spans="1:14">
      <c r="A146" s="1"/>
      <c r="B146" s="1"/>
      <c r="C146" s="1"/>
      <c r="D146" s="1"/>
      <c r="E146" s="1"/>
      <c r="F146" s="1"/>
      <c r="G146" s="1"/>
      <c r="H146" s="6" t="str">
        <f t="shared" si="4"/>
        <v/>
      </c>
      <c r="I146" s="1" t="str">
        <f t="shared" si="5"/>
        <v/>
      </c>
      <c r="J146" s="1"/>
      <c r="K146" s="1"/>
      <c r="L146" s="1"/>
      <c r="M146" s="1"/>
      <c r="N146" s="1"/>
    </row>
    <row r="147" spans="1:14">
      <c r="A147" s="1"/>
      <c r="B147" s="1"/>
      <c r="C147" s="1"/>
      <c r="D147" s="1"/>
      <c r="E147" s="1"/>
      <c r="F147" s="1"/>
      <c r="G147" s="1"/>
      <c r="H147" s="6" t="str">
        <f t="shared" si="4"/>
        <v/>
      </c>
      <c r="I147" s="1" t="str">
        <f t="shared" si="5"/>
        <v/>
      </c>
      <c r="J147" s="1"/>
      <c r="K147" s="1"/>
      <c r="L147" s="1"/>
      <c r="M147" s="1"/>
      <c r="N147" s="1"/>
    </row>
    <row r="148" spans="1:14">
      <c r="A148" s="1"/>
      <c r="B148" s="1"/>
      <c r="C148" s="1"/>
      <c r="D148" s="1"/>
      <c r="E148" s="1"/>
      <c r="F148" s="1"/>
      <c r="G148" s="1"/>
      <c r="H148" s="6" t="str">
        <f t="shared" si="4"/>
        <v/>
      </c>
      <c r="I148" s="1" t="str">
        <f t="shared" si="5"/>
        <v/>
      </c>
      <c r="J148" s="1"/>
      <c r="K148" s="1"/>
      <c r="L148" s="1"/>
      <c r="M148" s="1"/>
      <c r="N148" s="1"/>
    </row>
    <row r="149" spans="1:14">
      <c r="A149" s="1"/>
      <c r="B149" s="1"/>
      <c r="C149" s="1"/>
      <c r="D149" s="1"/>
      <c r="E149" s="1"/>
      <c r="F149" s="1"/>
      <c r="G149" s="1"/>
      <c r="H149" s="6" t="str">
        <f t="shared" si="4"/>
        <v/>
      </c>
      <c r="I149" s="1" t="str">
        <f t="shared" si="5"/>
        <v/>
      </c>
      <c r="J149" s="1"/>
      <c r="K149" s="1"/>
      <c r="L149" s="1"/>
      <c r="M149" s="1"/>
      <c r="N149" s="1"/>
    </row>
    <row r="150" spans="1:14">
      <c r="A150" s="1"/>
      <c r="B150" s="1"/>
      <c r="C150" s="1"/>
      <c r="D150" s="1"/>
      <c r="E150" s="1"/>
      <c r="F150" s="1"/>
      <c r="G150" s="1"/>
      <c r="H150" s="6" t="str">
        <f t="shared" si="4"/>
        <v/>
      </c>
      <c r="I150" s="1" t="str">
        <f t="shared" si="5"/>
        <v/>
      </c>
      <c r="J150" s="1"/>
      <c r="K150" s="1"/>
      <c r="L150" s="1"/>
      <c r="M150" s="1"/>
      <c r="N150" s="1"/>
    </row>
    <row r="151" spans="1:14">
      <c r="A151" s="1"/>
      <c r="B151" s="1"/>
      <c r="C151" s="1"/>
      <c r="D151" s="1"/>
      <c r="E151" s="1"/>
      <c r="F151" s="1"/>
      <c r="G151" s="1"/>
      <c r="H151" s="6" t="str">
        <f t="shared" si="4"/>
        <v/>
      </c>
      <c r="I151" s="1" t="str">
        <f t="shared" si="5"/>
        <v/>
      </c>
      <c r="J151" s="1"/>
      <c r="K151" s="1"/>
      <c r="L151" s="1"/>
      <c r="M151" s="1"/>
      <c r="N151" s="1"/>
    </row>
    <row r="152" spans="1:14">
      <c r="A152" s="1"/>
      <c r="B152" s="1"/>
      <c r="C152" s="1"/>
      <c r="D152" s="1"/>
      <c r="E152" s="1"/>
      <c r="F152" s="1"/>
      <c r="G152" s="1"/>
      <c r="H152" s="6" t="str">
        <f t="shared" si="4"/>
        <v/>
      </c>
      <c r="I152" s="1" t="str">
        <f t="shared" si="5"/>
        <v/>
      </c>
      <c r="J152" s="1"/>
      <c r="K152" s="1"/>
      <c r="L152" s="1"/>
      <c r="M152" s="1"/>
      <c r="N152" s="1"/>
    </row>
    <row r="153" spans="1:14">
      <c r="A153" s="1"/>
      <c r="B153" s="1"/>
      <c r="C153" s="1"/>
      <c r="D153" s="1"/>
      <c r="E153" s="1"/>
      <c r="F153" s="1"/>
      <c r="G153" s="1"/>
      <c r="H153" s="6" t="str">
        <f t="shared" si="4"/>
        <v/>
      </c>
      <c r="I153" s="1" t="str">
        <f t="shared" si="5"/>
        <v/>
      </c>
      <c r="J153" s="1"/>
      <c r="K153" s="1"/>
      <c r="L153" s="1"/>
      <c r="M153" s="1"/>
      <c r="N153" s="1"/>
    </row>
    <row r="154" spans="1:14">
      <c r="A154" s="1"/>
      <c r="B154" s="1"/>
      <c r="C154" s="1"/>
      <c r="D154" s="1"/>
      <c r="E154" s="1"/>
      <c r="F154" s="1"/>
      <c r="G154" s="1"/>
      <c r="H154" s="6" t="str">
        <f t="shared" si="4"/>
        <v/>
      </c>
      <c r="I154" s="1" t="str">
        <f t="shared" si="5"/>
        <v/>
      </c>
      <c r="J154" s="1"/>
      <c r="K154" s="1"/>
      <c r="L154" s="1"/>
      <c r="M154" s="1"/>
      <c r="N154" s="1"/>
    </row>
    <row r="155" spans="1:14">
      <c r="A155" s="1"/>
      <c r="B155" s="1"/>
      <c r="C155" s="1"/>
      <c r="D155" s="1"/>
      <c r="E155" s="1"/>
      <c r="F155" s="1"/>
      <c r="G155" s="1"/>
      <c r="H155" s="6" t="str">
        <f t="shared" si="4"/>
        <v/>
      </c>
      <c r="I155" s="1" t="str">
        <f t="shared" si="5"/>
        <v/>
      </c>
      <c r="J155" s="1"/>
      <c r="K155" s="1"/>
      <c r="L155" s="1"/>
      <c r="M155" s="1"/>
      <c r="N155" s="1"/>
    </row>
    <row r="156" spans="1:14">
      <c r="A156" s="1"/>
      <c r="B156" s="1"/>
      <c r="C156" s="1"/>
      <c r="D156" s="1"/>
      <c r="E156" s="1"/>
      <c r="F156" s="1"/>
      <c r="G156" s="1"/>
      <c r="H156" s="6" t="str">
        <f t="shared" si="4"/>
        <v/>
      </c>
      <c r="I156" s="1" t="str">
        <f t="shared" si="5"/>
        <v/>
      </c>
      <c r="J156" s="1"/>
      <c r="K156" s="1"/>
      <c r="L156" s="1"/>
      <c r="M156" s="1"/>
      <c r="N156" s="1"/>
    </row>
    <row r="157" spans="1:14">
      <c r="A157" s="1"/>
      <c r="B157" s="1"/>
      <c r="C157" s="1"/>
      <c r="D157" s="1"/>
      <c r="E157" s="1"/>
      <c r="F157" s="1"/>
      <c r="G157" s="1"/>
      <c r="H157" s="6" t="str">
        <f t="shared" si="4"/>
        <v/>
      </c>
      <c r="I157" s="1" t="str">
        <f t="shared" si="5"/>
        <v/>
      </c>
      <c r="J157" s="1"/>
      <c r="K157" s="1"/>
      <c r="L157" s="1"/>
      <c r="M157" s="1"/>
      <c r="N157" s="1"/>
    </row>
    <row r="158" spans="1:14">
      <c r="A158" s="1"/>
      <c r="B158" s="1"/>
      <c r="C158" s="1"/>
      <c r="D158" s="1"/>
      <c r="E158" s="1"/>
      <c r="F158" s="1"/>
      <c r="G158" s="1"/>
      <c r="H158" s="6" t="str">
        <f t="shared" si="4"/>
        <v/>
      </c>
      <c r="I158" s="1" t="str">
        <f t="shared" si="5"/>
        <v/>
      </c>
      <c r="J158" s="1"/>
      <c r="K158" s="1"/>
      <c r="L158" s="1"/>
      <c r="M158" s="1"/>
      <c r="N158" s="1"/>
    </row>
    <row r="159" spans="1:14">
      <c r="A159" s="1"/>
      <c r="B159" s="1"/>
      <c r="C159" s="1"/>
      <c r="D159" s="1"/>
      <c r="E159" s="1"/>
      <c r="F159" s="1"/>
      <c r="G159" s="1"/>
      <c r="H159" s="6" t="str">
        <f t="shared" si="4"/>
        <v/>
      </c>
      <c r="I159" s="1" t="str">
        <f t="shared" si="5"/>
        <v/>
      </c>
      <c r="J159" s="1"/>
      <c r="K159" s="1"/>
      <c r="L159" s="1"/>
      <c r="M159" s="1"/>
      <c r="N159" s="1"/>
    </row>
    <row r="160" spans="1:14">
      <c r="A160" s="1"/>
      <c r="B160" s="1"/>
      <c r="C160" s="1"/>
      <c r="D160" s="1"/>
      <c r="E160" s="1"/>
      <c r="F160" s="1"/>
      <c r="G160" s="1"/>
      <c r="H160" s="6" t="str">
        <f t="shared" si="4"/>
        <v/>
      </c>
      <c r="I160" s="1" t="str">
        <f t="shared" si="5"/>
        <v/>
      </c>
      <c r="J160" s="1"/>
      <c r="K160" s="1"/>
      <c r="L160" s="1"/>
      <c r="M160" s="1"/>
      <c r="N160" s="1"/>
    </row>
    <row r="161" spans="1:14">
      <c r="A161" s="1"/>
      <c r="B161" s="1"/>
      <c r="C161" s="1"/>
      <c r="D161" s="1"/>
      <c r="E161" s="1"/>
      <c r="F161" s="1"/>
      <c r="G161" s="1"/>
      <c r="H161" s="6" t="str">
        <f t="shared" si="4"/>
        <v/>
      </c>
      <c r="I161" s="1" t="str">
        <f t="shared" si="5"/>
        <v/>
      </c>
      <c r="J161" s="1"/>
      <c r="K161" s="1"/>
      <c r="L161" s="1"/>
      <c r="M161" s="1"/>
      <c r="N161" s="1"/>
    </row>
    <row r="162" spans="1:14">
      <c r="A162" s="1"/>
      <c r="B162" s="1"/>
      <c r="C162" s="1"/>
      <c r="D162" s="1"/>
      <c r="E162" s="1"/>
      <c r="F162" s="1"/>
      <c r="G162" s="1"/>
      <c r="H162" s="6" t="str">
        <f t="shared" si="4"/>
        <v/>
      </c>
      <c r="I162" s="1" t="str">
        <f t="shared" si="5"/>
        <v/>
      </c>
      <c r="J162" s="1"/>
      <c r="K162" s="1"/>
      <c r="L162" s="1"/>
      <c r="M162" s="1"/>
      <c r="N162" s="1"/>
    </row>
    <row r="163" spans="1:14">
      <c r="A163" s="1"/>
      <c r="B163" s="1"/>
      <c r="C163" s="1"/>
      <c r="D163" s="1"/>
      <c r="E163" s="1"/>
      <c r="F163" s="1"/>
      <c r="G163" s="1"/>
      <c r="H163" s="6" t="str">
        <f t="shared" si="4"/>
        <v/>
      </c>
      <c r="I163" s="1" t="str">
        <f t="shared" si="5"/>
        <v/>
      </c>
      <c r="J163" s="1"/>
      <c r="K163" s="1"/>
      <c r="L163" s="1"/>
      <c r="M163" s="1"/>
      <c r="N163" s="1"/>
    </row>
    <row r="164" spans="1:14">
      <c r="A164" s="1"/>
      <c r="B164" s="1"/>
      <c r="C164" s="1"/>
      <c r="D164" s="1"/>
      <c r="E164" s="1"/>
      <c r="F164" s="1"/>
      <c r="G164" s="1"/>
      <c r="H164" s="6" t="str">
        <f t="shared" si="4"/>
        <v/>
      </c>
      <c r="I164" s="1" t="str">
        <f t="shared" si="5"/>
        <v/>
      </c>
      <c r="J164" s="1"/>
      <c r="K164" s="1"/>
      <c r="L164" s="1"/>
      <c r="M164" s="1"/>
      <c r="N164" s="1"/>
    </row>
    <row r="165" spans="1:14">
      <c r="A165" s="1"/>
      <c r="B165" s="1"/>
      <c r="C165" s="1"/>
      <c r="D165" s="1"/>
      <c r="E165" s="1"/>
      <c r="F165" s="1"/>
      <c r="G165" s="1"/>
      <c r="H165" s="6" t="str">
        <f t="shared" si="4"/>
        <v/>
      </c>
      <c r="I165" s="1" t="str">
        <f t="shared" si="5"/>
        <v/>
      </c>
      <c r="J165" s="1"/>
      <c r="K165" s="1"/>
      <c r="L165" s="1"/>
      <c r="M165" s="1"/>
      <c r="N165" s="1"/>
    </row>
    <row r="166" spans="1:14">
      <c r="A166" s="1"/>
      <c r="B166" s="1"/>
      <c r="C166" s="1"/>
      <c r="D166" s="1"/>
      <c r="E166" s="1"/>
      <c r="F166" s="1"/>
      <c r="G166" s="1"/>
      <c r="H166" s="6" t="str">
        <f t="shared" si="4"/>
        <v/>
      </c>
      <c r="I166" s="1" t="str">
        <f t="shared" si="5"/>
        <v/>
      </c>
      <c r="J166" s="1"/>
      <c r="K166" s="1"/>
      <c r="L166" s="1"/>
      <c r="M166" s="1"/>
      <c r="N166" s="1"/>
    </row>
    <row r="167" spans="1:14">
      <c r="A167" s="1"/>
      <c r="B167" s="1"/>
      <c r="C167" s="1"/>
      <c r="D167" s="1"/>
      <c r="E167" s="1"/>
      <c r="F167" s="1"/>
      <c r="G167" s="1"/>
      <c r="H167" s="6" t="str">
        <f t="shared" si="4"/>
        <v/>
      </c>
      <c r="I167" s="1" t="str">
        <f t="shared" si="5"/>
        <v/>
      </c>
      <c r="J167" s="1"/>
      <c r="K167" s="1"/>
      <c r="L167" s="1"/>
      <c r="M167" s="1"/>
      <c r="N167" s="1"/>
    </row>
    <row r="168" spans="1:14">
      <c r="A168" s="1"/>
      <c r="B168" s="1"/>
      <c r="C168" s="1"/>
      <c r="D168" s="1"/>
      <c r="E168" s="1"/>
      <c r="F168" s="1"/>
      <c r="G168" s="1"/>
      <c r="H168" s="6" t="str">
        <f t="shared" si="4"/>
        <v/>
      </c>
      <c r="I168" s="1" t="str">
        <f t="shared" si="5"/>
        <v/>
      </c>
      <c r="J168" s="1"/>
      <c r="K168" s="1"/>
      <c r="L168" s="1"/>
      <c r="M168" s="1"/>
      <c r="N168" s="1"/>
    </row>
    <row r="169" spans="1:14">
      <c r="A169" s="1"/>
      <c r="B169" s="1"/>
      <c r="C169" s="1"/>
      <c r="D169" s="1"/>
      <c r="E169" s="1"/>
      <c r="F169" s="1"/>
      <c r="G169" s="1"/>
      <c r="H169" s="6" t="str">
        <f t="shared" si="4"/>
        <v/>
      </c>
      <c r="I169" s="1" t="str">
        <f t="shared" si="5"/>
        <v/>
      </c>
      <c r="J169" s="1"/>
      <c r="K169" s="1"/>
      <c r="L169" s="1"/>
      <c r="M169" s="1"/>
      <c r="N169" s="1"/>
    </row>
    <row r="170" spans="1:14">
      <c r="A170" s="1"/>
      <c r="B170" s="1"/>
      <c r="C170" s="1"/>
      <c r="D170" s="1"/>
      <c r="E170" s="1"/>
      <c r="F170" s="1"/>
      <c r="G170" s="1"/>
      <c r="H170" s="6" t="str">
        <f t="shared" si="4"/>
        <v/>
      </c>
      <c r="I170" s="1" t="str">
        <f t="shared" si="5"/>
        <v/>
      </c>
      <c r="J170" s="1"/>
      <c r="K170" s="1"/>
      <c r="L170" s="1"/>
      <c r="M170" s="1"/>
      <c r="N170" s="1"/>
    </row>
    <row r="171" spans="1:14">
      <c r="A171" s="1"/>
      <c r="B171" s="1"/>
      <c r="C171" s="1"/>
      <c r="D171" s="1"/>
      <c r="E171" s="1"/>
      <c r="F171" s="1"/>
      <c r="G171" s="1"/>
      <c r="H171" s="6" t="str">
        <f t="shared" si="4"/>
        <v/>
      </c>
      <c r="I171" s="1" t="str">
        <f t="shared" si="5"/>
        <v/>
      </c>
      <c r="J171" s="1"/>
      <c r="K171" s="1"/>
      <c r="L171" s="1"/>
      <c r="M171" s="1"/>
      <c r="N171" s="1"/>
    </row>
    <row r="172" spans="1:14">
      <c r="A172" s="1"/>
      <c r="B172" s="1"/>
      <c r="C172" s="1"/>
      <c r="D172" s="1"/>
      <c r="E172" s="1"/>
      <c r="F172" s="1"/>
      <c r="G172" s="1"/>
      <c r="H172" s="6" t="str">
        <f t="shared" si="4"/>
        <v/>
      </c>
      <c r="I172" s="1" t="str">
        <f t="shared" si="5"/>
        <v/>
      </c>
      <c r="J172" s="1"/>
      <c r="K172" s="1"/>
      <c r="L172" s="1"/>
      <c r="M172" s="1"/>
      <c r="N172" s="1"/>
    </row>
    <row r="173" spans="1:14">
      <c r="A173" s="1"/>
      <c r="B173" s="1"/>
      <c r="C173" s="1"/>
      <c r="D173" s="1"/>
      <c r="E173" s="1"/>
      <c r="F173" s="1"/>
      <c r="G173" s="1"/>
      <c r="H173" s="6" t="str">
        <f t="shared" si="4"/>
        <v/>
      </c>
      <c r="I173" s="1" t="str">
        <f t="shared" si="5"/>
        <v/>
      </c>
      <c r="J173" s="1"/>
      <c r="K173" s="1"/>
      <c r="L173" s="1"/>
      <c r="M173" s="1"/>
      <c r="N173" s="1"/>
    </row>
    <row r="174" spans="1:14">
      <c r="A174" s="1"/>
      <c r="B174" s="1"/>
      <c r="C174" s="1"/>
      <c r="D174" s="1"/>
      <c r="E174" s="1"/>
      <c r="F174" s="1"/>
      <c r="G174" s="1"/>
      <c r="H174" s="6" t="str">
        <f t="shared" si="4"/>
        <v/>
      </c>
      <c r="I174" s="1" t="str">
        <f t="shared" si="5"/>
        <v/>
      </c>
      <c r="J174" s="1"/>
      <c r="K174" s="1"/>
      <c r="L174" s="1"/>
      <c r="M174" s="1"/>
      <c r="N174" s="1"/>
    </row>
    <row r="175" spans="1:14">
      <c r="A175" s="1"/>
      <c r="B175" s="1"/>
      <c r="C175" s="1"/>
      <c r="D175" s="1"/>
      <c r="E175" s="1"/>
      <c r="F175" s="1"/>
      <c r="G175" s="1"/>
      <c r="H175" s="6" t="str">
        <f t="shared" si="4"/>
        <v/>
      </c>
      <c r="I175" s="1" t="str">
        <f t="shared" si="5"/>
        <v/>
      </c>
      <c r="J175" s="1"/>
      <c r="K175" s="1"/>
      <c r="L175" s="1"/>
      <c r="M175" s="1"/>
      <c r="N175" s="1"/>
    </row>
    <row r="176" spans="1:14">
      <c r="A176" s="1"/>
      <c r="B176" s="1"/>
      <c r="C176" s="1"/>
      <c r="D176" s="1"/>
      <c r="E176" s="1"/>
      <c r="F176" s="1"/>
      <c r="G176" s="1"/>
      <c r="H176" s="6" t="str">
        <f t="shared" si="4"/>
        <v/>
      </c>
      <c r="I176" s="1" t="str">
        <f t="shared" si="5"/>
        <v/>
      </c>
      <c r="J176" s="1"/>
      <c r="K176" s="1"/>
      <c r="L176" s="1"/>
      <c r="M176" s="1"/>
      <c r="N176" s="1"/>
    </row>
    <row r="177" spans="1:14">
      <c r="A177" s="1"/>
      <c r="B177" s="1"/>
      <c r="C177" s="1"/>
      <c r="D177" s="1"/>
      <c r="E177" s="1"/>
      <c r="F177" s="1"/>
      <c r="G177" s="1"/>
      <c r="H177" s="6" t="str">
        <f t="shared" si="4"/>
        <v/>
      </c>
      <c r="I177" s="1" t="str">
        <f t="shared" si="5"/>
        <v/>
      </c>
      <c r="J177" s="1"/>
      <c r="K177" s="1"/>
      <c r="L177" s="1"/>
      <c r="M177" s="1"/>
      <c r="N177" s="1"/>
    </row>
    <row r="178" spans="1:14">
      <c r="A178" s="1"/>
      <c r="B178" s="1"/>
      <c r="C178" s="1"/>
      <c r="D178" s="1"/>
      <c r="E178" s="1"/>
      <c r="F178" s="1"/>
      <c r="G178" s="1"/>
      <c r="H178" s="6" t="str">
        <f t="shared" si="4"/>
        <v/>
      </c>
      <c r="I178" s="1" t="str">
        <f t="shared" si="5"/>
        <v/>
      </c>
      <c r="J178" s="1"/>
      <c r="K178" s="1"/>
      <c r="L178" s="1"/>
      <c r="M178" s="1"/>
      <c r="N178" s="1"/>
    </row>
    <row r="179" spans="1:14">
      <c r="A179" s="1"/>
      <c r="B179" s="1"/>
      <c r="C179" s="1"/>
      <c r="D179" s="1"/>
      <c r="E179" s="1"/>
      <c r="F179" s="1"/>
      <c r="G179" s="1"/>
      <c r="H179" s="6" t="str">
        <f t="shared" si="4"/>
        <v/>
      </c>
      <c r="I179" s="1" t="str">
        <f t="shared" si="5"/>
        <v/>
      </c>
      <c r="J179" s="1"/>
      <c r="K179" s="1"/>
      <c r="L179" s="1"/>
      <c r="M179" s="1"/>
      <c r="N179" s="1"/>
    </row>
    <row r="180" spans="1:14">
      <c r="A180" s="1"/>
      <c r="B180" s="1"/>
      <c r="C180" s="1"/>
      <c r="D180" s="1"/>
      <c r="E180" s="1"/>
      <c r="F180" s="1"/>
      <c r="G180" s="1"/>
      <c r="H180" s="6" t="str">
        <f t="shared" si="4"/>
        <v/>
      </c>
      <c r="I180" s="1" t="str">
        <f t="shared" si="5"/>
        <v/>
      </c>
      <c r="J180" s="1"/>
      <c r="K180" s="1"/>
      <c r="L180" s="1"/>
      <c r="M180" s="1"/>
      <c r="N180" s="1"/>
    </row>
    <row r="181" spans="1:14">
      <c r="A181" s="1"/>
      <c r="B181" s="1"/>
      <c r="C181" s="1"/>
      <c r="D181" s="1"/>
      <c r="E181" s="1"/>
      <c r="F181" s="1"/>
      <c r="G181" s="1"/>
      <c r="H181" s="6" t="str">
        <f t="shared" si="4"/>
        <v/>
      </c>
      <c r="I181" s="1" t="str">
        <f t="shared" si="5"/>
        <v/>
      </c>
      <c r="J181" s="1"/>
      <c r="K181" s="1"/>
      <c r="L181" s="1"/>
      <c r="M181" s="1"/>
      <c r="N181" s="1"/>
    </row>
    <row r="182" spans="1:14">
      <c r="A182" s="1"/>
      <c r="B182" s="1"/>
      <c r="C182" s="1"/>
      <c r="D182" s="1"/>
      <c r="E182" s="1"/>
      <c r="F182" s="1"/>
      <c r="G182" s="1"/>
      <c r="H182" s="6" t="str">
        <f t="shared" si="4"/>
        <v/>
      </c>
      <c r="I182" s="1" t="str">
        <f t="shared" si="5"/>
        <v/>
      </c>
      <c r="J182" s="1"/>
      <c r="K182" s="1"/>
      <c r="L182" s="1"/>
      <c r="M182" s="1"/>
      <c r="N182" s="1"/>
    </row>
    <row r="183" spans="1:14">
      <c r="A183" s="1"/>
      <c r="B183" s="1"/>
      <c r="C183" s="1"/>
      <c r="D183" s="1"/>
      <c r="E183" s="1"/>
      <c r="F183" s="1"/>
      <c r="G183" s="1"/>
      <c r="H183" s="6" t="str">
        <f t="shared" si="4"/>
        <v/>
      </c>
      <c r="I183" s="1" t="str">
        <f t="shared" si="5"/>
        <v/>
      </c>
      <c r="J183" s="1"/>
      <c r="K183" s="1"/>
      <c r="L183" s="1"/>
      <c r="M183" s="1"/>
      <c r="N183" s="1"/>
    </row>
    <row r="184" spans="1:14">
      <c r="A184" s="1"/>
      <c r="B184" s="1"/>
      <c r="C184" s="1"/>
      <c r="D184" s="1"/>
      <c r="E184" s="1"/>
      <c r="F184" s="1"/>
      <c r="G184" s="1"/>
      <c r="H184" s="6" t="str">
        <f t="shared" si="4"/>
        <v/>
      </c>
      <c r="I184" s="1" t="str">
        <f t="shared" si="5"/>
        <v/>
      </c>
      <c r="J184" s="1"/>
      <c r="K184" s="1"/>
      <c r="L184" s="1"/>
      <c r="M184" s="1"/>
      <c r="N184" s="1"/>
    </row>
    <row r="185" spans="1:14">
      <c r="A185" s="1"/>
      <c r="B185" s="1"/>
      <c r="C185" s="1"/>
      <c r="D185" s="1"/>
      <c r="E185" s="1"/>
      <c r="F185" s="1"/>
      <c r="G185" s="1"/>
      <c r="H185" s="6" t="str">
        <f t="shared" si="4"/>
        <v/>
      </c>
      <c r="I185" s="1" t="str">
        <f t="shared" si="5"/>
        <v/>
      </c>
      <c r="J185" s="1"/>
      <c r="K185" s="1"/>
      <c r="L185" s="1"/>
      <c r="M185" s="1"/>
      <c r="N185" s="1"/>
    </row>
    <row r="186" spans="1:14">
      <c r="A186" s="1"/>
      <c r="B186" s="1"/>
      <c r="C186" s="1"/>
      <c r="D186" s="1"/>
      <c r="E186" s="1"/>
      <c r="F186" s="1"/>
      <c r="G186" s="1"/>
      <c r="H186" s="6" t="str">
        <f t="shared" si="4"/>
        <v/>
      </c>
      <c r="I186" s="1" t="str">
        <f t="shared" si="5"/>
        <v/>
      </c>
      <c r="J186" s="1"/>
      <c r="K186" s="1"/>
      <c r="L186" s="1"/>
      <c r="M186" s="1"/>
      <c r="N186" s="1"/>
    </row>
    <row r="187" spans="1:14">
      <c r="A187" s="1"/>
      <c r="B187" s="1"/>
      <c r="C187" s="1"/>
      <c r="D187" s="1"/>
      <c r="E187" s="1"/>
      <c r="F187" s="1"/>
      <c r="G187" s="1"/>
      <c r="H187" s="6" t="str">
        <f t="shared" si="4"/>
        <v/>
      </c>
      <c r="I187" s="1" t="str">
        <f t="shared" si="5"/>
        <v/>
      </c>
      <c r="J187" s="1"/>
      <c r="K187" s="1"/>
      <c r="L187" s="1"/>
      <c r="M187" s="1"/>
      <c r="N187" s="1"/>
    </row>
    <row r="188" spans="1:14">
      <c r="A188" s="1"/>
      <c r="B188" s="1"/>
      <c r="C188" s="1"/>
      <c r="D188" s="1"/>
      <c r="E188" s="1"/>
      <c r="F188" s="1"/>
      <c r="G188" s="1"/>
      <c r="H188" s="6" t="str">
        <f t="shared" si="4"/>
        <v/>
      </c>
      <c r="I188" s="1" t="str">
        <f t="shared" si="5"/>
        <v/>
      </c>
      <c r="J188" s="1"/>
      <c r="K188" s="1"/>
      <c r="L188" s="1"/>
      <c r="M188" s="1"/>
      <c r="N188" s="1"/>
    </row>
    <row r="189" spans="1:14">
      <c r="A189" s="1"/>
      <c r="B189" s="1"/>
      <c r="C189" s="1"/>
      <c r="D189" s="1"/>
      <c r="E189" s="1"/>
      <c r="F189" s="1"/>
      <c r="G189" s="1"/>
      <c r="H189" s="6" t="str">
        <f t="shared" si="4"/>
        <v/>
      </c>
      <c r="I189" s="1" t="str">
        <f t="shared" si="5"/>
        <v/>
      </c>
      <c r="J189" s="1"/>
      <c r="K189" s="1"/>
      <c r="L189" s="1"/>
      <c r="M189" s="1"/>
      <c r="N189" s="1"/>
    </row>
    <row r="190" spans="1:14">
      <c r="A190" s="1"/>
      <c r="B190" s="1"/>
      <c r="C190" s="1"/>
      <c r="D190" s="1"/>
      <c r="E190" s="1"/>
      <c r="F190" s="1"/>
      <c r="G190" s="1"/>
      <c r="H190" s="6" t="str">
        <f t="shared" si="4"/>
        <v/>
      </c>
      <c r="I190" s="1" t="str">
        <f t="shared" si="5"/>
        <v/>
      </c>
      <c r="J190" s="1"/>
      <c r="K190" s="1"/>
      <c r="L190" s="1"/>
      <c r="M190" s="1"/>
      <c r="N190" s="1"/>
    </row>
    <row r="191" spans="1:14">
      <c r="A191" s="1"/>
      <c r="B191" s="1"/>
      <c r="C191" s="1"/>
      <c r="D191" s="1"/>
      <c r="E191" s="1"/>
      <c r="F191" s="1"/>
      <c r="G191" s="1"/>
      <c r="H191" s="6" t="str">
        <f t="shared" si="4"/>
        <v/>
      </c>
      <c r="I191" s="1" t="str">
        <f t="shared" si="5"/>
        <v/>
      </c>
      <c r="J191" s="1"/>
      <c r="K191" s="1"/>
      <c r="L191" s="1"/>
      <c r="M191" s="1"/>
      <c r="N191" s="1"/>
    </row>
    <row r="192" spans="1:14">
      <c r="A192" s="1"/>
      <c r="B192" s="1"/>
      <c r="C192" s="1"/>
      <c r="D192" s="1"/>
      <c r="E192" s="1"/>
      <c r="F192" s="1"/>
      <c r="G192" s="1"/>
      <c r="H192" s="6" t="str">
        <f t="shared" si="4"/>
        <v/>
      </c>
      <c r="I192" s="1" t="str">
        <f t="shared" si="5"/>
        <v/>
      </c>
      <c r="J192" s="1"/>
      <c r="K192" s="1"/>
      <c r="L192" s="1"/>
      <c r="M192" s="1"/>
      <c r="N192" s="1"/>
    </row>
    <row r="193" spans="1:14">
      <c r="A193" s="1"/>
      <c r="B193" s="1"/>
      <c r="C193" s="1"/>
      <c r="D193" s="1"/>
      <c r="E193" s="1"/>
      <c r="F193" s="1"/>
      <c r="G193" s="1"/>
      <c r="H193" s="6" t="str">
        <f t="shared" si="4"/>
        <v/>
      </c>
      <c r="I193" s="1" t="str">
        <f t="shared" si="5"/>
        <v/>
      </c>
      <c r="J193" s="1"/>
      <c r="K193" s="1"/>
      <c r="L193" s="1"/>
      <c r="M193" s="1"/>
      <c r="N193" s="1"/>
    </row>
    <row r="194" spans="1:14">
      <c r="A194" s="1"/>
      <c r="B194" s="1"/>
      <c r="C194" s="1"/>
      <c r="D194" s="1"/>
      <c r="E194" s="1"/>
      <c r="F194" s="1"/>
      <c r="G194" s="1"/>
      <c r="H194" s="6" t="str">
        <f t="shared" ref="H194:H257" si="6">IF(OR(F194="",G194=""),"",F194*G194)</f>
        <v/>
      </c>
      <c r="I194" s="1" t="str">
        <f t="shared" ref="I194:I257" si="7">IF(H194="","",IF(H194&gt;=20,"Critique",IF(H194&gt;=12,"Élevé",IF(H194&gt;=6,"Moyen","Faible"))))</f>
        <v/>
      </c>
      <c r="J194" s="1"/>
      <c r="K194" s="1"/>
      <c r="L194" s="1"/>
      <c r="M194" s="1"/>
      <c r="N194" s="1"/>
    </row>
    <row r="195" spans="1:14">
      <c r="A195" s="1"/>
      <c r="B195" s="1"/>
      <c r="C195" s="1"/>
      <c r="D195" s="1"/>
      <c r="E195" s="1"/>
      <c r="F195" s="1"/>
      <c r="G195" s="1"/>
      <c r="H195" s="6" t="str">
        <f t="shared" si="6"/>
        <v/>
      </c>
      <c r="I195" s="1" t="str">
        <f t="shared" si="7"/>
        <v/>
      </c>
      <c r="J195" s="1"/>
      <c r="K195" s="1"/>
      <c r="L195" s="1"/>
      <c r="M195" s="1"/>
      <c r="N195" s="1"/>
    </row>
    <row r="196" spans="1:14">
      <c r="A196" s="1"/>
      <c r="B196" s="1"/>
      <c r="C196" s="1"/>
      <c r="D196" s="1"/>
      <c r="E196" s="1"/>
      <c r="F196" s="1"/>
      <c r="G196" s="1"/>
      <c r="H196" s="6" t="str">
        <f t="shared" si="6"/>
        <v/>
      </c>
      <c r="I196" s="1" t="str">
        <f t="shared" si="7"/>
        <v/>
      </c>
      <c r="J196" s="1"/>
      <c r="K196" s="1"/>
      <c r="L196" s="1"/>
      <c r="M196" s="1"/>
      <c r="N196" s="1"/>
    </row>
    <row r="197" spans="1:14">
      <c r="A197" s="1"/>
      <c r="B197" s="1"/>
      <c r="C197" s="1"/>
      <c r="D197" s="1"/>
      <c r="E197" s="1"/>
      <c r="F197" s="1"/>
      <c r="G197" s="1"/>
      <c r="H197" s="6" t="str">
        <f t="shared" si="6"/>
        <v/>
      </c>
      <c r="I197" s="1" t="str">
        <f t="shared" si="7"/>
        <v/>
      </c>
      <c r="J197" s="1"/>
      <c r="K197" s="1"/>
      <c r="L197" s="1"/>
      <c r="M197" s="1"/>
      <c r="N197" s="1"/>
    </row>
    <row r="198" spans="1:14">
      <c r="A198" s="1"/>
      <c r="B198" s="1"/>
      <c r="C198" s="1"/>
      <c r="D198" s="1"/>
      <c r="E198" s="1"/>
      <c r="F198" s="1"/>
      <c r="G198" s="1"/>
      <c r="H198" s="6" t="str">
        <f t="shared" si="6"/>
        <v/>
      </c>
      <c r="I198" s="1" t="str">
        <f t="shared" si="7"/>
        <v/>
      </c>
      <c r="J198" s="1"/>
      <c r="K198" s="1"/>
      <c r="L198" s="1"/>
      <c r="M198" s="1"/>
      <c r="N198" s="1"/>
    </row>
    <row r="199" spans="1:14">
      <c r="A199" s="1"/>
      <c r="B199" s="1"/>
      <c r="C199" s="1"/>
      <c r="D199" s="1"/>
      <c r="E199" s="1"/>
      <c r="F199" s="1"/>
      <c r="G199" s="1"/>
      <c r="H199" s="6" t="str">
        <f t="shared" si="6"/>
        <v/>
      </c>
      <c r="I199" s="1" t="str">
        <f t="shared" si="7"/>
        <v/>
      </c>
      <c r="J199" s="1"/>
      <c r="K199" s="1"/>
      <c r="L199" s="1"/>
      <c r="M199" s="1"/>
      <c r="N199" s="1"/>
    </row>
    <row r="200" spans="1:14">
      <c r="A200" s="1"/>
      <c r="B200" s="1"/>
      <c r="C200" s="1"/>
      <c r="D200" s="1"/>
      <c r="E200" s="1"/>
      <c r="F200" s="1"/>
      <c r="G200" s="1"/>
      <c r="H200" s="6" t="str">
        <f t="shared" si="6"/>
        <v/>
      </c>
      <c r="I200" s="1" t="str">
        <f t="shared" si="7"/>
        <v/>
      </c>
      <c r="J200" s="1"/>
      <c r="K200" s="1"/>
      <c r="L200" s="1"/>
      <c r="M200" s="1"/>
      <c r="N200" s="1"/>
    </row>
    <row r="201" spans="1:14">
      <c r="A201" s="1"/>
      <c r="B201" s="1"/>
      <c r="C201" s="1"/>
      <c r="D201" s="1"/>
      <c r="E201" s="1"/>
      <c r="F201" s="1"/>
      <c r="G201" s="1"/>
      <c r="H201" s="6" t="str">
        <f t="shared" si="6"/>
        <v/>
      </c>
      <c r="I201" s="1" t="str">
        <f t="shared" si="7"/>
        <v/>
      </c>
      <c r="J201" s="1"/>
      <c r="K201" s="1"/>
      <c r="L201" s="1"/>
      <c r="M201" s="1"/>
      <c r="N201" s="1"/>
    </row>
    <row r="202" spans="1:14">
      <c r="A202" s="1"/>
      <c r="B202" s="1"/>
      <c r="C202" s="1"/>
      <c r="D202" s="1"/>
      <c r="E202" s="1"/>
      <c r="F202" s="1"/>
      <c r="G202" s="1"/>
      <c r="H202" s="6" t="str">
        <f t="shared" si="6"/>
        <v/>
      </c>
      <c r="I202" s="1" t="str">
        <f t="shared" si="7"/>
        <v/>
      </c>
      <c r="J202" s="1"/>
      <c r="K202" s="1"/>
      <c r="L202" s="1"/>
      <c r="M202" s="1"/>
      <c r="N202" s="1"/>
    </row>
    <row r="203" spans="1:14">
      <c r="A203" s="1"/>
      <c r="B203" s="1"/>
      <c r="C203" s="1"/>
      <c r="D203" s="1"/>
      <c r="E203" s="1"/>
      <c r="F203" s="1"/>
      <c r="G203" s="1"/>
      <c r="H203" s="6" t="str">
        <f t="shared" si="6"/>
        <v/>
      </c>
      <c r="I203" s="1" t="str">
        <f t="shared" si="7"/>
        <v/>
      </c>
      <c r="J203" s="1"/>
      <c r="K203" s="1"/>
      <c r="L203" s="1"/>
      <c r="M203" s="1"/>
      <c r="N203" s="1"/>
    </row>
    <row r="204" spans="1:14">
      <c r="A204" s="1"/>
      <c r="B204" s="1"/>
      <c r="C204" s="1"/>
      <c r="D204" s="1"/>
      <c r="E204" s="1"/>
      <c r="F204" s="1"/>
      <c r="G204" s="1"/>
      <c r="H204" s="6" t="str">
        <f t="shared" si="6"/>
        <v/>
      </c>
      <c r="I204" s="1" t="str">
        <f t="shared" si="7"/>
        <v/>
      </c>
      <c r="J204" s="1"/>
      <c r="K204" s="1"/>
      <c r="L204" s="1"/>
      <c r="M204" s="1"/>
      <c r="N204" s="1"/>
    </row>
    <row r="205" spans="1:14">
      <c r="A205" s="1"/>
      <c r="B205" s="1"/>
      <c r="C205" s="1"/>
      <c r="D205" s="1"/>
      <c r="E205" s="1"/>
      <c r="F205" s="1"/>
      <c r="G205" s="1"/>
      <c r="H205" s="6" t="str">
        <f t="shared" si="6"/>
        <v/>
      </c>
      <c r="I205" s="1" t="str">
        <f t="shared" si="7"/>
        <v/>
      </c>
      <c r="J205" s="1"/>
      <c r="K205" s="1"/>
      <c r="L205" s="1"/>
      <c r="M205" s="1"/>
      <c r="N205" s="1"/>
    </row>
    <row r="206" spans="1:14">
      <c r="A206" s="1"/>
      <c r="B206" s="1"/>
      <c r="C206" s="1"/>
      <c r="D206" s="1"/>
      <c r="E206" s="1"/>
      <c r="F206" s="1"/>
      <c r="G206" s="1"/>
      <c r="H206" s="6" t="str">
        <f t="shared" si="6"/>
        <v/>
      </c>
      <c r="I206" s="1" t="str">
        <f t="shared" si="7"/>
        <v/>
      </c>
      <c r="J206" s="1"/>
      <c r="K206" s="1"/>
      <c r="L206" s="1"/>
      <c r="M206" s="1"/>
      <c r="N206" s="1"/>
    </row>
    <row r="207" spans="1:14">
      <c r="A207" s="1"/>
      <c r="B207" s="1"/>
      <c r="C207" s="1"/>
      <c r="D207" s="1"/>
      <c r="E207" s="1"/>
      <c r="F207" s="1"/>
      <c r="G207" s="1"/>
      <c r="H207" s="6" t="str">
        <f t="shared" si="6"/>
        <v/>
      </c>
      <c r="I207" s="1" t="str">
        <f t="shared" si="7"/>
        <v/>
      </c>
      <c r="J207" s="1"/>
      <c r="K207" s="1"/>
      <c r="L207" s="1"/>
      <c r="M207" s="1"/>
      <c r="N207" s="1"/>
    </row>
    <row r="208" spans="1:14">
      <c r="A208" s="1"/>
      <c r="B208" s="1"/>
      <c r="C208" s="1"/>
      <c r="D208" s="1"/>
      <c r="E208" s="1"/>
      <c r="F208" s="1"/>
      <c r="G208" s="1"/>
      <c r="H208" s="6" t="str">
        <f t="shared" si="6"/>
        <v/>
      </c>
      <c r="I208" s="1" t="str">
        <f t="shared" si="7"/>
        <v/>
      </c>
      <c r="J208" s="1"/>
      <c r="K208" s="1"/>
      <c r="L208" s="1"/>
      <c r="M208" s="1"/>
      <c r="N208" s="1"/>
    </row>
    <row r="209" spans="1:14">
      <c r="A209" s="1"/>
      <c r="B209" s="1"/>
      <c r="C209" s="1"/>
      <c r="D209" s="1"/>
      <c r="E209" s="1"/>
      <c r="F209" s="1"/>
      <c r="G209" s="1"/>
      <c r="H209" s="6" t="str">
        <f t="shared" si="6"/>
        <v/>
      </c>
      <c r="I209" s="1" t="str">
        <f t="shared" si="7"/>
        <v/>
      </c>
      <c r="J209" s="1"/>
      <c r="K209" s="1"/>
      <c r="L209" s="1"/>
      <c r="M209" s="1"/>
      <c r="N209" s="1"/>
    </row>
    <row r="210" spans="1:14">
      <c r="A210" s="1"/>
      <c r="B210" s="1"/>
      <c r="C210" s="1"/>
      <c r="D210" s="1"/>
      <c r="E210" s="1"/>
      <c r="F210" s="1"/>
      <c r="G210" s="1"/>
      <c r="H210" s="6" t="str">
        <f t="shared" si="6"/>
        <v/>
      </c>
      <c r="I210" s="1" t="str">
        <f t="shared" si="7"/>
        <v/>
      </c>
      <c r="J210" s="1"/>
      <c r="K210" s="1"/>
      <c r="L210" s="1"/>
      <c r="M210" s="1"/>
      <c r="N210" s="1"/>
    </row>
    <row r="211" spans="1:14">
      <c r="A211" s="1"/>
      <c r="B211" s="1"/>
      <c r="C211" s="1"/>
      <c r="D211" s="1"/>
      <c r="E211" s="1"/>
      <c r="F211" s="1"/>
      <c r="G211" s="1"/>
      <c r="H211" s="6" t="str">
        <f t="shared" si="6"/>
        <v/>
      </c>
      <c r="I211" s="1" t="str">
        <f t="shared" si="7"/>
        <v/>
      </c>
      <c r="J211" s="1"/>
      <c r="K211" s="1"/>
      <c r="L211" s="1"/>
      <c r="M211" s="1"/>
      <c r="N211" s="1"/>
    </row>
    <row r="212" spans="1:14">
      <c r="A212" s="1"/>
      <c r="B212" s="1"/>
      <c r="C212" s="1"/>
      <c r="D212" s="1"/>
      <c r="E212" s="1"/>
      <c r="F212" s="1"/>
      <c r="G212" s="1"/>
      <c r="H212" s="6" t="str">
        <f t="shared" si="6"/>
        <v/>
      </c>
      <c r="I212" s="1" t="str">
        <f t="shared" si="7"/>
        <v/>
      </c>
      <c r="J212" s="1"/>
      <c r="K212" s="1"/>
      <c r="L212" s="1"/>
      <c r="M212" s="1"/>
      <c r="N212" s="1"/>
    </row>
    <row r="213" spans="1:14">
      <c r="A213" s="1"/>
      <c r="B213" s="1"/>
      <c r="C213" s="1"/>
      <c r="D213" s="1"/>
      <c r="E213" s="1"/>
      <c r="F213" s="1"/>
      <c r="G213" s="1"/>
      <c r="H213" s="6" t="str">
        <f t="shared" si="6"/>
        <v/>
      </c>
      <c r="I213" s="1" t="str">
        <f t="shared" si="7"/>
        <v/>
      </c>
      <c r="J213" s="1"/>
      <c r="K213" s="1"/>
      <c r="L213" s="1"/>
      <c r="M213" s="1"/>
      <c r="N213" s="1"/>
    </row>
    <row r="214" spans="1:14">
      <c r="A214" s="1"/>
      <c r="B214" s="1"/>
      <c r="C214" s="1"/>
      <c r="D214" s="1"/>
      <c r="E214" s="1"/>
      <c r="F214" s="1"/>
      <c r="G214" s="1"/>
      <c r="H214" s="6" t="str">
        <f t="shared" si="6"/>
        <v/>
      </c>
      <c r="I214" s="1" t="str">
        <f t="shared" si="7"/>
        <v/>
      </c>
      <c r="J214" s="1"/>
      <c r="K214" s="1"/>
      <c r="L214" s="1"/>
      <c r="M214" s="1"/>
      <c r="N214" s="1"/>
    </row>
    <row r="215" spans="1:14">
      <c r="A215" s="1"/>
      <c r="B215" s="1"/>
      <c r="C215" s="1"/>
      <c r="D215" s="1"/>
      <c r="E215" s="1"/>
      <c r="F215" s="1"/>
      <c r="G215" s="1"/>
      <c r="H215" s="6" t="str">
        <f t="shared" si="6"/>
        <v/>
      </c>
      <c r="I215" s="1" t="str">
        <f t="shared" si="7"/>
        <v/>
      </c>
      <c r="J215" s="1"/>
      <c r="K215" s="1"/>
      <c r="L215" s="1"/>
      <c r="M215" s="1"/>
      <c r="N215" s="1"/>
    </row>
    <row r="216" spans="1:14">
      <c r="A216" s="1"/>
      <c r="B216" s="1"/>
      <c r="C216" s="1"/>
      <c r="D216" s="1"/>
      <c r="E216" s="1"/>
      <c r="F216" s="1"/>
      <c r="G216" s="1"/>
      <c r="H216" s="6" t="str">
        <f t="shared" si="6"/>
        <v/>
      </c>
      <c r="I216" s="1" t="str">
        <f t="shared" si="7"/>
        <v/>
      </c>
      <c r="J216" s="1"/>
      <c r="K216" s="1"/>
      <c r="L216" s="1"/>
      <c r="M216" s="1"/>
      <c r="N216" s="1"/>
    </row>
    <row r="217" spans="1:14">
      <c r="A217" s="1"/>
      <c r="B217" s="1"/>
      <c r="C217" s="1"/>
      <c r="D217" s="1"/>
      <c r="E217" s="1"/>
      <c r="F217" s="1"/>
      <c r="G217" s="1"/>
      <c r="H217" s="6" t="str">
        <f t="shared" si="6"/>
        <v/>
      </c>
      <c r="I217" s="1" t="str">
        <f t="shared" si="7"/>
        <v/>
      </c>
      <c r="J217" s="1"/>
      <c r="K217" s="1"/>
      <c r="L217" s="1"/>
      <c r="M217" s="1"/>
      <c r="N217" s="1"/>
    </row>
    <row r="218" spans="1:14">
      <c r="A218" s="1"/>
      <c r="B218" s="1"/>
      <c r="C218" s="1"/>
      <c r="D218" s="1"/>
      <c r="E218" s="1"/>
      <c r="F218" s="1"/>
      <c r="G218" s="1"/>
      <c r="H218" s="6" t="str">
        <f t="shared" si="6"/>
        <v/>
      </c>
      <c r="I218" s="1" t="str">
        <f t="shared" si="7"/>
        <v/>
      </c>
      <c r="J218" s="1"/>
      <c r="K218" s="1"/>
      <c r="L218" s="1"/>
      <c r="M218" s="1"/>
      <c r="N218" s="1"/>
    </row>
    <row r="219" spans="1:14">
      <c r="A219" s="1"/>
      <c r="B219" s="1"/>
      <c r="C219" s="1"/>
      <c r="D219" s="1"/>
      <c r="E219" s="1"/>
      <c r="F219" s="1"/>
      <c r="G219" s="1"/>
      <c r="H219" s="6" t="str">
        <f t="shared" si="6"/>
        <v/>
      </c>
      <c r="I219" s="1" t="str">
        <f t="shared" si="7"/>
        <v/>
      </c>
      <c r="J219" s="1"/>
      <c r="K219" s="1"/>
      <c r="L219" s="1"/>
      <c r="M219" s="1"/>
      <c r="N219" s="1"/>
    </row>
    <row r="220" spans="1:14">
      <c r="A220" s="1"/>
      <c r="B220" s="1"/>
      <c r="C220" s="1"/>
      <c r="D220" s="1"/>
      <c r="E220" s="1"/>
      <c r="F220" s="1"/>
      <c r="G220" s="1"/>
      <c r="H220" s="6" t="str">
        <f t="shared" si="6"/>
        <v/>
      </c>
      <c r="I220" s="1" t="str">
        <f t="shared" si="7"/>
        <v/>
      </c>
      <c r="J220" s="1"/>
      <c r="K220" s="1"/>
      <c r="L220" s="1"/>
      <c r="M220" s="1"/>
      <c r="N220" s="1"/>
    </row>
    <row r="221" spans="1:14">
      <c r="A221" s="1"/>
      <c r="B221" s="1"/>
      <c r="C221" s="1"/>
      <c r="D221" s="1"/>
      <c r="E221" s="1"/>
      <c r="F221" s="1"/>
      <c r="G221" s="1"/>
      <c r="H221" s="6" t="str">
        <f t="shared" si="6"/>
        <v/>
      </c>
      <c r="I221" s="1" t="str">
        <f t="shared" si="7"/>
        <v/>
      </c>
      <c r="J221" s="1"/>
      <c r="K221" s="1"/>
      <c r="L221" s="1"/>
      <c r="M221" s="1"/>
      <c r="N221" s="1"/>
    </row>
    <row r="222" spans="1:14">
      <c r="A222" s="1"/>
      <c r="B222" s="1"/>
      <c r="C222" s="1"/>
      <c r="D222" s="1"/>
      <c r="E222" s="1"/>
      <c r="F222" s="1"/>
      <c r="G222" s="1"/>
      <c r="H222" s="6" t="str">
        <f t="shared" si="6"/>
        <v/>
      </c>
      <c r="I222" s="1" t="str">
        <f t="shared" si="7"/>
        <v/>
      </c>
      <c r="J222" s="1"/>
      <c r="K222" s="1"/>
      <c r="L222" s="1"/>
      <c r="M222" s="1"/>
      <c r="N222" s="1"/>
    </row>
    <row r="223" spans="1:14">
      <c r="A223" s="1"/>
      <c r="B223" s="1"/>
      <c r="C223" s="1"/>
      <c r="D223" s="1"/>
      <c r="E223" s="1"/>
      <c r="F223" s="1"/>
      <c r="G223" s="1"/>
      <c r="H223" s="6" t="str">
        <f t="shared" si="6"/>
        <v/>
      </c>
      <c r="I223" s="1" t="str">
        <f t="shared" si="7"/>
        <v/>
      </c>
      <c r="J223" s="1"/>
      <c r="K223" s="1"/>
      <c r="L223" s="1"/>
      <c r="M223" s="1"/>
      <c r="N223" s="1"/>
    </row>
    <row r="224" spans="1:14">
      <c r="A224" s="1"/>
      <c r="B224" s="1"/>
      <c r="C224" s="1"/>
      <c r="D224" s="1"/>
      <c r="E224" s="1"/>
      <c r="F224" s="1"/>
      <c r="G224" s="1"/>
      <c r="H224" s="6" t="str">
        <f t="shared" si="6"/>
        <v/>
      </c>
      <c r="I224" s="1" t="str">
        <f t="shared" si="7"/>
        <v/>
      </c>
      <c r="J224" s="1"/>
      <c r="K224" s="1"/>
      <c r="L224" s="1"/>
      <c r="M224" s="1"/>
      <c r="N224" s="1"/>
    </row>
    <row r="225" spans="1:14">
      <c r="A225" s="1"/>
      <c r="B225" s="1"/>
      <c r="C225" s="1"/>
      <c r="D225" s="1"/>
      <c r="E225" s="1"/>
      <c r="F225" s="1"/>
      <c r="G225" s="1"/>
      <c r="H225" s="6" t="str">
        <f t="shared" si="6"/>
        <v/>
      </c>
      <c r="I225" s="1" t="str">
        <f t="shared" si="7"/>
        <v/>
      </c>
      <c r="J225" s="1"/>
      <c r="K225" s="1"/>
      <c r="L225" s="1"/>
      <c r="M225" s="1"/>
      <c r="N225" s="1"/>
    </row>
    <row r="226" spans="1:14">
      <c r="A226" s="1"/>
      <c r="B226" s="1"/>
      <c r="C226" s="1"/>
      <c r="D226" s="1"/>
      <c r="E226" s="1"/>
      <c r="F226" s="1"/>
      <c r="G226" s="1"/>
      <c r="H226" s="6" t="str">
        <f t="shared" si="6"/>
        <v/>
      </c>
      <c r="I226" s="1" t="str">
        <f t="shared" si="7"/>
        <v/>
      </c>
      <c r="J226" s="1"/>
      <c r="K226" s="1"/>
      <c r="L226" s="1"/>
      <c r="M226" s="1"/>
      <c r="N226" s="1"/>
    </row>
    <row r="227" spans="1:14">
      <c r="A227" s="1"/>
      <c r="B227" s="1"/>
      <c r="C227" s="1"/>
      <c r="D227" s="1"/>
      <c r="E227" s="1"/>
      <c r="F227" s="1"/>
      <c r="G227" s="1"/>
      <c r="H227" s="6" t="str">
        <f t="shared" si="6"/>
        <v/>
      </c>
      <c r="I227" s="1" t="str">
        <f t="shared" si="7"/>
        <v/>
      </c>
      <c r="J227" s="1"/>
      <c r="K227" s="1"/>
      <c r="L227" s="1"/>
      <c r="M227" s="1"/>
      <c r="N227" s="1"/>
    </row>
    <row r="228" spans="1:14">
      <c r="A228" s="1"/>
      <c r="B228" s="1"/>
      <c r="C228" s="1"/>
      <c r="D228" s="1"/>
      <c r="E228" s="1"/>
      <c r="F228" s="1"/>
      <c r="G228" s="1"/>
      <c r="H228" s="6" t="str">
        <f t="shared" si="6"/>
        <v/>
      </c>
      <c r="I228" s="1" t="str">
        <f t="shared" si="7"/>
        <v/>
      </c>
      <c r="J228" s="1"/>
      <c r="K228" s="1"/>
      <c r="L228" s="1"/>
      <c r="M228" s="1"/>
      <c r="N228" s="1"/>
    </row>
    <row r="229" spans="1:14">
      <c r="A229" s="1"/>
      <c r="B229" s="1"/>
      <c r="C229" s="1"/>
      <c r="D229" s="1"/>
      <c r="E229" s="1"/>
      <c r="F229" s="1"/>
      <c r="G229" s="1"/>
      <c r="H229" s="6" t="str">
        <f t="shared" si="6"/>
        <v/>
      </c>
      <c r="I229" s="1" t="str">
        <f t="shared" si="7"/>
        <v/>
      </c>
      <c r="J229" s="1"/>
      <c r="K229" s="1"/>
      <c r="L229" s="1"/>
      <c r="M229" s="1"/>
      <c r="N229" s="1"/>
    </row>
    <row r="230" spans="1:14">
      <c r="A230" s="1"/>
      <c r="B230" s="1"/>
      <c r="C230" s="1"/>
      <c r="D230" s="1"/>
      <c r="E230" s="1"/>
      <c r="F230" s="1"/>
      <c r="G230" s="1"/>
      <c r="H230" s="6" t="str">
        <f t="shared" si="6"/>
        <v/>
      </c>
      <c r="I230" s="1" t="str">
        <f t="shared" si="7"/>
        <v/>
      </c>
      <c r="J230" s="1"/>
      <c r="K230" s="1"/>
      <c r="L230" s="1"/>
      <c r="M230" s="1"/>
      <c r="N230" s="1"/>
    </row>
    <row r="231" spans="1:14">
      <c r="A231" s="1"/>
      <c r="B231" s="1"/>
      <c r="C231" s="1"/>
      <c r="D231" s="1"/>
      <c r="E231" s="1"/>
      <c r="F231" s="1"/>
      <c r="G231" s="1"/>
      <c r="H231" s="6" t="str">
        <f t="shared" si="6"/>
        <v/>
      </c>
      <c r="I231" s="1" t="str">
        <f t="shared" si="7"/>
        <v/>
      </c>
      <c r="J231" s="1"/>
      <c r="K231" s="1"/>
      <c r="L231" s="1"/>
      <c r="M231" s="1"/>
      <c r="N231" s="1"/>
    </row>
    <row r="232" spans="1:14">
      <c r="A232" s="1"/>
      <c r="B232" s="1"/>
      <c r="C232" s="1"/>
      <c r="D232" s="1"/>
      <c r="E232" s="1"/>
      <c r="F232" s="1"/>
      <c r="G232" s="1"/>
      <c r="H232" s="6" t="str">
        <f t="shared" si="6"/>
        <v/>
      </c>
      <c r="I232" s="1" t="str">
        <f t="shared" si="7"/>
        <v/>
      </c>
      <c r="J232" s="1"/>
      <c r="K232" s="1"/>
      <c r="L232" s="1"/>
      <c r="M232" s="1"/>
      <c r="N232" s="1"/>
    </row>
    <row r="233" spans="1:14">
      <c r="A233" s="1"/>
      <c r="B233" s="1"/>
      <c r="C233" s="1"/>
      <c r="D233" s="1"/>
      <c r="E233" s="1"/>
      <c r="F233" s="1"/>
      <c r="G233" s="1"/>
      <c r="H233" s="6" t="str">
        <f t="shared" si="6"/>
        <v/>
      </c>
      <c r="I233" s="1" t="str">
        <f t="shared" si="7"/>
        <v/>
      </c>
      <c r="J233" s="1"/>
      <c r="K233" s="1"/>
      <c r="L233" s="1"/>
      <c r="M233" s="1"/>
      <c r="N233" s="1"/>
    </row>
    <row r="234" spans="1:14">
      <c r="A234" s="1"/>
      <c r="B234" s="1"/>
      <c r="C234" s="1"/>
      <c r="D234" s="1"/>
      <c r="E234" s="1"/>
      <c r="F234" s="1"/>
      <c r="G234" s="1"/>
      <c r="H234" s="6" t="str">
        <f t="shared" si="6"/>
        <v/>
      </c>
      <c r="I234" s="1" t="str">
        <f t="shared" si="7"/>
        <v/>
      </c>
      <c r="J234" s="1"/>
      <c r="K234" s="1"/>
      <c r="L234" s="1"/>
      <c r="M234" s="1"/>
      <c r="N234" s="1"/>
    </row>
    <row r="235" spans="1:14">
      <c r="A235" s="1"/>
      <c r="B235" s="1"/>
      <c r="C235" s="1"/>
      <c r="D235" s="1"/>
      <c r="E235" s="1"/>
      <c r="F235" s="1"/>
      <c r="G235" s="1"/>
      <c r="H235" s="6" t="str">
        <f t="shared" si="6"/>
        <v/>
      </c>
      <c r="I235" s="1" t="str">
        <f t="shared" si="7"/>
        <v/>
      </c>
      <c r="J235" s="1"/>
      <c r="K235" s="1"/>
      <c r="L235" s="1"/>
      <c r="M235" s="1"/>
      <c r="N235" s="1"/>
    </row>
    <row r="236" spans="1:14">
      <c r="A236" s="1"/>
      <c r="B236" s="1"/>
      <c r="C236" s="1"/>
      <c r="D236" s="1"/>
      <c r="E236" s="1"/>
      <c r="F236" s="1"/>
      <c r="G236" s="1"/>
      <c r="H236" s="6" t="str">
        <f t="shared" si="6"/>
        <v/>
      </c>
      <c r="I236" s="1" t="str">
        <f t="shared" si="7"/>
        <v/>
      </c>
      <c r="J236" s="1"/>
      <c r="K236" s="1"/>
      <c r="L236" s="1"/>
      <c r="M236" s="1"/>
      <c r="N236" s="1"/>
    </row>
    <row r="237" spans="1:14">
      <c r="A237" s="1"/>
      <c r="B237" s="1"/>
      <c r="C237" s="1"/>
      <c r="D237" s="1"/>
      <c r="E237" s="1"/>
      <c r="F237" s="1"/>
      <c r="G237" s="1"/>
      <c r="H237" s="6" t="str">
        <f t="shared" si="6"/>
        <v/>
      </c>
      <c r="I237" s="1" t="str">
        <f t="shared" si="7"/>
        <v/>
      </c>
      <c r="J237" s="1"/>
      <c r="K237" s="1"/>
      <c r="L237" s="1"/>
      <c r="M237" s="1"/>
      <c r="N237" s="1"/>
    </row>
    <row r="238" spans="1:14">
      <c r="A238" s="1"/>
      <c r="B238" s="1"/>
      <c r="C238" s="1"/>
      <c r="D238" s="1"/>
      <c r="E238" s="1"/>
      <c r="F238" s="1"/>
      <c r="G238" s="1"/>
      <c r="H238" s="6" t="str">
        <f t="shared" si="6"/>
        <v/>
      </c>
      <c r="I238" s="1" t="str">
        <f t="shared" si="7"/>
        <v/>
      </c>
      <c r="J238" s="1"/>
      <c r="K238" s="1"/>
      <c r="L238" s="1"/>
      <c r="M238" s="1"/>
      <c r="N238" s="1"/>
    </row>
    <row r="239" spans="1:14">
      <c r="A239" s="1"/>
      <c r="B239" s="1"/>
      <c r="C239" s="1"/>
      <c r="D239" s="1"/>
      <c r="E239" s="1"/>
      <c r="F239" s="1"/>
      <c r="G239" s="1"/>
      <c r="H239" s="6" t="str">
        <f t="shared" si="6"/>
        <v/>
      </c>
      <c r="I239" s="1" t="str">
        <f t="shared" si="7"/>
        <v/>
      </c>
      <c r="J239" s="1"/>
      <c r="K239" s="1"/>
      <c r="L239" s="1"/>
      <c r="M239" s="1"/>
      <c r="N239" s="1"/>
    </row>
    <row r="240" spans="1:14">
      <c r="A240" s="1"/>
      <c r="B240" s="1"/>
      <c r="C240" s="1"/>
      <c r="D240" s="1"/>
      <c r="E240" s="1"/>
      <c r="F240" s="1"/>
      <c r="G240" s="1"/>
      <c r="H240" s="6" t="str">
        <f t="shared" si="6"/>
        <v/>
      </c>
      <c r="I240" s="1" t="str">
        <f t="shared" si="7"/>
        <v/>
      </c>
      <c r="J240" s="1"/>
      <c r="K240" s="1"/>
      <c r="L240" s="1"/>
      <c r="M240" s="1"/>
      <c r="N240" s="1"/>
    </row>
    <row r="241" spans="1:14">
      <c r="A241" s="1"/>
      <c r="B241" s="1"/>
      <c r="C241" s="1"/>
      <c r="D241" s="1"/>
      <c r="E241" s="1"/>
      <c r="F241" s="1"/>
      <c r="G241" s="1"/>
      <c r="H241" s="6" t="str">
        <f t="shared" si="6"/>
        <v/>
      </c>
      <c r="I241" s="1" t="str">
        <f t="shared" si="7"/>
        <v/>
      </c>
      <c r="J241" s="1"/>
      <c r="K241" s="1"/>
      <c r="L241" s="1"/>
      <c r="M241" s="1"/>
      <c r="N241" s="1"/>
    </row>
    <row r="242" spans="1:14">
      <c r="A242" s="1"/>
      <c r="B242" s="1"/>
      <c r="C242" s="1"/>
      <c r="D242" s="1"/>
      <c r="E242" s="1"/>
      <c r="F242" s="1"/>
      <c r="G242" s="1"/>
      <c r="H242" s="6" t="str">
        <f t="shared" si="6"/>
        <v/>
      </c>
      <c r="I242" s="1" t="str">
        <f t="shared" si="7"/>
        <v/>
      </c>
      <c r="J242" s="1"/>
      <c r="K242" s="1"/>
      <c r="L242" s="1"/>
      <c r="M242" s="1"/>
      <c r="N242" s="1"/>
    </row>
    <row r="243" spans="1:14">
      <c r="A243" s="1"/>
      <c r="B243" s="1"/>
      <c r="C243" s="1"/>
      <c r="D243" s="1"/>
      <c r="E243" s="1"/>
      <c r="F243" s="1"/>
      <c r="G243" s="1"/>
      <c r="H243" s="6" t="str">
        <f t="shared" si="6"/>
        <v/>
      </c>
      <c r="I243" s="1" t="str">
        <f t="shared" si="7"/>
        <v/>
      </c>
      <c r="J243" s="1"/>
      <c r="K243" s="1"/>
      <c r="L243" s="1"/>
      <c r="M243" s="1"/>
      <c r="N243" s="1"/>
    </row>
    <row r="244" spans="1:14">
      <c r="A244" s="1"/>
      <c r="B244" s="1"/>
      <c r="C244" s="1"/>
      <c r="D244" s="1"/>
      <c r="E244" s="1"/>
      <c r="F244" s="1"/>
      <c r="G244" s="1"/>
      <c r="H244" s="6" t="str">
        <f t="shared" si="6"/>
        <v/>
      </c>
      <c r="I244" s="1" t="str">
        <f t="shared" si="7"/>
        <v/>
      </c>
      <c r="J244" s="1"/>
      <c r="K244" s="1"/>
      <c r="L244" s="1"/>
      <c r="M244" s="1"/>
      <c r="N244" s="1"/>
    </row>
    <row r="245" spans="1:14">
      <c r="A245" s="1"/>
      <c r="B245" s="1"/>
      <c r="C245" s="1"/>
      <c r="D245" s="1"/>
      <c r="E245" s="1"/>
      <c r="F245" s="1"/>
      <c r="G245" s="1"/>
      <c r="H245" s="6" t="str">
        <f t="shared" si="6"/>
        <v/>
      </c>
      <c r="I245" s="1" t="str">
        <f t="shared" si="7"/>
        <v/>
      </c>
      <c r="J245" s="1"/>
      <c r="K245" s="1"/>
      <c r="L245" s="1"/>
      <c r="M245" s="1"/>
      <c r="N245" s="1"/>
    </row>
    <row r="246" spans="1:14">
      <c r="A246" s="1"/>
      <c r="B246" s="1"/>
      <c r="C246" s="1"/>
      <c r="D246" s="1"/>
      <c r="E246" s="1"/>
      <c r="F246" s="1"/>
      <c r="G246" s="1"/>
      <c r="H246" s="6" t="str">
        <f t="shared" si="6"/>
        <v/>
      </c>
      <c r="I246" s="1" t="str">
        <f t="shared" si="7"/>
        <v/>
      </c>
      <c r="J246" s="1"/>
      <c r="K246" s="1"/>
      <c r="L246" s="1"/>
      <c r="M246" s="1"/>
      <c r="N246" s="1"/>
    </row>
    <row r="247" spans="1:14">
      <c r="A247" s="1"/>
      <c r="B247" s="1"/>
      <c r="C247" s="1"/>
      <c r="D247" s="1"/>
      <c r="E247" s="1"/>
      <c r="F247" s="1"/>
      <c r="G247" s="1"/>
      <c r="H247" s="6" t="str">
        <f t="shared" si="6"/>
        <v/>
      </c>
      <c r="I247" s="1" t="str">
        <f t="shared" si="7"/>
        <v/>
      </c>
      <c r="J247" s="1"/>
      <c r="K247" s="1"/>
      <c r="L247" s="1"/>
      <c r="M247" s="1"/>
      <c r="N247" s="1"/>
    </row>
    <row r="248" spans="1:14">
      <c r="A248" s="1"/>
      <c r="B248" s="1"/>
      <c r="C248" s="1"/>
      <c r="D248" s="1"/>
      <c r="E248" s="1"/>
      <c r="F248" s="1"/>
      <c r="G248" s="1"/>
      <c r="H248" s="6" t="str">
        <f t="shared" si="6"/>
        <v/>
      </c>
      <c r="I248" s="1" t="str">
        <f t="shared" si="7"/>
        <v/>
      </c>
      <c r="J248" s="1"/>
      <c r="K248" s="1"/>
      <c r="L248" s="1"/>
      <c r="M248" s="1"/>
      <c r="N248" s="1"/>
    </row>
    <row r="249" spans="1:14">
      <c r="A249" s="1"/>
      <c r="B249" s="1"/>
      <c r="C249" s="1"/>
      <c r="D249" s="1"/>
      <c r="E249" s="1"/>
      <c r="F249" s="1"/>
      <c r="G249" s="1"/>
      <c r="H249" s="6" t="str">
        <f t="shared" si="6"/>
        <v/>
      </c>
      <c r="I249" s="1" t="str">
        <f t="shared" si="7"/>
        <v/>
      </c>
      <c r="J249" s="1"/>
      <c r="K249" s="1"/>
      <c r="L249" s="1"/>
      <c r="M249" s="1"/>
      <c r="N249" s="1"/>
    </row>
    <row r="250" spans="1:14">
      <c r="A250" s="1"/>
      <c r="B250" s="1"/>
      <c r="C250" s="1"/>
      <c r="D250" s="1"/>
      <c r="E250" s="1"/>
      <c r="F250" s="1"/>
      <c r="G250" s="1"/>
      <c r="H250" s="6" t="str">
        <f t="shared" si="6"/>
        <v/>
      </c>
      <c r="I250" s="1" t="str">
        <f t="shared" si="7"/>
        <v/>
      </c>
      <c r="J250" s="1"/>
      <c r="K250" s="1"/>
      <c r="L250" s="1"/>
      <c r="M250" s="1"/>
      <c r="N250" s="1"/>
    </row>
    <row r="251" spans="1:14">
      <c r="A251" s="1"/>
      <c r="B251" s="1"/>
      <c r="C251" s="1"/>
      <c r="D251" s="1"/>
      <c r="E251" s="1"/>
      <c r="F251" s="1"/>
      <c r="G251" s="1"/>
      <c r="H251" s="6" t="str">
        <f t="shared" si="6"/>
        <v/>
      </c>
      <c r="I251" s="1" t="str">
        <f t="shared" si="7"/>
        <v/>
      </c>
      <c r="J251" s="1"/>
      <c r="K251" s="1"/>
      <c r="L251" s="1"/>
      <c r="M251" s="1"/>
      <c r="N251" s="1"/>
    </row>
    <row r="252" spans="1:14">
      <c r="A252" s="1"/>
      <c r="B252" s="1"/>
      <c r="C252" s="1"/>
      <c r="D252" s="1"/>
      <c r="E252" s="1"/>
      <c r="F252" s="1"/>
      <c r="G252" s="1"/>
      <c r="H252" s="6" t="str">
        <f t="shared" si="6"/>
        <v/>
      </c>
      <c r="I252" s="1" t="str">
        <f t="shared" si="7"/>
        <v/>
      </c>
      <c r="J252" s="1"/>
      <c r="K252" s="1"/>
      <c r="L252" s="1"/>
      <c r="M252" s="1"/>
      <c r="N252" s="1"/>
    </row>
    <row r="253" spans="1:14">
      <c r="A253" s="1"/>
      <c r="B253" s="1"/>
      <c r="C253" s="1"/>
      <c r="D253" s="1"/>
      <c r="E253" s="1"/>
      <c r="F253" s="1"/>
      <c r="G253" s="1"/>
      <c r="H253" s="6" t="str">
        <f t="shared" si="6"/>
        <v/>
      </c>
      <c r="I253" s="1" t="str">
        <f t="shared" si="7"/>
        <v/>
      </c>
      <c r="J253" s="1"/>
      <c r="K253" s="1"/>
      <c r="L253" s="1"/>
      <c r="M253" s="1"/>
      <c r="N253" s="1"/>
    </row>
    <row r="254" spans="1:14">
      <c r="A254" s="1"/>
      <c r="B254" s="1"/>
      <c r="C254" s="1"/>
      <c r="D254" s="1"/>
      <c r="E254" s="1"/>
      <c r="F254" s="1"/>
      <c r="G254" s="1"/>
      <c r="H254" s="6" t="str">
        <f t="shared" si="6"/>
        <v/>
      </c>
      <c r="I254" s="1" t="str">
        <f t="shared" si="7"/>
        <v/>
      </c>
      <c r="J254" s="1"/>
      <c r="K254" s="1"/>
      <c r="L254" s="1"/>
      <c r="M254" s="1"/>
      <c r="N254" s="1"/>
    </row>
    <row r="255" spans="1:14">
      <c r="A255" s="1"/>
      <c r="B255" s="1"/>
      <c r="C255" s="1"/>
      <c r="D255" s="1"/>
      <c r="E255" s="1"/>
      <c r="F255" s="1"/>
      <c r="G255" s="1"/>
      <c r="H255" s="6" t="str">
        <f t="shared" si="6"/>
        <v/>
      </c>
      <c r="I255" s="1" t="str">
        <f t="shared" si="7"/>
        <v/>
      </c>
      <c r="J255" s="1"/>
      <c r="K255" s="1"/>
      <c r="L255" s="1"/>
      <c r="M255" s="1"/>
      <c r="N255" s="1"/>
    </row>
    <row r="256" spans="1:14">
      <c r="A256" s="1"/>
      <c r="B256" s="1"/>
      <c r="C256" s="1"/>
      <c r="D256" s="1"/>
      <c r="E256" s="1"/>
      <c r="F256" s="1"/>
      <c r="G256" s="1"/>
      <c r="H256" s="6" t="str">
        <f t="shared" si="6"/>
        <v/>
      </c>
      <c r="I256" s="1" t="str">
        <f t="shared" si="7"/>
        <v/>
      </c>
      <c r="J256" s="1"/>
      <c r="K256" s="1"/>
      <c r="L256" s="1"/>
      <c r="M256" s="1"/>
      <c r="N256" s="1"/>
    </row>
    <row r="257" spans="1:14">
      <c r="A257" s="1"/>
      <c r="B257" s="1"/>
      <c r="C257" s="1"/>
      <c r="D257" s="1"/>
      <c r="E257" s="1"/>
      <c r="F257" s="1"/>
      <c r="G257" s="1"/>
      <c r="H257" s="6" t="str">
        <f t="shared" si="6"/>
        <v/>
      </c>
      <c r="I257" s="1" t="str">
        <f t="shared" si="7"/>
        <v/>
      </c>
      <c r="J257" s="1"/>
      <c r="K257" s="1"/>
      <c r="L257" s="1"/>
      <c r="M257" s="1"/>
      <c r="N257" s="1"/>
    </row>
    <row r="258" spans="1:14">
      <c r="A258" s="1"/>
      <c r="B258" s="1"/>
      <c r="C258" s="1"/>
      <c r="D258" s="1"/>
      <c r="E258" s="1"/>
      <c r="F258" s="1"/>
      <c r="G258" s="1"/>
      <c r="H258" s="6" t="str">
        <f t="shared" ref="H258:H321" si="8">IF(OR(F258="",G258=""),"",F258*G258)</f>
        <v/>
      </c>
      <c r="I258" s="1" t="str">
        <f t="shared" ref="I258:I321" si="9">IF(H258="","",IF(H258&gt;=20,"Critique",IF(H258&gt;=12,"Élevé",IF(H258&gt;=6,"Moyen","Faible"))))</f>
        <v/>
      </c>
      <c r="J258" s="1"/>
      <c r="K258" s="1"/>
      <c r="L258" s="1"/>
      <c r="M258" s="1"/>
      <c r="N258" s="1"/>
    </row>
    <row r="259" spans="1:14">
      <c r="A259" s="1"/>
      <c r="B259" s="1"/>
      <c r="C259" s="1"/>
      <c r="D259" s="1"/>
      <c r="E259" s="1"/>
      <c r="F259" s="1"/>
      <c r="G259" s="1"/>
      <c r="H259" s="6" t="str">
        <f t="shared" si="8"/>
        <v/>
      </c>
      <c r="I259" s="1" t="str">
        <f t="shared" si="9"/>
        <v/>
      </c>
      <c r="J259" s="1"/>
      <c r="K259" s="1"/>
      <c r="L259" s="1"/>
      <c r="M259" s="1"/>
      <c r="N259" s="1"/>
    </row>
    <row r="260" spans="1:14">
      <c r="A260" s="1"/>
      <c r="B260" s="1"/>
      <c r="C260" s="1"/>
      <c r="D260" s="1"/>
      <c r="E260" s="1"/>
      <c r="F260" s="1"/>
      <c r="G260" s="1"/>
      <c r="H260" s="6" t="str">
        <f t="shared" si="8"/>
        <v/>
      </c>
      <c r="I260" s="1" t="str">
        <f t="shared" si="9"/>
        <v/>
      </c>
      <c r="J260" s="1"/>
      <c r="K260" s="1"/>
      <c r="L260" s="1"/>
      <c r="M260" s="1"/>
      <c r="N260" s="1"/>
    </row>
    <row r="261" spans="1:14">
      <c r="A261" s="1"/>
      <c r="B261" s="1"/>
      <c r="C261" s="1"/>
      <c r="D261" s="1"/>
      <c r="E261" s="1"/>
      <c r="F261" s="1"/>
      <c r="G261" s="1"/>
      <c r="H261" s="6" t="str">
        <f t="shared" si="8"/>
        <v/>
      </c>
      <c r="I261" s="1" t="str">
        <f t="shared" si="9"/>
        <v/>
      </c>
      <c r="J261" s="1"/>
      <c r="K261" s="1"/>
      <c r="L261" s="1"/>
      <c r="M261" s="1"/>
      <c r="N261" s="1"/>
    </row>
    <row r="262" spans="1:14">
      <c r="A262" s="1"/>
      <c r="B262" s="1"/>
      <c r="C262" s="1"/>
      <c r="D262" s="1"/>
      <c r="E262" s="1"/>
      <c r="F262" s="1"/>
      <c r="G262" s="1"/>
      <c r="H262" s="6" t="str">
        <f t="shared" si="8"/>
        <v/>
      </c>
      <c r="I262" s="1" t="str">
        <f t="shared" si="9"/>
        <v/>
      </c>
      <c r="J262" s="1"/>
      <c r="K262" s="1"/>
      <c r="L262" s="1"/>
      <c r="M262" s="1"/>
      <c r="N262" s="1"/>
    </row>
    <row r="263" spans="1:14">
      <c r="A263" s="1"/>
      <c r="B263" s="1"/>
      <c r="C263" s="1"/>
      <c r="D263" s="1"/>
      <c r="E263" s="1"/>
      <c r="F263" s="1"/>
      <c r="G263" s="1"/>
      <c r="H263" s="6" t="str">
        <f t="shared" si="8"/>
        <v/>
      </c>
      <c r="I263" s="1" t="str">
        <f t="shared" si="9"/>
        <v/>
      </c>
      <c r="J263" s="1"/>
      <c r="K263" s="1"/>
      <c r="L263" s="1"/>
      <c r="M263" s="1"/>
      <c r="N263" s="1"/>
    </row>
    <row r="264" spans="1:14">
      <c r="A264" s="1"/>
      <c r="B264" s="1"/>
      <c r="C264" s="1"/>
      <c r="D264" s="1"/>
      <c r="E264" s="1"/>
      <c r="F264" s="1"/>
      <c r="G264" s="1"/>
      <c r="H264" s="6" t="str">
        <f t="shared" si="8"/>
        <v/>
      </c>
      <c r="I264" s="1" t="str">
        <f t="shared" si="9"/>
        <v/>
      </c>
      <c r="J264" s="1"/>
      <c r="K264" s="1"/>
      <c r="L264" s="1"/>
      <c r="M264" s="1"/>
      <c r="N264" s="1"/>
    </row>
    <row r="265" spans="1:14">
      <c r="A265" s="1"/>
      <c r="B265" s="1"/>
      <c r="C265" s="1"/>
      <c r="D265" s="1"/>
      <c r="E265" s="1"/>
      <c r="F265" s="1"/>
      <c r="G265" s="1"/>
      <c r="H265" s="6" t="str">
        <f t="shared" si="8"/>
        <v/>
      </c>
      <c r="I265" s="1" t="str">
        <f t="shared" si="9"/>
        <v/>
      </c>
      <c r="J265" s="1"/>
      <c r="K265" s="1"/>
      <c r="L265" s="1"/>
      <c r="M265" s="1"/>
      <c r="N265" s="1"/>
    </row>
    <row r="266" spans="1:14">
      <c r="A266" s="1"/>
      <c r="B266" s="1"/>
      <c r="C266" s="1"/>
      <c r="D266" s="1"/>
      <c r="E266" s="1"/>
      <c r="F266" s="1"/>
      <c r="G266" s="1"/>
      <c r="H266" s="6" t="str">
        <f t="shared" si="8"/>
        <v/>
      </c>
      <c r="I266" s="1" t="str">
        <f t="shared" si="9"/>
        <v/>
      </c>
      <c r="J266" s="1"/>
      <c r="K266" s="1"/>
      <c r="L266" s="1"/>
      <c r="M266" s="1"/>
      <c r="N266" s="1"/>
    </row>
    <row r="267" spans="1:14">
      <c r="A267" s="1"/>
      <c r="B267" s="1"/>
      <c r="C267" s="1"/>
      <c r="D267" s="1"/>
      <c r="E267" s="1"/>
      <c r="F267" s="1"/>
      <c r="G267" s="1"/>
      <c r="H267" s="6" t="str">
        <f t="shared" si="8"/>
        <v/>
      </c>
      <c r="I267" s="1" t="str">
        <f t="shared" si="9"/>
        <v/>
      </c>
      <c r="J267" s="1"/>
      <c r="K267" s="1"/>
      <c r="L267" s="1"/>
      <c r="M267" s="1"/>
      <c r="N267" s="1"/>
    </row>
    <row r="268" spans="1:14">
      <c r="A268" s="1"/>
      <c r="B268" s="1"/>
      <c r="C268" s="1"/>
      <c r="D268" s="1"/>
      <c r="E268" s="1"/>
      <c r="F268" s="1"/>
      <c r="G268" s="1"/>
      <c r="H268" s="6" t="str">
        <f t="shared" si="8"/>
        <v/>
      </c>
      <c r="I268" s="1" t="str">
        <f t="shared" si="9"/>
        <v/>
      </c>
      <c r="J268" s="1"/>
      <c r="K268" s="1"/>
      <c r="L268" s="1"/>
      <c r="M268" s="1"/>
      <c r="N268" s="1"/>
    </row>
    <row r="269" spans="1:14">
      <c r="A269" s="1"/>
      <c r="B269" s="1"/>
      <c r="C269" s="1"/>
      <c r="D269" s="1"/>
      <c r="E269" s="1"/>
      <c r="F269" s="1"/>
      <c r="G269" s="1"/>
      <c r="H269" s="6" t="str">
        <f t="shared" si="8"/>
        <v/>
      </c>
      <c r="I269" s="1" t="str">
        <f t="shared" si="9"/>
        <v/>
      </c>
      <c r="J269" s="1"/>
      <c r="K269" s="1"/>
      <c r="L269" s="1"/>
      <c r="M269" s="1"/>
      <c r="N269" s="1"/>
    </row>
    <row r="270" spans="1:14">
      <c r="A270" s="1"/>
      <c r="B270" s="1"/>
      <c r="C270" s="1"/>
      <c r="D270" s="1"/>
      <c r="E270" s="1"/>
      <c r="F270" s="1"/>
      <c r="G270" s="1"/>
      <c r="H270" s="6" t="str">
        <f t="shared" si="8"/>
        <v/>
      </c>
      <c r="I270" s="1" t="str">
        <f t="shared" si="9"/>
        <v/>
      </c>
      <c r="J270" s="1"/>
      <c r="K270" s="1"/>
      <c r="L270" s="1"/>
      <c r="M270" s="1"/>
      <c r="N270" s="1"/>
    </row>
    <row r="271" spans="1:14">
      <c r="A271" s="1"/>
      <c r="B271" s="1"/>
      <c r="C271" s="1"/>
      <c r="D271" s="1"/>
      <c r="E271" s="1"/>
      <c r="F271" s="1"/>
      <c r="G271" s="1"/>
      <c r="H271" s="6" t="str">
        <f t="shared" si="8"/>
        <v/>
      </c>
      <c r="I271" s="1" t="str">
        <f t="shared" si="9"/>
        <v/>
      </c>
      <c r="J271" s="1"/>
      <c r="K271" s="1"/>
      <c r="L271" s="1"/>
      <c r="M271" s="1"/>
      <c r="N271" s="1"/>
    </row>
    <row r="272" spans="1:14">
      <c r="A272" s="1"/>
      <c r="B272" s="1"/>
      <c r="C272" s="1"/>
      <c r="D272" s="1"/>
      <c r="E272" s="1"/>
      <c r="F272" s="1"/>
      <c r="G272" s="1"/>
      <c r="H272" s="6" t="str">
        <f t="shared" si="8"/>
        <v/>
      </c>
      <c r="I272" s="1" t="str">
        <f t="shared" si="9"/>
        <v/>
      </c>
      <c r="J272" s="1"/>
      <c r="K272" s="1"/>
      <c r="L272" s="1"/>
      <c r="M272" s="1"/>
      <c r="N272" s="1"/>
    </row>
    <row r="273" spans="1:14">
      <c r="A273" s="1"/>
      <c r="B273" s="1"/>
      <c r="C273" s="1"/>
      <c r="D273" s="1"/>
      <c r="E273" s="1"/>
      <c r="F273" s="1"/>
      <c r="G273" s="1"/>
      <c r="H273" s="6" t="str">
        <f t="shared" si="8"/>
        <v/>
      </c>
      <c r="I273" s="1" t="str">
        <f t="shared" si="9"/>
        <v/>
      </c>
      <c r="J273" s="1"/>
      <c r="K273" s="1"/>
      <c r="L273" s="1"/>
      <c r="M273" s="1"/>
      <c r="N273" s="1"/>
    </row>
    <row r="274" spans="1:14">
      <c r="A274" s="1"/>
      <c r="B274" s="1"/>
      <c r="C274" s="1"/>
      <c r="D274" s="1"/>
      <c r="E274" s="1"/>
      <c r="F274" s="1"/>
      <c r="G274" s="1"/>
      <c r="H274" s="6" t="str">
        <f t="shared" si="8"/>
        <v/>
      </c>
      <c r="I274" s="1" t="str">
        <f t="shared" si="9"/>
        <v/>
      </c>
      <c r="J274" s="1"/>
      <c r="K274" s="1"/>
      <c r="L274" s="1"/>
      <c r="M274" s="1"/>
      <c r="N274" s="1"/>
    </row>
    <row r="275" spans="1:14">
      <c r="A275" s="1"/>
      <c r="B275" s="1"/>
      <c r="C275" s="1"/>
      <c r="D275" s="1"/>
      <c r="E275" s="1"/>
      <c r="F275" s="1"/>
      <c r="G275" s="1"/>
      <c r="H275" s="6" t="str">
        <f t="shared" si="8"/>
        <v/>
      </c>
      <c r="I275" s="1" t="str">
        <f t="shared" si="9"/>
        <v/>
      </c>
      <c r="J275" s="1"/>
      <c r="K275" s="1"/>
      <c r="L275" s="1"/>
      <c r="M275" s="1"/>
      <c r="N275" s="1"/>
    </row>
    <row r="276" spans="1:14">
      <c r="A276" s="1"/>
      <c r="B276" s="1"/>
      <c r="C276" s="1"/>
      <c r="D276" s="1"/>
      <c r="E276" s="1"/>
      <c r="F276" s="1"/>
      <c r="G276" s="1"/>
      <c r="H276" s="6" t="str">
        <f t="shared" si="8"/>
        <v/>
      </c>
      <c r="I276" s="1" t="str">
        <f t="shared" si="9"/>
        <v/>
      </c>
      <c r="J276" s="1"/>
      <c r="K276" s="1"/>
      <c r="L276" s="1"/>
      <c r="M276" s="1"/>
      <c r="N276" s="1"/>
    </row>
    <row r="277" spans="1:14">
      <c r="A277" s="1"/>
      <c r="B277" s="1"/>
      <c r="C277" s="1"/>
      <c r="D277" s="1"/>
      <c r="E277" s="1"/>
      <c r="F277" s="1"/>
      <c r="G277" s="1"/>
      <c r="H277" s="6" t="str">
        <f t="shared" si="8"/>
        <v/>
      </c>
      <c r="I277" s="1" t="str">
        <f t="shared" si="9"/>
        <v/>
      </c>
      <c r="J277" s="1"/>
      <c r="K277" s="1"/>
      <c r="L277" s="1"/>
      <c r="M277" s="1"/>
      <c r="N277" s="1"/>
    </row>
    <row r="278" spans="1:14">
      <c r="A278" s="1"/>
      <c r="B278" s="1"/>
      <c r="C278" s="1"/>
      <c r="D278" s="1"/>
      <c r="E278" s="1"/>
      <c r="F278" s="1"/>
      <c r="G278" s="1"/>
      <c r="H278" s="6" t="str">
        <f t="shared" si="8"/>
        <v/>
      </c>
      <c r="I278" s="1" t="str">
        <f t="shared" si="9"/>
        <v/>
      </c>
      <c r="J278" s="1"/>
      <c r="K278" s="1"/>
      <c r="L278" s="1"/>
      <c r="M278" s="1"/>
      <c r="N278" s="1"/>
    </row>
    <row r="279" spans="1:14">
      <c r="A279" s="1"/>
      <c r="B279" s="1"/>
      <c r="C279" s="1"/>
      <c r="D279" s="1"/>
      <c r="E279" s="1"/>
      <c r="F279" s="1"/>
      <c r="G279" s="1"/>
      <c r="H279" s="6" t="str">
        <f t="shared" si="8"/>
        <v/>
      </c>
      <c r="I279" s="1" t="str">
        <f t="shared" si="9"/>
        <v/>
      </c>
      <c r="J279" s="1"/>
      <c r="K279" s="1"/>
      <c r="L279" s="1"/>
      <c r="M279" s="1"/>
      <c r="N279" s="1"/>
    </row>
    <row r="280" spans="1:14">
      <c r="A280" s="1"/>
      <c r="B280" s="1"/>
      <c r="C280" s="1"/>
      <c r="D280" s="1"/>
      <c r="E280" s="1"/>
      <c r="F280" s="1"/>
      <c r="G280" s="1"/>
      <c r="H280" s="6" t="str">
        <f t="shared" si="8"/>
        <v/>
      </c>
      <c r="I280" s="1" t="str">
        <f t="shared" si="9"/>
        <v/>
      </c>
      <c r="J280" s="1"/>
      <c r="K280" s="1"/>
      <c r="L280" s="1"/>
      <c r="M280" s="1"/>
      <c r="N280" s="1"/>
    </row>
    <row r="281" spans="1:14">
      <c r="A281" s="1"/>
      <c r="B281" s="1"/>
      <c r="C281" s="1"/>
      <c r="D281" s="1"/>
      <c r="E281" s="1"/>
      <c r="F281" s="1"/>
      <c r="G281" s="1"/>
      <c r="H281" s="6" t="str">
        <f t="shared" si="8"/>
        <v/>
      </c>
      <c r="I281" s="1" t="str">
        <f t="shared" si="9"/>
        <v/>
      </c>
      <c r="J281" s="1"/>
      <c r="K281" s="1"/>
      <c r="L281" s="1"/>
      <c r="M281" s="1"/>
      <c r="N281" s="1"/>
    </row>
    <row r="282" spans="1:14">
      <c r="A282" s="1"/>
      <c r="B282" s="1"/>
      <c r="C282" s="1"/>
      <c r="D282" s="1"/>
      <c r="E282" s="1"/>
      <c r="F282" s="1"/>
      <c r="G282" s="1"/>
      <c r="H282" s="6" t="str">
        <f t="shared" si="8"/>
        <v/>
      </c>
      <c r="I282" s="1" t="str">
        <f t="shared" si="9"/>
        <v/>
      </c>
      <c r="J282" s="1"/>
      <c r="K282" s="1"/>
      <c r="L282" s="1"/>
      <c r="M282" s="1"/>
      <c r="N282" s="1"/>
    </row>
    <row r="283" spans="1:14">
      <c r="A283" s="1"/>
      <c r="B283" s="1"/>
      <c r="C283" s="1"/>
      <c r="D283" s="1"/>
      <c r="E283" s="1"/>
      <c r="F283" s="1"/>
      <c r="G283" s="1"/>
      <c r="H283" s="6" t="str">
        <f t="shared" si="8"/>
        <v/>
      </c>
      <c r="I283" s="1" t="str">
        <f t="shared" si="9"/>
        <v/>
      </c>
      <c r="J283" s="1"/>
      <c r="K283" s="1"/>
      <c r="L283" s="1"/>
      <c r="M283" s="1"/>
      <c r="N283" s="1"/>
    </row>
    <row r="284" spans="1:14">
      <c r="A284" s="1"/>
      <c r="B284" s="1"/>
      <c r="C284" s="1"/>
      <c r="D284" s="1"/>
      <c r="E284" s="1"/>
      <c r="F284" s="1"/>
      <c r="G284" s="1"/>
      <c r="H284" s="6" t="str">
        <f t="shared" si="8"/>
        <v/>
      </c>
      <c r="I284" s="1" t="str">
        <f t="shared" si="9"/>
        <v/>
      </c>
      <c r="J284" s="1"/>
      <c r="K284" s="1"/>
      <c r="L284" s="1"/>
      <c r="M284" s="1"/>
      <c r="N284" s="1"/>
    </row>
    <row r="285" spans="1:14">
      <c r="A285" s="1"/>
      <c r="B285" s="1"/>
      <c r="C285" s="1"/>
      <c r="D285" s="1"/>
      <c r="E285" s="1"/>
      <c r="F285" s="1"/>
      <c r="G285" s="1"/>
      <c r="H285" s="6" t="str">
        <f t="shared" si="8"/>
        <v/>
      </c>
      <c r="I285" s="1" t="str">
        <f t="shared" si="9"/>
        <v/>
      </c>
      <c r="J285" s="1"/>
      <c r="K285" s="1"/>
      <c r="L285" s="1"/>
      <c r="M285" s="1"/>
      <c r="N285" s="1"/>
    </row>
    <row r="286" spans="1:14">
      <c r="A286" s="1"/>
      <c r="B286" s="1"/>
      <c r="C286" s="1"/>
      <c r="D286" s="1"/>
      <c r="E286" s="1"/>
      <c r="F286" s="1"/>
      <c r="G286" s="1"/>
      <c r="H286" s="6" t="str">
        <f t="shared" si="8"/>
        <v/>
      </c>
      <c r="I286" s="1" t="str">
        <f t="shared" si="9"/>
        <v/>
      </c>
      <c r="J286" s="1"/>
      <c r="K286" s="1"/>
      <c r="L286" s="1"/>
      <c r="M286" s="1"/>
      <c r="N286" s="1"/>
    </row>
    <row r="287" spans="1:14">
      <c r="A287" s="1"/>
      <c r="B287" s="1"/>
      <c r="C287" s="1"/>
      <c r="D287" s="1"/>
      <c r="E287" s="1"/>
      <c r="F287" s="1"/>
      <c r="G287" s="1"/>
      <c r="H287" s="6" t="str">
        <f t="shared" si="8"/>
        <v/>
      </c>
      <c r="I287" s="1" t="str">
        <f t="shared" si="9"/>
        <v/>
      </c>
      <c r="J287" s="1"/>
      <c r="K287" s="1"/>
      <c r="L287" s="1"/>
      <c r="M287" s="1"/>
      <c r="N287" s="1"/>
    </row>
    <row r="288" spans="1:14">
      <c r="A288" s="1"/>
      <c r="B288" s="1"/>
      <c r="C288" s="1"/>
      <c r="D288" s="1"/>
      <c r="E288" s="1"/>
      <c r="F288" s="1"/>
      <c r="G288" s="1"/>
      <c r="H288" s="6" t="str">
        <f t="shared" si="8"/>
        <v/>
      </c>
      <c r="I288" s="1" t="str">
        <f t="shared" si="9"/>
        <v/>
      </c>
      <c r="J288" s="1"/>
      <c r="K288" s="1"/>
      <c r="L288" s="1"/>
      <c r="M288" s="1"/>
      <c r="N288" s="1"/>
    </row>
    <row r="289" spans="1:14">
      <c r="A289" s="1"/>
      <c r="B289" s="1"/>
      <c r="C289" s="1"/>
      <c r="D289" s="1"/>
      <c r="E289" s="1"/>
      <c r="F289" s="1"/>
      <c r="G289" s="1"/>
      <c r="H289" s="6" t="str">
        <f t="shared" si="8"/>
        <v/>
      </c>
      <c r="I289" s="1" t="str">
        <f t="shared" si="9"/>
        <v/>
      </c>
      <c r="J289" s="1"/>
      <c r="K289" s="1"/>
      <c r="L289" s="1"/>
      <c r="M289" s="1"/>
      <c r="N289" s="1"/>
    </row>
    <row r="290" spans="1:14">
      <c r="A290" s="1"/>
      <c r="B290" s="1"/>
      <c r="C290" s="1"/>
      <c r="D290" s="1"/>
      <c r="E290" s="1"/>
      <c r="F290" s="1"/>
      <c r="G290" s="1"/>
      <c r="H290" s="6" t="str">
        <f t="shared" si="8"/>
        <v/>
      </c>
      <c r="I290" s="1" t="str">
        <f t="shared" si="9"/>
        <v/>
      </c>
      <c r="J290" s="1"/>
      <c r="K290" s="1"/>
      <c r="L290" s="1"/>
      <c r="M290" s="1"/>
      <c r="N290" s="1"/>
    </row>
    <row r="291" spans="1:14">
      <c r="A291" s="1"/>
      <c r="B291" s="1"/>
      <c r="C291" s="1"/>
      <c r="D291" s="1"/>
      <c r="E291" s="1"/>
      <c r="F291" s="1"/>
      <c r="G291" s="1"/>
      <c r="H291" s="6" t="str">
        <f t="shared" si="8"/>
        <v/>
      </c>
      <c r="I291" s="1" t="str">
        <f t="shared" si="9"/>
        <v/>
      </c>
      <c r="J291" s="1"/>
      <c r="K291" s="1"/>
      <c r="L291" s="1"/>
      <c r="M291" s="1"/>
      <c r="N291" s="1"/>
    </row>
    <row r="292" spans="1:14">
      <c r="A292" s="1"/>
      <c r="B292" s="1"/>
      <c r="C292" s="1"/>
      <c r="D292" s="1"/>
      <c r="E292" s="1"/>
      <c r="F292" s="1"/>
      <c r="G292" s="1"/>
      <c r="H292" s="6" t="str">
        <f t="shared" si="8"/>
        <v/>
      </c>
      <c r="I292" s="1" t="str">
        <f t="shared" si="9"/>
        <v/>
      </c>
      <c r="J292" s="1"/>
      <c r="K292" s="1"/>
      <c r="L292" s="1"/>
      <c r="M292" s="1"/>
      <c r="N292" s="1"/>
    </row>
    <row r="293" spans="1:14">
      <c r="A293" s="1"/>
      <c r="B293" s="1"/>
      <c r="C293" s="1"/>
      <c r="D293" s="1"/>
      <c r="E293" s="1"/>
      <c r="F293" s="1"/>
      <c r="G293" s="1"/>
      <c r="H293" s="6" t="str">
        <f t="shared" si="8"/>
        <v/>
      </c>
      <c r="I293" s="1" t="str">
        <f t="shared" si="9"/>
        <v/>
      </c>
      <c r="J293" s="1"/>
      <c r="K293" s="1"/>
      <c r="L293" s="1"/>
      <c r="M293" s="1"/>
      <c r="N293" s="1"/>
    </row>
    <row r="294" spans="1:14">
      <c r="A294" s="1"/>
      <c r="B294" s="1"/>
      <c r="C294" s="1"/>
      <c r="D294" s="1"/>
      <c r="E294" s="1"/>
      <c r="F294" s="1"/>
      <c r="G294" s="1"/>
      <c r="H294" s="6" t="str">
        <f t="shared" si="8"/>
        <v/>
      </c>
      <c r="I294" s="1" t="str">
        <f t="shared" si="9"/>
        <v/>
      </c>
      <c r="J294" s="1"/>
      <c r="K294" s="1"/>
      <c r="L294" s="1"/>
      <c r="M294" s="1"/>
      <c r="N294" s="1"/>
    </row>
    <row r="295" spans="1:14">
      <c r="A295" s="1"/>
      <c r="B295" s="1"/>
      <c r="C295" s="1"/>
      <c r="D295" s="1"/>
      <c r="E295" s="1"/>
      <c r="F295" s="1"/>
      <c r="G295" s="1"/>
      <c r="H295" s="6" t="str">
        <f t="shared" si="8"/>
        <v/>
      </c>
      <c r="I295" s="1" t="str">
        <f t="shared" si="9"/>
        <v/>
      </c>
      <c r="J295" s="1"/>
      <c r="K295" s="1"/>
      <c r="L295" s="1"/>
      <c r="M295" s="1"/>
      <c r="N295" s="1"/>
    </row>
    <row r="296" spans="1:14">
      <c r="A296" s="1"/>
      <c r="B296" s="1"/>
      <c r="C296" s="1"/>
      <c r="D296" s="1"/>
      <c r="E296" s="1"/>
      <c r="F296" s="1"/>
      <c r="G296" s="1"/>
      <c r="H296" s="6" t="str">
        <f t="shared" si="8"/>
        <v/>
      </c>
      <c r="I296" s="1" t="str">
        <f t="shared" si="9"/>
        <v/>
      </c>
      <c r="J296" s="1"/>
      <c r="K296" s="1"/>
      <c r="L296" s="1"/>
      <c r="M296" s="1"/>
      <c r="N296" s="1"/>
    </row>
    <row r="297" spans="1:14">
      <c r="A297" s="1"/>
      <c r="B297" s="1"/>
      <c r="C297" s="1"/>
      <c r="D297" s="1"/>
      <c r="E297" s="1"/>
      <c r="F297" s="1"/>
      <c r="G297" s="1"/>
      <c r="H297" s="6" t="str">
        <f t="shared" si="8"/>
        <v/>
      </c>
      <c r="I297" s="1" t="str">
        <f t="shared" si="9"/>
        <v/>
      </c>
      <c r="J297" s="1"/>
      <c r="K297" s="1"/>
      <c r="L297" s="1"/>
      <c r="M297" s="1"/>
      <c r="N297" s="1"/>
    </row>
    <row r="298" spans="1:14">
      <c r="A298" s="1"/>
      <c r="B298" s="1"/>
      <c r="C298" s="1"/>
      <c r="D298" s="1"/>
      <c r="E298" s="1"/>
      <c r="F298" s="1"/>
      <c r="G298" s="1"/>
      <c r="H298" s="6" t="str">
        <f t="shared" si="8"/>
        <v/>
      </c>
      <c r="I298" s="1" t="str">
        <f t="shared" si="9"/>
        <v/>
      </c>
      <c r="J298" s="1"/>
      <c r="K298" s="1"/>
      <c r="L298" s="1"/>
      <c r="M298" s="1"/>
      <c r="N298" s="1"/>
    </row>
    <row r="299" spans="1:14">
      <c r="A299" s="1"/>
      <c r="B299" s="1"/>
      <c r="C299" s="1"/>
      <c r="D299" s="1"/>
      <c r="E299" s="1"/>
      <c r="F299" s="1"/>
      <c r="G299" s="1"/>
      <c r="H299" s="6" t="str">
        <f t="shared" si="8"/>
        <v/>
      </c>
      <c r="I299" s="1" t="str">
        <f t="shared" si="9"/>
        <v/>
      </c>
      <c r="J299" s="1"/>
      <c r="K299" s="1"/>
      <c r="L299" s="1"/>
      <c r="M299" s="1"/>
      <c r="N299" s="1"/>
    </row>
    <row r="300" spans="1:14">
      <c r="A300" s="1"/>
      <c r="B300" s="1"/>
      <c r="C300" s="1"/>
      <c r="D300" s="1"/>
      <c r="E300" s="1"/>
      <c r="F300" s="1"/>
      <c r="G300" s="1"/>
      <c r="H300" s="6" t="str">
        <f t="shared" si="8"/>
        <v/>
      </c>
      <c r="I300" s="1" t="str">
        <f t="shared" si="9"/>
        <v/>
      </c>
      <c r="J300" s="1"/>
      <c r="K300" s="1"/>
      <c r="L300" s="1"/>
      <c r="M300" s="1"/>
      <c r="N300" s="1"/>
    </row>
    <row r="301" spans="1:14">
      <c r="A301" s="1"/>
      <c r="B301" s="1"/>
      <c r="C301" s="1"/>
      <c r="D301" s="1"/>
      <c r="E301" s="1"/>
      <c r="F301" s="1"/>
      <c r="G301" s="1"/>
      <c r="H301" s="6" t="str">
        <f t="shared" si="8"/>
        <v/>
      </c>
      <c r="I301" s="1" t="str">
        <f t="shared" si="9"/>
        <v/>
      </c>
      <c r="J301" s="1"/>
      <c r="K301" s="1"/>
      <c r="L301" s="1"/>
      <c r="M301" s="1"/>
      <c r="N301" s="1"/>
    </row>
    <row r="302" spans="1:14">
      <c r="A302" s="1"/>
      <c r="B302" s="1"/>
      <c r="C302" s="1"/>
      <c r="D302" s="1"/>
      <c r="E302" s="1"/>
      <c r="F302" s="1"/>
      <c r="G302" s="1"/>
      <c r="H302" s="6" t="str">
        <f t="shared" si="8"/>
        <v/>
      </c>
      <c r="I302" s="1" t="str">
        <f t="shared" si="9"/>
        <v/>
      </c>
      <c r="J302" s="1"/>
      <c r="K302" s="1"/>
      <c r="L302" s="1"/>
      <c r="M302" s="1"/>
      <c r="N302" s="1"/>
    </row>
    <row r="303" spans="1:14">
      <c r="A303" s="1"/>
      <c r="B303" s="1"/>
      <c r="C303" s="1"/>
      <c r="D303" s="1"/>
      <c r="E303" s="1"/>
      <c r="F303" s="1"/>
      <c r="G303" s="1"/>
      <c r="H303" s="6" t="str">
        <f t="shared" si="8"/>
        <v/>
      </c>
      <c r="I303" s="1" t="str">
        <f t="shared" si="9"/>
        <v/>
      </c>
      <c r="J303" s="1"/>
      <c r="K303" s="1"/>
      <c r="L303" s="1"/>
      <c r="M303" s="1"/>
      <c r="N303" s="1"/>
    </row>
    <row r="304" spans="1:14">
      <c r="A304" s="1"/>
      <c r="B304" s="1"/>
      <c r="C304" s="1"/>
      <c r="D304" s="1"/>
      <c r="E304" s="1"/>
      <c r="F304" s="1"/>
      <c r="G304" s="1"/>
      <c r="H304" s="6" t="str">
        <f t="shared" si="8"/>
        <v/>
      </c>
      <c r="I304" s="1" t="str">
        <f t="shared" si="9"/>
        <v/>
      </c>
      <c r="J304" s="1"/>
      <c r="K304" s="1"/>
      <c r="L304" s="1"/>
      <c r="M304" s="1"/>
      <c r="N304" s="1"/>
    </row>
    <row r="305" spans="1:14">
      <c r="A305" s="1"/>
      <c r="B305" s="1"/>
      <c r="C305" s="1"/>
      <c r="D305" s="1"/>
      <c r="E305" s="1"/>
      <c r="F305" s="1"/>
      <c r="G305" s="1"/>
      <c r="H305" s="6" t="str">
        <f t="shared" si="8"/>
        <v/>
      </c>
      <c r="I305" s="1" t="str">
        <f t="shared" si="9"/>
        <v/>
      </c>
      <c r="J305" s="1"/>
      <c r="K305" s="1"/>
      <c r="L305" s="1"/>
      <c r="M305" s="1"/>
      <c r="N305" s="1"/>
    </row>
    <row r="306" spans="1:14">
      <c r="A306" s="1"/>
      <c r="B306" s="1"/>
      <c r="C306" s="1"/>
      <c r="D306" s="1"/>
      <c r="E306" s="1"/>
      <c r="F306" s="1"/>
      <c r="G306" s="1"/>
      <c r="H306" s="6" t="str">
        <f t="shared" si="8"/>
        <v/>
      </c>
      <c r="I306" s="1" t="str">
        <f t="shared" si="9"/>
        <v/>
      </c>
      <c r="J306" s="1"/>
      <c r="K306" s="1"/>
      <c r="L306" s="1"/>
      <c r="M306" s="1"/>
      <c r="N306" s="1"/>
    </row>
    <row r="307" spans="1:14">
      <c r="A307" s="1"/>
      <c r="B307" s="1"/>
      <c r="C307" s="1"/>
      <c r="D307" s="1"/>
      <c r="E307" s="1"/>
      <c r="F307" s="1"/>
      <c r="G307" s="1"/>
      <c r="H307" s="6" t="str">
        <f t="shared" si="8"/>
        <v/>
      </c>
      <c r="I307" s="1" t="str">
        <f t="shared" si="9"/>
        <v/>
      </c>
      <c r="J307" s="1"/>
      <c r="K307" s="1"/>
      <c r="L307" s="1"/>
      <c r="M307" s="1"/>
      <c r="N307" s="1"/>
    </row>
    <row r="308" spans="1:14">
      <c r="A308" s="1"/>
      <c r="B308" s="1"/>
      <c r="C308" s="1"/>
      <c r="D308" s="1"/>
      <c r="E308" s="1"/>
      <c r="F308" s="1"/>
      <c r="G308" s="1"/>
      <c r="H308" s="6" t="str">
        <f t="shared" si="8"/>
        <v/>
      </c>
      <c r="I308" s="1" t="str">
        <f t="shared" si="9"/>
        <v/>
      </c>
      <c r="J308" s="1"/>
      <c r="K308" s="1"/>
      <c r="L308" s="1"/>
      <c r="M308" s="1"/>
      <c r="N308" s="1"/>
    </row>
    <row r="309" spans="1:14">
      <c r="A309" s="1"/>
      <c r="B309" s="1"/>
      <c r="C309" s="1"/>
      <c r="D309" s="1"/>
      <c r="E309" s="1"/>
      <c r="F309" s="1"/>
      <c r="G309" s="1"/>
      <c r="H309" s="6" t="str">
        <f t="shared" si="8"/>
        <v/>
      </c>
      <c r="I309" s="1" t="str">
        <f t="shared" si="9"/>
        <v/>
      </c>
      <c r="J309" s="1"/>
      <c r="K309" s="1"/>
      <c r="L309" s="1"/>
      <c r="M309" s="1"/>
      <c r="N309" s="1"/>
    </row>
    <row r="310" spans="1:14">
      <c r="A310" s="1"/>
      <c r="B310" s="1"/>
      <c r="C310" s="1"/>
      <c r="D310" s="1"/>
      <c r="E310" s="1"/>
      <c r="F310" s="1"/>
      <c r="G310" s="1"/>
      <c r="H310" s="6" t="str">
        <f t="shared" si="8"/>
        <v/>
      </c>
      <c r="I310" s="1" t="str">
        <f t="shared" si="9"/>
        <v/>
      </c>
      <c r="J310" s="1"/>
      <c r="K310" s="1"/>
      <c r="L310" s="1"/>
      <c r="M310" s="1"/>
      <c r="N310" s="1"/>
    </row>
    <row r="311" spans="1:14">
      <c r="A311" s="1"/>
      <c r="B311" s="1"/>
      <c r="C311" s="1"/>
      <c r="D311" s="1"/>
      <c r="E311" s="1"/>
      <c r="F311" s="1"/>
      <c r="G311" s="1"/>
      <c r="H311" s="6" t="str">
        <f t="shared" si="8"/>
        <v/>
      </c>
      <c r="I311" s="1" t="str">
        <f t="shared" si="9"/>
        <v/>
      </c>
      <c r="J311" s="1"/>
      <c r="K311" s="1"/>
      <c r="L311" s="1"/>
      <c r="M311" s="1"/>
      <c r="N311" s="1"/>
    </row>
    <row r="312" spans="1:14">
      <c r="A312" s="1"/>
      <c r="B312" s="1"/>
      <c r="C312" s="1"/>
      <c r="D312" s="1"/>
      <c r="E312" s="1"/>
      <c r="F312" s="1"/>
      <c r="G312" s="1"/>
      <c r="H312" s="6" t="str">
        <f t="shared" si="8"/>
        <v/>
      </c>
      <c r="I312" s="1" t="str">
        <f t="shared" si="9"/>
        <v/>
      </c>
      <c r="J312" s="1"/>
      <c r="K312" s="1"/>
      <c r="L312" s="1"/>
      <c r="M312" s="1"/>
      <c r="N312" s="1"/>
    </row>
    <row r="313" spans="1:14">
      <c r="A313" s="1"/>
      <c r="B313" s="1"/>
      <c r="C313" s="1"/>
      <c r="D313" s="1"/>
      <c r="E313" s="1"/>
      <c r="F313" s="1"/>
      <c r="G313" s="1"/>
      <c r="H313" s="6" t="str">
        <f t="shared" si="8"/>
        <v/>
      </c>
      <c r="I313" s="1" t="str">
        <f t="shared" si="9"/>
        <v/>
      </c>
      <c r="J313" s="1"/>
      <c r="K313" s="1"/>
      <c r="L313" s="1"/>
      <c r="M313" s="1"/>
      <c r="N313" s="1"/>
    </row>
    <row r="314" spans="1:14">
      <c r="A314" s="1"/>
      <c r="B314" s="1"/>
      <c r="C314" s="1"/>
      <c r="D314" s="1"/>
      <c r="E314" s="1"/>
      <c r="F314" s="1"/>
      <c r="G314" s="1"/>
      <c r="H314" s="6" t="str">
        <f t="shared" si="8"/>
        <v/>
      </c>
      <c r="I314" s="1" t="str">
        <f t="shared" si="9"/>
        <v/>
      </c>
      <c r="J314" s="1"/>
      <c r="K314" s="1"/>
      <c r="L314" s="1"/>
      <c r="M314" s="1"/>
      <c r="N314" s="1"/>
    </row>
    <row r="315" spans="1:14">
      <c r="A315" s="1"/>
      <c r="B315" s="1"/>
      <c r="C315" s="1"/>
      <c r="D315" s="1"/>
      <c r="E315" s="1"/>
      <c r="F315" s="1"/>
      <c r="G315" s="1"/>
      <c r="H315" s="6" t="str">
        <f t="shared" si="8"/>
        <v/>
      </c>
      <c r="I315" s="1" t="str">
        <f t="shared" si="9"/>
        <v/>
      </c>
      <c r="J315" s="1"/>
      <c r="K315" s="1"/>
      <c r="L315" s="1"/>
      <c r="M315" s="1"/>
      <c r="N315" s="1"/>
    </row>
    <row r="316" spans="1:14">
      <c r="A316" s="1"/>
      <c r="B316" s="1"/>
      <c r="C316" s="1"/>
      <c r="D316" s="1"/>
      <c r="E316" s="1"/>
      <c r="F316" s="1"/>
      <c r="G316" s="1"/>
      <c r="H316" s="6" t="str">
        <f t="shared" si="8"/>
        <v/>
      </c>
      <c r="I316" s="1" t="str">
        <f t="shared" si="9"/>
        <v/>
      </c>
      <c r="J316" s="1"/>
      <c r="K316" s="1"/>
      <c r="L316" s="1"/>
      <c r="M316" s="1"/>
      <c r="N316" s="1"/>
    </row>
    <row r="317" spans="1:14">
      <c r="A317" s="1"/>
      <c r="B317" s="1"/>
      <c r="C317" s="1"/>
      <c r="D317" s="1"/>
      <c r="E317" s="1"/>
      <c r="F317" s="1"/>
      <c r="G317" s="1"/>
      <c r="H317" s="6" t="str">
        <f t="shared" si="8"/>
        <v/>
      </c>
      <c r="I317" s="1" t="str">
        <f t="shared" si="9"/>
        <v/>
      </c>
      <c r="J317" s="1"/>
      <c r="K317" s="1"/>
      <c r="L317" s="1"/>
      <c r="M317" s="1"/>
      <c r="N317" s="1"/>
    </row>
    <row r="318" spans="1:14">
      <c r="A318" s="1"/>
      <c r="B318" s="1"/>
      <c r="C318" s="1"/>
      <c r="D318" s="1"/>
      <c r="E318" s="1"/>
      <c r="F318" s="1"/>
      <c r="G318" s="1"/>
      <c r="H318" s="6" t="str">
        <f t="shared" si="8"/>
        <v/>
      </c>
      <c r="I318" s="1" t="str">
        <f t="shared" si="9"/>
        <v/>
      </c>
      <c r="J318" s="1"/>
      <c r="K318" s="1"/>
      <c r="L318" s="1"/>
      <c r="M318" s="1"/>
      <c r="N318" s="1"/>
    </row>
    <row r="319" spans="1:14">
      <c r="A319" s="1"/>
      <c r="B319" s="1"/>
      <c r="C319" s="1"/>
      <c r="D319" s="1"/>
      <c r="E319" s="1"/>
      <c r="F319" s="1"/>
      <c r="G319" s="1"/>
      <c r="H319" s="6" t="str">
        <f t="shared" si="8"/>
        <v/>
      </c>
      <c r="I319" s="1" t="str">
        <f t="shared" si="9"/>
        <v/>
      </c>
      <c r="J319" s="1"/>
      <c r="K319" s="1"/>
      <c r="L319" s="1"/>
      <c r="M319" s="1"/>
      <c r="N319" s="1"/>
    </row>
    <row r="320" spans="1:14">
      <c r="A320" s="1"/>
      <c r="B320" s="1"/>
      <c r="C320" s="1"/>
      <c r="D320" s="1"/>
      <c r="E320" s="1"/>
      <c r="F320" s="1"/>
      <c r="G320" s="1"/>
      <c r="H320" s="6" t="str">
        <f t="shared" si="8"/>
        <v/>
      </c>
      <c r="I320" s="1" t="str">
        <f t="shared" si="9"/>
        <v/>
      </c>
      <c r="J320" s="1"/>
      <c r="K320" s="1"/>
      <c r="L320" s="1"/>
      <c r="M320" s="1"/>
      <c r="N320" s="1"/>
    </row>
    <row r="321" spans="1:14">
      <c r="A321" s="1"/>
      <c r="B321" s="1"/>
      <c r="C321" s="1"/>
      <c r="D321" s="1"/>
      <c r="E321" s="1"/>
      <c r="F321" s="1"/>
      <c r="G321" s="1"/>
      <c r="H321" s="6" t="str">
        <f t="shared" si="8"/>
        <v/>
      </c>
      <c r="I321" s="1" t="str">
        <f t="shared" si="9"/>
        <v/>
      </c>
      <c r="J321" s="1"/>
      <c r="K321" s="1"/>
      <c r="L321" s="1"/>
      <c r="M321" s="1"/>
      <c r="N321" s="1"/>
    </row>
    <row r="322" spans="1:14">
      <c r="A322" s="1"/>
      <c r="B322" s="1"/>
      <c r="C322" s="1"/>
      <c r="D322" s="1"/>
      <c r="E322" s="1"/>
      <c r="F322" s="1"/>
      <c r="G322" s="1"/>
      <c r="H322" s="6" t="str">
        <f t="shared" ref="H322:H385" si="10">IF(OR(F322="",G322=""),"",F322*G322)</f>
        <v/>
      </c>
      <c r="I322" s="1" t="str">
        <f t="shared" ref="I322:I385" si="11">IF(H322="","",IF(H322&gt;=20,"Critique",IF(H322&gt;=12,"Élevé",IF(H322&gt;=6,"Moyen","Faible"))))</f>
        <v/>
      </c>
      <c r="J322" s="1"/>
      <c r="K322" s="1"/>
      <c r="L322" s="1"/>
      <c r="M322" s="1"/>
      <c r="N322" s="1"/>
    </row>
    <row r="323" spans="1:14">
      <c r="A323" s="1"/>
      <c r="B323" s="1"/>
      <c r="C323" s="1"/>
      <c r="D323" s="1"/>
      <c r="E323" s="1"/>
      <c r="F323" s="1"/>
      <c r="G323" s="1"/>
      <c r="H323" s="6" t="str">
        <f t="shared" si="10"/>
        <v/>
      </c>
      <c r="I323" s="1" t="str">
        <f t="shared" si="11"/>
        <v/>
      </c>
      <c r="J323" s="1"/>
      <c r="K323" s="1"/>
      <c r="L323" s="1"/>
      <c r="M323" s="1"/>
      <c r="N323" s="1"/>
    </row>
    <row r="324" spans="1:14">
      <c r="A324" s="1"/>
      <c r="B324" s="1"/>
      <c r="C324" s="1"/>
      <c r="D324" s="1"/>
      <c r="E324" s="1"/>
      <c r="F324" s="1"/>
      <c r="G324" s="1"/>
      <c r="H324" s="6" t="str">
        <f t="shared" si="10"/>
        <v/>
      </c>
      <c r="I324" s="1" t="str">
        <f t="shared" si="11"/>
        <v/>
      </c>
      <c r="J324" s="1"/>
      <c r="K324" s="1"/>
      <c r="L324" s="1"/>
      <c r="M324" s="1"/>
      <c r="N324" s="1"/>
    </row>
    <row r="325" spans="1:14">
      <c r="A325" s="1"/>
      <c r="B325" s="1"/>
      <c r="C325" s="1"/>
      <c r="D325" s="1"/>
      <c r="E325" s="1"/>
      <c r="F325" s="1"/>
      <c r="G325" s="1"/>
      <c r="H325" s="6" t="str">
        <f t="shared" si="10"/>
        <v/>
      </c>
      <c r="I325" s="1" t="str">
        <f t="shared" si="11"/>
        <v/>
      </c>
      <c r="J325" s="1"/>
      <c r="K325" s="1"/>
      <c r="L325" s="1"/>
      <c r="M325" s="1"/>
      <c r="N325" s="1"/>
    </row>
    <row r="326" spans="1:14">
      <c r="A326" s="1"/>
      <c r="B326" s="1"/>
      <c r="C326" s="1"/>
      <c r="D326" s="1"/>
      <c r="E326" s="1"/>
      <c r="F326" s="1"/>
      <c r="G326" s="1"/>
      <c r="H326" s="6" t="str">
        <f t="shared" si="10"/>
        <v/>
      </c>
      <c r="I326" s="1" t="str">
        <f t="shared" si="11"/>
        <v/>
      </c>
      <c r="J326" s="1"/>
      <c r="K326" s="1"/>
      <c r="L326" s="1"/>
      <c r="M326" s="1"/>
      <c r="N326" s="1"/>
    </row>
    <row r="327" spans="1:14">
      <c r="A327" s="1"/>
      <c r="B327" s="1"/>
      <c r="C327" s="1"/>
      <c r="D327" s="1"/>
      <c r="E327" s="1"/>
      <c r="F327" s="1"/>
      <c r="G327" s="1"/>
      <c r="H327" s="6" t="str">
        <f t="shared" si="10"/>
        <v/>
      </c>
      <c r="I327" s="1" t="str">
        <f t="shared" si="11"/>
        <v/>
      </c>
      <c r="J327" s="1"/>
      <c r="K327" s="1"/>
      <c r="L327" s="1"/>
      <c r="M327" s="1"/>
      <c r="N327" s="1"/>
    </row>
    <row r="328" spans="1:14">
      <c r="A328" s="1"/>
      <c r="B328" s="1"/>
      <c r="C328" s="1"/>
      <c r="D328" s="1"/>
      <c r="E328" s="1"/>
      <c r="F328" s="1"/>
      <c r="G328" s="1"/>
      <c r="H328" s="6" t="str">
        <f t="shared" si="10"/>
        <v/>
      </c>
      <c r="I328" s="1" t="str">
        <f t="shared" si="11"/>
        <v/>
      </c>
      <c r="J328" s="1"/>
      <c r="K328" s="1"/>
      <c r="L328" s="1"/>
      <c r="M328" s="1"/>
      <c r="N328" s="1"/>
    </row>
    <row r="329" spans="1:14">
      <c r="A329" s="1"/>
      <c r="B329" s="1"/>
      <c r="C329" s="1"/>
      <c r="D329" s="1"/>
      <c r="E329" s="1"/>
      <c r="F329" s="1"/>
      <c r="G329" s="1"/>
      <c r="H329" s="6" t="str">
        <f t="shared" si="10"/>
        <v/>
      </c>
      <c r="I329" s="1" t="str">
        <f t="shared" si="11"/>
        <v/>
      </c>
      <c r="J329" s="1"/>
      <c r="K329" s="1"/>
      <c r="L329" s="1"/>
      <c r="M329" s="1"/>
      <c r="N329" s="1"/>
    </row>
    <row r="330" spans="1:14">
      <c r="A330" s="1"/>
      <c r="B330" s="1"/>
      <c r="C330" s="1"/>
      <c r="D330" s="1"/>
      <c r="E330" s="1"/>
      <c r="F330" s="1"/>
      <c r="G330" s="1"/>
      <c r="H330" s="6" t="str">
        <f t="shared" si="10"/>
        <v/>
      </c>
      <c r="I330" s="1" t="str">
        <f t="shared" si="11"/>
        <v/>
      </c>
      <c r="J330" s="1"/>
      <c r="K330" s="1"/>
      <c r="L330" s="1"/>
      <c r="M330" s="1"/>
      <c r="N330" s="1"/>
    </row>
    <row r="331" spans="1:14">
      <c r="A331" s="1"/>
      <c r="B331" s="1"/>
      <c r="C331" s="1"/>
      <c r="D331" s="1"/>
      <c r="E331" s="1"/>
      <c r="F331" s="1"/>
      <c r="G331" s="1"/>
      <c r="H331" s="6" t="str">
        <f t="shared" si="10"/>
        <v/>
      </c>
      <c r="I331" s="1" t="str">
        <f t="shared" si="11"/>
        <v/>
      </c>
      <c r="J331" s="1"/>
      <c r="K331" s="1"/>
      <c r="L331" s="1"/>
      <c r="M331" s="1"/>
      <c r="N331" s="1"/>
    </row>
    <row r="332" spans="1:14">
      <c r="A332" s="1"/>
      <c r="B332" s="1"/>
      <c r="C332" s="1"/>
      <c r="D332" s="1"/>
      <c r="E332" s="1"/>
      <c r="F332" s="1"/>
      <c r="G332" s="1"/>
      <c r="H332" s="6" t="str">
        <f t="shared" si="10"/>
        <v/>
      </c>
      <c r="I332" s="1" t="str">
        <f t="shared" si="11"/>
        <v/>
      </c>
      <c r="J332" s="1"/>
      <c r="K332" s="1"/>
      <c r="L332" s="1"/>
      <c r="M332" s="1"/>
      <c r="N332" s="1"/>
    </row>
    <row r="333" spans="1:14">
      <c r="A333" s="1"/>
      <c r="B333" s="1"/>
      <c r="C333" s="1"/>
      <c r="D333" s="1"/>
      <c r="E333" s="1"/>
      <c r="F333" s="1"/>
      <c r="G333" s="1"/>
      <c r="H333" s="6" t="str">
        <f t="shared" si="10"/>
        <v/>
      </c>
      <c r="I333" s="1" t="str">
        <f t="shared" si="11"/>
        <v/>
      </c>
      <c r="J333" s="1"/>
      <c r="K333" s="1"/>
      <c r="L333" s="1"/>
      <c r="M333" s="1"/>
      <c r="N333" s="1"/>
    </row>
    <row r="334" spans="1:14">
      <c r="A334" s="1"/>
      <c r="B334" s="1"/>
      <c r="C334" s="1"/>
      <c r="D334" s="1"/>
      <c r="E334" s="1"/>
      <c r="F334" s="1"/>
      <c r="G334" s="1"/>
      <c r="H334" s="6" t="str">
        <f t="shared" si="10"/>
        <v/>
      </c>
      <c r="I334" s="1" t="str">
        <f t="shared" si="11"/>
        <v/>
      </c>
      <c r="J334" s="1"/>
      <c r="K334" s="1"/>
      <c r="L334" s="1"/>
      <c r="M334" s="1"/>
      <c r="N334" s="1"/>
    </row>
    <row r="335" spans="1:14">
      <c r="A335" s="1"/>
      <c r="B335" s="1"/>
      <c r="C335" s="1"/>
      <c r="D335" s="1"/>
      <c r="E335" s="1"/>
      <c r="F335" s="1"/>
      <c r="G335" s="1"/>
      <c r="H335" s="6" t="str">
        <f t="shared" si="10"/>
        <v/>
      </c>
      <c r="I335" s="1" t="str">
        <f t="shared" si="11"/>
        <v/>
      </c>
      <c r="J335" s="1"/>
      <c r="K335" s="1"/>
      <c r="L335" s="1"/>
      <c r="M335" s="1"/>
      <c r="N335" s="1"/>
    </row>
    <row r="336" spans="1:14">
      <c r="A336" s="1"/>
      <c r="B336" s="1"/>
      <c r="C336" s="1"/>
      <c r="D336" s="1"/>
      <c r="E336" s="1"/>
      <c r="F336" s="1"/>
      <c r="G336" s="1"/>
      <c r="H336" s="6" t="str">
        <f t="shared" si="10"/>
        <v/>
      </c>
      <c r="I336" s="1" t="str">
        <f t="shared" si="11"/>
        <v/>
      </c>
      <c r="J336" s="1"/>
      <c r="K336" s="1"/>
      <c r="L336" s="1"/>
      <c r="M336" s="1"/>
      <c r="N336" s="1"/>
    </row>
    <row r="337" spans="1:14">
      <c r="A337" s="1"/>
      <c r="B337" s="1"/>
      <c r="C337" s="1"/>
      <c r="D337" s="1"/>
      <c r="E337" s="1"/>
      <c r="F337" s="1"/>
      <c r="G337" s="1"/>
      <c r="H337" s="6" t="str">
        <f t="shared" si="10"/>
        <v/>
      </c>
      <c r="I337" s="1" t="str">
        <f t="shared" si="11"/>
        <v/>
      </c>
      <c r="J337" s="1"/>
      <c r="K337" s="1"/>
      <c r="L337" s="1"/>
      <c r="M337" s="1"/>
      <c r="N337" s="1"/>
    </row>
    <row r="338" spans="1:14">
      <c r="A338" s="1"/>
      <c r="B338" s="1"/>
      <c r="C338" s="1"/>
      <c r="D338" s="1"/>
      <c r="E338" s="1"/>
      <c r="F338" s="1"/>
      <c r="G338" s="1"/>
      <c r="H338" s="6" t="str">
        <f t="shared" si="10"/>
        <v/>
      </c>
      <c r="I338" s="1" t="str">
        <f t="shared" si="11"/>
        <v/>
      </c>
      <c r="J338" s="1"/>
      <c r="K338" s="1"/>
      <c r="L338" s="1"/>
      <c r="M338" s="1"/>
      <c r="N338" s="1"/>
    </row>
    <row r="339" spans="1:14">
      <c r="A339" s="1"/>
      <c r="B339" s="1"/>
      <c r="C339" s="1"/>
      <c r="D339" s="1"/>
      <c r="E339" s="1"/>
      <c r="F339" s="1"/>
      <c r="G339" s="1"/>
      <c r="H339" s="6" t="str">
        <f t="shared" si="10"/>
        <v/>
      </c>
      <c r="I339" s="1" t="str">
        <f t="shared" si="11"/>
        <v/>
      </c>
      <c r="J339" s="1"/>
      <c r="K339" s="1"/>
      <c r="L339" s="1"/>
      <c r="M339" s="1"/>
      <c r="N339" s="1"/>
    </row>
    <row r="340" spans="1:14">
      <c r="A340" s="1"/>
      <c r="B340" s="1"/>
      <c r="C340" s="1"/>
      <c r="D340" s="1"/>
      <c r="E340" s="1"/>
      <c r="F340" s="1"/>
      <c r="G340" s="1"/>
      <c r="H340" s="6" t="str">
        <f t="shared" si="10"/>
        <v/>
      </c>
      <c r="I340" s="1" t="str">
        <f t="shared" si="11"/>
        <v/>
      </c>
      <c r="J340" s="1"/>
      <c r="K340" s="1"/>
      <c r="L340" s="1"/>
      <c r="M340" s="1"/>
      <c r="N340" s="1"/>
    </row>
    <row r="341" spans="1:14">
      <c r="A341" s="1"/>
      <c r="B341" s="1"/>
      <c r="C341" s="1"/>
      <c r="D341" s="1"/>
      <c r="E341" s="1"/>
      <c r="F341" s="1"/>
      <c r="G341" s="1"/>
      <c r="H341" s="6" t="str">
        <f t="shared" si="10"/>
        <v/>
      </c>
      <c r="I341" s="1" t="str">
        <f t="shared" si="11"/>
        <v/>
      </c>
      <c r="J341" s="1"/>
      <c r="K341" s="1"/>
      <c r="L341" s="1"/>
      <c r="M341" s="1"/>
      <c r="N341" s="1"/>
    </row>
    <row r="342" spans="1:14">
      <c r="A342" s="1"/>
      <c r="B342" s="1"/>
      <c r="C342" s="1"/>
      <c r="D342" s="1"/>
      <c r="E342" s="1"/>
      <c r="F342" s="1"/>
      <c r="G342" s="1"/>
      <c r="H342" s="6" t="str">
        <f t="shared" si="10"/>
        <v/>
      </c>
      <c r="I342" s="1" t="str">
        <f t="shared" si="11"/>
        <v/>
      </c>
      <c r="J342" s="1"/>
      <c r="K342" s="1"/>
      <c r="L342" s="1"/>
      <c r="M342" s="1"/>
      <c r="N342" s="1"/>
    </row>
    <row r="343" spans="1:14">
      <c r="A343" s="1"/>
      <c r="B343" s="1"/>
      <c r="C343" s="1"/>
      <c r="D343" s="1"/>
      <c r="E343" s="1"/>
      <c r="F343" s="1"/>
      <c r="G343" s="1"/>
      <c r="H343" s="6" t="str">
        <f t="shared" si="10"/>
        <v/>
      </c>
      <c r="I343" s="1" t="str">
        <f t="shared" si="11"/>
        <v/>
      </c>
      <c r="J343" s="1"/>
      <c r="K343" s="1"/>
      <c r="L343" s="1"/>
      <c r="M343" s="1"/>
      <c r="N343" s="1"/>
    </row>
    <row r="344" spans="1:14">
      <c r="A344" s="1"/>
      <c r="B344" s="1"/>
      <c r="C344" s="1"/>
      <c r="D344" s="1"/>
      <c r="E344" s="1"/>
      <c r="F344" s="1"/>
      <c r="G344" s="1"/>
      <c r="H344" s="6" t="str">
        <f t="shared" si="10"/>
        <v/>
      </c>
      <c r="I344" s="1" t="str">
        <f t="shared" si="11"/>
        <v/>
      </c>
      <c r="J344" s="1"/>
      <c r="K344" s="1"/>
      <c r="L344" s="1"/>
      <c r="M344" s="1"/>
      <c r="N344" s="1"/>
    </row>
    <row r="345" spans="1:14">
      <c r="A345" s="1"/>
      <c r="B345" s="1"/>
      <c r="C345" s="1"/>
      <c r="D345" s="1"/>
      <c r="E345" s="1"/>
      <c r="F345" s="1"/>
      <c r="G345" s="1"/>
      <c r="H345" s="6" t="str">
        <f t="shared" si="10"/>
        <v/>
      </c>
      <c r="I345" s="1" t="str">
        <f t="shared" si="11"/>
        <v/>
      </c>
      <c r="J345" s="1"/>
      <c r="K345" s="1"/>
      <c r="L345" s="1"/>
      <c r="M345" s="1"/>
      <c r="N345" s="1"/>
    </row>
    <row r="346" spans="1:14">
      <c r="A346" s="1"/>
      <c r="B346" s="1"/>
      <c r="C346" s="1"/>
      <c r="D346" s="1"/>
      <c r="E346" s="1"/>
      <c r="F346" s="1"/>
      <c r="G346" s="1"/>
      <c r="H346" s="6" t="str">
        <f t="shared" si="10"/>
        <v/>
      </c>
      <c r="I346" s="1" t="str">
        <f t="shared" si="11"/>
        <v/>
      </c>
      <c r="J346" s="1"/>
      <c r="K346" s="1"/>
      <c r="L346" s="1"/>
      <c r="M346" s="1"/>
      <c r="N346" s="1"/>
    </row>
    <row r="347" spans="1:14">
      <c r="A347" s="1"/>
      <c r="B347" s="1"/>
      <c r="C347" s="1"/>
      <c r="D347" s="1"/>
      <c r="E347" s="1"/>
      <c r="F347" s="1"/>
      <c r="G347" s="1"/>
      <c r="H347" s="6" t="str">
        <f t="shared" si="10"/>
        <v/>
      </c>
      <c r="I347" s="1" t="str">
        <f t="shared" si="11"/>
        <v/>
      </c>
      <c r="J347" s="1"/>
      <c r="K347" s="1"/>
      <c r="L347" s="1"/>
      <c r="M347" s="1"/>
      <c r="N347" s="1"/>
    </row>
    <row r="348" spans="1:14">
      <c r="A348" s="1"/>
      <c r="B348" s="1"/>
      <c r="C348" s="1"/>
      <c r="D348" s="1"/>
      <c r="E348" s="1"/>
      <c r="F348" s="1"/>
      <c r="G348" s="1"/>
      <c r="H348" s="6" t="str">
        <f t="shared" si="10"/>
        <v/>
      </c>
      <c r="I348" s="1" t="str">
        <f t="shared" si="11"/>
        <v/>
      </c>
      <c r="J348" s="1"/>
      <c r="K348" s="1"/>
      <c r="L348" s="1"/>
      <c r="M348" s="1"/>
      <c r="N348" s="1"/>
    </row>
    <row r="349" spans="1:14">
      <c r="A349" s="1"/>
      <c r="B349" s="1"/>
      <c r="C349" s="1"/>
      <c r="D349" s="1"/>
      <c r="E349" s="1"/>
      <c r="F349" s="1"/>
      <c r="G349" s="1"/>
      <c r="H349" s="6" t="str">
        <f t="shared" si="10"/>
        <v/>
      </c>
      <c r="I349" s="1" t="str">
        <f t="shared" si="11"/>
        <v/>
      </c>
      <c r="J349" s="1"/>
      <c r="K349" s="1"/>
      <c r="L349" s="1"/>
      <c r="M349" s="1"/>
      <c r="N349" s="1"/>
    </row>
    <row r="350" spans="1:14">
      <c r="A350" s="1"/>
      <c r="B350" s="1"/>
      <c r="C350" s="1"/>
      <c r="D350" s="1"/>
      <c r="E350" s="1"/>
      <c r="F350" s="1"/>
      <c r="G350" s="1"/>
      <c r="H350" s="6" t="str">
        <f t="shared" si="10"/>
        <v/>
      </c>
      <c r="I350" s="1" t="str">
        <f t="shared" si="11"/>
        <v/>
      </c>
      <c r="J350" s="1"/>
      <c r="K350" s="1"/>
      <c r="L350" s="1"/>
      <c r="M350" s="1"/>
      <c r="N350" s="1"/>
    </row>
    <row r="351" spans="1:14">
      <c r="A351" s="1"/>
      <c r="B351" s="1"/>
      <c r="C351" s="1"/>
      <c r="D351" s="1"/>
      <c r="E351" s="1"/>
      <c r="F351" s="1"/>
      <c r="G351" s="1"/>
      <c r="H351" s="6" t="str">
        <f t="shared" si="10"/>
        <v/>
      </c>
      <c r="I351" s="1" t="str">
        <f t="shared" si="11"/>
        <v/>
      </c>
      <c r="J351" s="1"/>
      <c r="K351" s="1"/>
      <c r="L351" s="1"/>
      <c r="M351" s="1"/>
      <c r="N351" s="1"/>
    </row>
    <row r="352" spans="1:14">
      <c r="A352" s="1"/>
      <c r="B352" s="1"/>
      <c r="C352" s="1"/>
      <c r="D352" s="1"/>
      <c r="E352" s="1"/>
      <c r="F352" s="1"/>
      <c r="G352" s="1"/>
      <c r="H352" s="6" t="str">
        <f t="shared" si="10"/>
        <v/>
      </c>
      <c r="I352" s="1" t="str">
        <f t="shared" si="11"/>
        <v/>
      </c>
      <c r="J352" s="1"/>
      <c r="K352" s="1"/>
      <c r="L352" s="1"/>
      <c r="M352" s="1"/>
      <c r="N352" s="1"/>
    </row>
    <row r="353" spans="1:14">
      <c r="A353" s="1"/>
      <c r="B353" s="1"/>
      <c r="C353" s="1"/>
      <c r="D353" s="1"/>
      <c r="E353" s="1"/>
      <c r="F353" s="1"/>
      <c r="G353" s="1"/>
      <c r="H353" s="6" t="str">
        <f t="shared" si="10"/>
        <v/>
      </c>
      <c r="I353" s="1" t="str">
        <f t="shared" si="11"/>
        <v/>
      </c>
      <c r="J353" s="1"/>
      <c r="K353" s="1"/>
      <c r="L353" s="1"/>
      <c r="M353" s="1"/>
      <c r="N353" s="1"/>
    </row>
    <row r="354" spans="1:14">
      <c r="A354" s="1"/>
      <c r="B354" s="1"/>
      <c r="C354" s="1"/>
      <c r="D354" s="1"/>
      <c r="E354" s="1"/>
      <c r="F354" s="1"/>
      <c r="G354" s="1"/>
      <c r="H354" s="6" t="str">
        <f t="shared" si="10"/>
        <v/>
      </c>
      <c r="I354" s="1" t="str">
        <f t="shared" si="11"/>
        <v/>
      </c>
      <c r="J354" s="1"/>
      <c r="K354" s="1"/>
      <c r="L354" s="1"/>
      <c r="M354" s="1"/>
      <c r="N354" s="1"/>
    </row>
    <row r="355" spans="1:14">
      <c r="A355" s="1"/>
      <c r="B355" s="1"/>
      <c r="C355" s="1"/>
      <c r="D355" s="1"/>
      <c r="E355" s="1"/>
      <c r="F355" s="1"/>
      <c r="G355" s="1"/>
      <c r="H355" s="6" t="str">
        <f t="shared" si="10"/>
        <v/>
      </c>
      <c r="I355" s="1" t="str">
        <f t="shared" si="11"/>
        <v/>
      </c>
      <c r="J355" s="1"/>
      <c r="K355" s="1"/>
      <c r="L355" s="1"/>
      <c r="M355" s="1"/>
      <c r="N355" s="1"/>
    </row>
    <row r="356" spans="1:14">
      <c r="A356" s="1"/>
      <c r="B356" s="1"/>
      <c r="C356" s="1"/>
      <c r="D356" s="1"/>
      <c r="E356" s="1"/>
      <c r="F356" s="1"/>
      <c r="G356" s="1"/>
      <c r="H356" s="6" t="str">
        <f t="shared" si="10"/>
        <v/>
      </c>
      <c r="I356" s="1" t="str">
        <f t="shared" si="11"/>
        <v/>
      </c>
      <c r="J356" s="1"/>
      <c r="K356" s="1"/>
      <c r="L356" s="1"/>
      <c r="M356" s="1"/>
      <c r="N356" s="1"/>
    </row>
    <row r="357" spans="1:14">
      <c r="A357" s="1"/>
      <c r="B357" s="1"/>
      <c r="C357" s="1"/>
      <c r="D357" s="1"/>
      <c r="E357" s="1"/>
      <c r="F357" s="1"/>
      <c r="G357" s="1"/>
      <c r="H357" s="6" t="str">
        <f t="shared" si="10"/>
        <v/>
      </c>
      <c r="I357" s="1" t="str">
        <f t="shared" si="11"/>
        <v/>
      </c>
      <c r="J357" s="1"/>
      <c r="K357" s="1"/>
      <c r="L357" s="1"/>
      <c r="M357" s="1"/>
      <c r="N357" s="1"/>
    </row>
    <row r="358" spans="1:14">
      <c r="A358" s="1"/>
      <c r="B358" s="1"/>
      <c r="C358" s="1"/>
      <c r="D358" s="1"/>
      <c r="E358" s="1"/>
      <c r="F358" s="1"/>
      <c r="G358" s="1"/>
      <c r="H358" s="6" t="str">
        <f t="shared" si="10"/>
        <v/>
      </c>
      <c r="I358" s="1" t="str">
        <f t="shared" si="11"/>
        <v/>
      </c>
      <c r="J358" s="1"/>
      <c r="K358" s="1"/>
      <c r="L358" s="1"/>
      <c r="M358" s="1"/>
      <c r="N358" s="1"/>
    </row>
    <row r="359" spans="1:14">
      <c r="A359" s="1"/>
      <c r="B359" s="1"/>
      <c r="C359" s="1"/>
      <c r="D359" s="1"/>
      <c r="E359" s="1"/>
      <c r="F359" s="1"/>
      <c r="G359" s="1"/>
      <c r="H359" s="6" t="str">
        <f t="shared" si="10"/>
        <v/>
      </c>
      <c r="I359" s="1" t="str">
        <f t="shared" si="11"/>
        <v/>
      </c>
      <c r="J359" s="1"/>
      <c r="K359" s="1"/>
      <c r="L359" s="1"/>
      <c r="M359" s="1"/>
      <c r="N359" s="1"/>
    </row>
    <row r="360" spans="1:14">
      <c r="A360" s="1"/>
      <c r="B360" s="1"/>
      <c r="C360" s="1"/>
      <c r="D360" s="1"/>
      <c r="E360" s="1"/>
      <c r="F360" s="1"/>
      <c r="G360" s="1"/>
      <c r="H360" s="6" t="str">
        <f t="shared" si="10"/>
        <v/>
      </c>
      <c r="I360" s="1" t="str">
        <f t="shared" si="11"/>
        <v/>
      </c>
      <c r="J360" s="1"/>
      <c r="K360" s="1"/>
      <c r="L360" s="1"/>
      <c r="M360" s="1"/>
      <c r="N360" s="1"/>
    </row>
    <row r="361" spans="1:14">
      <c r="A361" s="1"/>
      <c r="B361" s="1"/>
      <c r="C361" s="1"/>
      <c r="D361" s="1"/>
      <c r="E361" s="1"/>
      <c r="F361" s="1"/>
      <c r="G361" s="1"/>
      <c r="H361" s="6" t="str">
        <f t="shared" si="10"/>
        <v/>
      </c>
      <c r="I361" s="1" t="str">
        <f t="shared" si="11"/>
        <v/>
      </c>
      <c r="J361" s="1"/>
      <c r="K361" s="1"/>
      <c r="L361" s="1"/>
      <c r="M361" s="1"/>
      <c r="N361" s="1"/>
    </row>
    <row r="362" spans="1:14">
      <c r="A362" s="1"/>
      <c r="B362" s="1"/>
      <c r="C362" s="1"/>
      <c r="D362" s="1"/>
      <c r="E362" s="1"/>
      <c r="F362" s="1"/>
      <c r="G362" s="1"/>
      <c r="H362" s="6" t="str">
        <f t="shared" si="10"/>
        <v/>
      </c>
      <c r="I362" s="1" t="str">
        <f t="shared" si="11"/>
        <v/>
      </c>
      <c r="J362" s="1"/>
      <c r="K362" s="1"/>
      <c r="L362" s="1"/>
      <c r="M362" s="1"/>
      <c r="N362" s="1"/>
    </row>
    <row r="363" spans="1:14">
      <c r="A363" s="1"/>
      <c r="B363" s="1"/>
      <c r="C363" s="1"/>
      <c r="D363" s="1"/>
      <c r="E363" s="1"/>
      <c r="F363" s="1"/>
      <c r="G363" s="1"/>
      <c r="H363" s="6" t="str">
        <f t="shared" si="10"/>
        <v/>
      </c>
      <c r="I363" s="1" t="str">
        <f t="shared" si="11"/>
        <v/>
      </c>
      <c r="J363" s="1"/>
      <c r="K363" s="1"/>
      <c r="L363" s="1"/>
      <c r="M363" s="1"/>
      <c r="N363" s="1"/>
    </row>
    <row r="364" spans="1:14">
      <c r="A364" s="1"/>
      <c r="B364" s="1"/>
      <c r="C364" s="1"/>
      <c r="D364" s="1"/>
      <c r="E364" s="1"/>
      <c r="F364" s="1"/>
      <c r="G364" s="1"/>
      <c r="H364" s="6" t="str">
        <f t="shared" si="10"/>
        <v/>
      </c>
      <c r="I364" s="1" t="str">
        <f t="shared" si="11"/>
        <v/>
      </c>
      <c r="J364" s="1"/>
      <c r="K364" s="1"/>
      <c r="L364" s="1"/>
      <c r="M364" s="1"/>
      <c r="N364" s="1"/>
    </row>
    <row r="365" spans="1:14">
      <c r="A365" s="1"/>
      <c r="B365" s="1"/>
      <c r="C365" s="1"/>
      <c r="D365" s="1"/>
      <c r="E365" s="1"/>
      <c r="F365" s="1"/>
      <c r="G365" s="1"/>
      <c r="H365" s="6" t="str">
        <f t="shared" si="10"/>
        <v/>
      </c>
      <c r="I365" s="1" t="str">
        <f t="shared" si="11"/>
        <v/>
      </c>
      <c r="J365" s="1"/>
      <c r="K365" s="1"/>
      <c r="L365" s="1"/>
      <c r="M365" s="1"/>
      <c r="N365" s="1"/>
    </row>
    <row r="366" spans="1:14">
      <c r="A366" s="1"/>
      <c r="B366" s="1"/>
      <c r="C366" s="1"/>
      <c r="D366" s="1"/>
      <c r="E366" s="1"/>
      <c r="F366" s="1"/>
      <c r="G366" s="1"/>
      <c r="H366" s="6" t="str">
        <f t="shared" si="10"/>
        <v/>
      </c>
      <c r="I366" s="1" t="str">
        <f t="shared" si="11"/>
        <v/>
      </c>
      <c r="J366" s="1"/>
      <c r="K366" s="1"/>
      <c r="L366" s="1"/>
      <c r="M366" s="1"/>
      <c r="N366" s="1"/>
    </row>
    <row r="367" spans="1:14">
      <c r="A367" s="1"/>
      <c r="B367" s="1"/>
      <c r="C367" s="1"/>
      <c r="D367" s="1"/>
      <c r="E367" s="1"/>
      <c r="F367" s="1"/>
      <c r="G367" s="1"/>
      <c r="H367" s="6" t="str">
        <f t="shared" si="10"/>
        <v/>
      </c>
      <c r="I367" s="1" t="str">
        <f t="shared" si="11"/>
        <v/>
      </c>
      <c r="J367" s="1"/>
      <c r="K367" s="1"/>
      <c r="L367" s="1"/>
      <c r="M367" s="1"/>
      <c r="N367" s="1"/>
    </row>
    <row r="368" spans="1:14">
      <c r="A368" s="1"/>
      <c r="B368" s="1"/>
      <c r="C368" s="1"/>
      <c r="D368" s="1"/>
      <c r="E368" s="1"/>
      <c r="F368" s="1"/>
      <c r="G368" s="1"/>
      <c r="H368" s="6" t="str">
        <f t="shared" si="10"/>
        <v/>
      </c>
      <c r="I368" s="1" t="str">
        <f t="shared" si="11"/>
        <v/>
      </c>
      <c r="J368" s="1"/>
      <c r="K368" s="1"/>
      <c r="L368" s="1"/>
      <c r="M368" s="1"/>
      <c r="N368" s="1"/>
    </row>
    <row r="369" spans="1:14">
      <c r="A369" s="1"/>
      <c r="B369" s="1"/>
      <c r="C369" s="1"/>
      <c r="D369" s="1"/>
      <c r="E369" s="1"/>
      <c r="F369" s="1"/>
      <c r="G369" s="1"/>
      <c r="H369" s="6" t="str">
        <f t="shared" si="10"/>
        <v/>
      </c>
      <c r="I369" s="1" t="str">
        <f t="shared" si="11"/>
        <v/>
      </c>
      <c r="J369" s="1"/>
      <c r="K369" s="1"/>
      <c r="L369" s="1"/>
      <c r="M369" s="1"/>
      <c r="N369" s="1"/>
    </row>
    <row r="370" spans="1:14">
      <c r="A370" s="1"/>
      <c r="B370" s="1"/>
      <c r="C370" s="1"/>
      <c r="D370" s="1"/>
      <c r="E370" s="1"/>
      <c r="F370" s="1"/>
      <c r="G370" s="1"/>
      <c r="H370" s="6" t="str">
        <f t="shared" si="10"/>
        <v/>
      </c>
      <c r="I370" s="1" t="str">
        <f t="shared" si="11"/>
        <v/>
      </c>
      <c r="J370" s="1"/>
      <c r="K370" s="1"/>
      <c r="L370" s="1"/>
      <c r="M370" s="1"/>
      <c r="N370" s="1"/>
    </row>
    <row r="371" spans="1:14">
      <c r="A371" s="1"/>
      <c r="B371" s="1"/>
      <c r="C371" s="1"/>
      <c r="D371" s="1"/>
      <c r="E371" s="1"/>
      <c r="F371" s="1"/>
      <c r="G371" s="1"/>
      <c r="H371" s="6" t="str">
        <f t="shared" si="10"/>
        <v/>
      </c>
      <c r="I371" s="1" t="str">
        <f t="shared" si="11"/>
        <v/>
      </c>
      <c r="J371" s="1"/>
      <c r="K371" s="1"/>
      <c r="L371" s="1"/>
      <c r="M371" s="1"/>
      <c r="N371" s="1"/>
    </row>
    <row r="372" spans="1:14">
      <c r="A372" s="1"/>
      <c r="B372" s="1"/>
      <c r="C372" s="1"/>
      <c r="D372" s="1"/>
      <c r="E372" s="1"/>
      <c r="F372" s="1"/>
      <c r="G372" s="1"/>
      <c r="H372" s="6" t="str">
        <f t="shared" si="10"/>
        <v/>
      </c>
      <c r="I372" s="1" t="str">
        <f t="shared" si="11"/>
        <v/>
      </c>
      <c r="J372" s="1"/>
      <c r="K372" s="1"/>
      <c r="L372" s="1"/>
      <c r="M372" s="1"/>
      <c r="N372" s="1"/>
    </row>
    <row r="373" spans="1:14">
      <c r="A373" s="1"/>
      <c r="B373" s="1"/>
      <c r="C373" s="1"/>
      <c r="D373" s="1"/>
      <c r="E373" s="1"/>
      <c r="F373" s="1"/>
      <c r="G373" s="1"/>
      <c r="H373" s="6" t="str">
        <f t="shared" si="10"/>
        <v/>
      </c>
      <c r="I373" s="1" t="str">
        <f t="shared" si="11"/>
        <v/>
      </c>
      <c r="J373" s="1"/>
      <c r="K373" s="1"/>
      <c r="L373" s="1"/>
      <c r="M373" s="1"/>
      <c r="N373" s="1"/>
    </row>
    <row r="374" spans="1:14">
      <c r="A374" s="1"/>
      <c r="B374" s="1"/>
      <c r="C374" s="1"/>
      <c r="D374" s="1"/>
      <c r="E374" s="1"/>
      <c r="F374" s="1"/>
      <c r="G374" s="1"/>
      <c r="H374" s="6" t="str">
        <f t="shared" si="10"/>
        <v/>
      </c>
      <c r="I374" s="1" t="str">
        <f t="shared" si="11"/>
        <v/>
      </c>
      <c r="J374" s="1"/>
      <c r="K374" s="1"/>
      <c r="L374" s="1"/>
      <c r="M374" s="1"/>
      <c r="N374" s="1"/>
    </row>
    <row r="375" spans="1:14">
      <c r="A375" s="1"/>
      <c r="B375" s="1"/>
      <c r="C375" s="1"/>
      <c r="D375" s="1"/>
      <c r="E375" s="1"/>
      <c r="F375" s="1"/>
      <c r="G375" s="1"/>
      <c r="H375" s="6" t="str">
        <f t="shared" si="10"/>
        <v/>
      </c>
      <c r="I375" s="1" t="str">
        <f t="shared" si="11"/>
        <v/>
      </c>
      <c r="J375" s="1"/>
      <c r="K375" s="1"/>
      <c r="L375" s="1"/>
      <c r="M375" s="1"/>
      <c r="N375" s="1"/>
    </row>
    <row r="376" spans="1:14">
      <c r="A376" s="1"/>
      <c r="B376" s="1"/>
      <c r="C376" s="1"/>
      <c r="D376" s="1"/>
      <c r="E376" s="1"/>
      <c r="F376" s="1"/>
      <c r="G376" s="1"/>
      <c r="H376" s="6" t="str">
        <f t="shared" si="10"/>
        <v/>
      </c>
      <c r="I376" s="1" t="str">
        <f t="shared" si="11"/>
        <v/>
      </c>
      <c r="J376" s="1"/>
      <c r="K376" s="1"/>
      <c r="L376" s="1"/>
      <c r="M376" s="1"/>
      <c r="N376" s="1"/>
    </row>
    <row r="377" spans="1:14">
      <c r="A377" s="1"/>
      <c r="B377" s="1"/>
      <c r="C377" s="1"/>
      <c r="D377" s="1"/>
      <c r="E377" s="1"/>
      <c r="F377" s="1"/>
      <c r="G377" s="1"/>
      <c r="H377" s="6" t="str">
        <f t="shared" si="10"/>
        <v/>
      </c>
      <c r="I377" s="1" t="str">
        <f t="shared" si="11"/>
        <v/>
      </c>
      <c r="J377" s="1"/>
      <c r="K377" s="1"/>
      <c r="L377" s="1"/>
      <c r="M377" s="1"/>
      <c r="N377" s="1"/>
    </row>
    <row r="378" spans="1:14">
      <c r="A378" s="1"/>
      <c r="B378" s="1"/>
      <c r="C378" s="1"/>
      <c r="D378" s="1"/>
      <c r="E378" s="1"/>
      <c r="F378" s="1"/>
      <c r="G378" s="1"/>
      <c r="H378" s="6" t="str">
        <f t="shared" si="10"/>
        <v/>
      </c>
      <c r="I378" s="1" t="str">
        <f t="shared" si="11"/>
        <v/>
      </c>
      <c r="J378" s="1"/>
      <c r="K378" s="1"/>
      <c r="L378" s="1"/>
      <c r="M378" s="1"/>
      <c r="N378" s="1"/>
    </row>
    <row r="379" spans="1:14">
      <c r="A379" s="1"/>
      <c r="B379" s="1"/>
      <c r="C379" s="1"/>
      <c r="D379" s="1"/>
      <c r="E379" s="1"/>
      <c r="F379" s="1"/>
      <c r="G379" s="1"/>
      <c r="H379" s="6" t="str">
        <f t="shared" si="10"/>
        <v/>
      </c>
      <c r="I379" s="1" t="str">
        <f t="shared" si="11"/>
        <v/>
      </c>
      <c r="J379" s="1"/>
      <c r="K379" s="1"/>
      <c r="L379" s="1"/>
      <c r="M379" s="1"/>
      <c r="N379" s="1"/>
    </row>
    <row r="380" spans="1:14">
      <c r="A380" s="1"/>
      <c r="B380" s="1"/>
      <c r="C380" s="1"/>
      <c r="D380" s="1"/>
      <c r="E380" s="1"/>
      <c r="F380" s="1"/>
      <c r="G380" s="1"/>
      <c r="H380" s="6" t="str">
        <f t="shared" si="10"/>
        <v/>
      </c>
      <c r="I380" s="1" t="str">
        <f t="shared" si="11"/>
        <v/>
      </c>
      <c r="J380" s="1"/>
      <c r="K380" s="1"/>
      <c r="L380" s="1"/>
      <c r="M380" s="1"/>
      <c r="N380" s="1"/>
    </row>
    <row r="381" spans="1:14">
      <c r="A381" s="1"/>
      <c r="B381" s="1"/>
      <c r="C381" s="1"/>
      <c r="D381" s="1"/>
      <c r="E381" s="1"/>
      <c r="F381" s="1"/>
      <c r="G381" s="1"/>
      <c r="H381" s="6" t="str">
        <f t="shared" si="10"/>
        <v/>
      </c>
      <c r="I381" s="1" t="str">
        <f t="shared" si="11"/>
        <v/>
      </c>
      <c r="J381" s="1"/>
      <c r="K381" s="1"/>
      <c r="L381" s="1"/>
      <c r="M381" s="1"/>
      <c r="N381" s="1"/>
    </row>
    <row r="382" spans="1:14">
      <c r="A382" s="1"/>
      <c r="B382" s="1"/>
      <c r="C382" s="1"/>
      <c r="D382" s="1"/>
      <c r="E382" s="1"/>
      <c r="F382" s="1"/>
      <c r="G382" s="1"/>
      <c r="H382" s="6" t="str">
        <f t="shared" si="10"/>
        <v/>
      </c>
      <c r="I382" s="1" t="str">
        <f t="shared" si="11"/>
        <v/>
      </c>
      <c r="J382" s="1"/>
      <c r="K382" s="1"/>
      <c r="L382" s="1"/>
      <c r="M382" s="1"/>
      <c r="N382" s="1"/>
    </row>
    <row r="383" spans="1:14">
      <c r="A383" s="1"/>
      <c r="B383" s="1"/>
      <c r="C383" s="1"/>
      <c r="D383" s="1"/>
      <c r="E383" s="1"/>
      <c r="F383" s="1"/>
      <c r="G383" s="1"/>
      <c r="H383" s="6" t="str">
        <f t="shared" si="10"/>
        <v/>
      </c>
      <c r="I383" s="1" t="str">
        <f t="shared" si="11"/>
        <v/>
      </c>
      <c r="J383" s="1"/>
      <c r="K383" s="1"/>
      <c r="L383" s="1"/>
      <c r="M383" s="1"/>
      <c r="N383" s="1"/>
    </row>
    <row r="384" spans="1:14">
      <c r="A384" s="1"/>
      <c r="B384" s="1"/>
      <c r="C384" s="1"/>
      <c r="D384" s="1"/>
      <c r="E384" s="1"/>
      <c r="F384" s="1"/>
      <c r="G384" s="1"/>
      <c r="H384" s="6" t="str">
        <f t="shared" si="10"/>
        <v/>
      </c>
      <c r="I384" s="1" t="str">
        <f t="shared" si="11"/>
        <v/>
      </c>
      <c r="J384" s="1"/>
      <c r="K384" s="1"/>
      <c r="L384" s="1"/>
      <c r="M384" s="1"/>
      <c r="N384" s="1"/>
    </row>
    <row r="385" spans="1:14">
      <c r="A385" s="1"/>
      <c r="B385" s="1"/>
      <c r="C385" s="1"/>
      <c r="D385" s="1"/>
      <c r="E385" s="1"/>
      <c r="F385" s="1"/>
      <c r="G385" s="1"/>
      <c r="H385" s="6" t="str">
        <f t="shared" si="10"/>
        <v/>
      </c>
      <c r="I385" s="1" t="str">
        <f t="shared" si="11"/>
        <v/>
      </c>
      <c r="J385" s="1"/>
      <c r="K385" s="1"/>
      <c r="L385" s="1"/>
      <c r="M385" s="1"/>
      <c r="N385" s="1"/>
    </row>
    <row r="386" spans="1:14">
      <c r="A386" s="1"/>
      <c r="B386" s="1"/>
      <c r="C386" s="1"/>
      <c r="D386" s="1"/>
      <c r="E386" s="1"/>
      <c r="F386" s="1"/>
      <c r="G386" s="1"/>
      <c r="H386" s="6" t="str">
        <f t="shared" ref="H386:H449" si="12">IF(OR(F386="",G386=""),"",F386*G386)</f>
        <v/>
      </c>
      <c r="I386" s="1" t="str">
        <f t="shared" ref="I386:I449" si="13">IF(H386="","",IF(H386&gt;=20,"Critique",IF(H386&gt;=12,"Élevé",IF(H386&gt;=6,"Moyen","Faible"))))</f>
        <v/>
      </c>
      <c r="J386" s="1"/>
      <c r="K386" s="1"/>
      <c r="L386" s="1"/>
      <c r="M386" s="1"/>
      <c r="N386" s="1"/>
    </row>
    <row r="387" spans="1:14">
      <c r="A387" s="1"/>
      <c r="B387" s="1"/>
      <c r="C387" s="1"/>
      <c r="D387" s="1"/>
      <c r="E387" s="1"/>
      <c r="F387" s="1"/>
      <c r="G387" s="1"/>
      <c r="H387" s="6" t="str">
        <f t="shared" si="12"/>
        <v/>
      </c>
      <c r="I387" s="1" t="str">
        <f t="shared" si="13"/>
        <v/>
      </c>
      <c r="J387" s="1"/>
      <c r="K387" s="1"/>
      <c r="L387" s="1"/>
      <c r="M387" s="1"/>
      <c r="N387" s="1"/>
    </row>
    <row r="388" spans="1:14">
      <c r="A388" s="1"/>
      <c r="B388" s="1"/>
      <c r="C388" s="1"/>
      <c r="D388" s="1"/>
      <c r="E388" s="1"/>
      <c r="F388" s="1"/>
      <c r="G388" s="1"/>
      <c r="H388" s="6" t="str">
        <f t="shared" si="12"/>
        <v/>
      </c>
      <c r="I388" s="1" t="str">
        <f t="shared" si="13"/>
        <v/>
      </c>
      <c r="J388" s="1"/>
      <c r="K388" s="1"/>
      <c r="L388" s="1"/>
      <c r="M388" s="1"/>
      <c r="N388" s="1"/>
    </row>
    <row r="389" spans="1:14">
      <c r="A389" s="1"/>
      <c r="B389" s="1"/>
      <c r="C389" s="1"/>
      <c r="D389" s="1"/>
      <c r="E389" s="1"/>
      <c r="F389" s="1"/>
      <c r="G389" s="1"/>
      <c r="H389" s="6" t="str">
        <f t="shared" si="12"/>
        <v/>
      </c>
      <c r="I389" s="1" t="str">
        <f t="shared" si="13"/>
        <v/>
      </c>
      <c r="J389" s="1"/>
      <c r="K389" s="1"/>
      <c r="L389" s="1"/>
      <c r="M389" s="1"/>
      <c r="N389" s="1"/>
    </row>
    <row r="390" spans="1:14">
      <c r="A390" s="1"/>
      <c r="B390" s="1"/>
      <c r="C390" s="1"/>
      <c r="D390" s="1"/>
      <c r="E390" s="1"/>
      <c r="F390" s="1"/>
      <c r="G390" s="1"/>
      <c r="H390" s="6" t="str">
        <f t="shared" si="12"/>
        <v/>
      </c>
      <c r="I390" s="1" t="str">
        <f t="shared" si="13"/>
        <v/>
      </c>
      <c r="J390" s="1"/>
      <c r="K390" s="1"/>
      <c r="L390" s="1"/>
      <c r="M390" s="1"/>
      <c r="N390" s="1"/>
    </row>
    <row r="391" spans="1:14">
      <c r="A391" s="1"/>
      <c r="B391" s="1"/>
      <c r="C391" s="1"/>
      <c r="D391" s="1"/>
      <c r="E391" s="1"/>
      <c r="F391" s="1"/>
      <c r="G391" s="1"/>
      <c r="H391" s="6" t="str">
        <f t="shared" si="12"/>
        <v/>
      </c>
      <c r="I391" s="1" t="str">
        <f t="shared" si="13"/>
        <v/>
      </c>
      <c r="J391" s="1"/>
      <c r="K391" s="1"/>
      <c r="L391" s="1"/>
      <c r="M391" s="1"/>
      <c r="N391" s="1"/>
    </row>
    <row r="392" spans="1:14">
      <c r="A392" s="1"/>
      <c r="B392" s="1"/>
      <c r="C392" s="1"/>
      <c r="D392" s="1"/>
      <c r="E392" s="1"/>
      <c r="F392" s="1"/>
      <c r="G392" s="1"/>
      <c r="H392" s="6" t="str">
        <f t="shared" si="12"/>
        <v/>
      </c>
      <c r="I392" s="1" t="str">
        <f t="shared" si="13"/>
        <v/>
      </c>
      <c r="J392" s="1"/>
      <c r="K392" s="1"/>
      <c r="L392" s="1"/>
      <c r="M392" s="1"/>
      <c r="N392" s="1"/>
    </row>
    <row r="393" spans="1:14">
      <c r="A393" s="1"/>
      <c r="B393" s="1"/>
      <c r="C393" s="1"/>
      <c r="D393" s="1"/>
      <c r="E393" s="1"/>
      <c r="F393" s="1"/>
      <c r="G393" s="1"/>
      <c r="H393" s="6" t="str">
        <f t="shared" si="12"/>
        <v/>
      </c>
      <c r="I393" s="1" t="str">
        <f t="shared" si="13"/>
        <v/>
      </c>
      <c r="J393" s="1"/>
      <c r="K393" s="1"/>
      <c r="L393" s="1"/>
      <c r="M393" s="1"/>
      <c r="N393" s="1"/>
    </row>
    <row r="394" spans="1:14">
      <c r="A394" s="1"/>
      <c r="B394" s="1"/>
      <c r="C394" s="1"/>
      <c r="D394" s="1"/>
      <c r="E394" s="1"/>
      <c r="F394" s="1"/>
      <c r="G394" s="1"/>
      <c r="H394" s="6" t="str">
        <f t="shared" si="12"/>
        <v/>
      </c>
      <c r="I394" s="1" t="str">
        <f t="shared" si="13"/>
        <v/>
      </c>
      <c r="J394" s="1"/>
      <c r="K394" s="1"/>
      <c r="L394" s="1"/>
      <c r="M394" s="1"/>
      <c r="N394" s="1"/>
    </row>
    <row r="395" spans="1:14">
      <c r="A395" s="1"/>
      <c r="B395" s="1"/>
      <c r="C395" s="1"/>
      <c r="D395" s="1"/>
      <c r="E395" s="1"/>
      <c r="F395" s="1"/>
      <c r="G395" s="1"/>
      <c r="H395" s="6" t="str">
        <f t="shared" si="12"/>
        <v/>
      </c>
      <c r="I395" s="1" t="str">
        <f t="shared" si="13"/>
        <v/>
      </c>
      <c r="J395" s="1"/>
      <c r="K395" s="1"/>
      <c r="L395" s="1"/>
      <c r="M395" s="1"/>
      <c r="N395" s="1"/>
    </row>
    <row r="396" spans="1:14">
      <c r="A396" s="1"/>
      <c r="B396" s="1"/>
      <c r="C396" s="1"/>
      <c r="D396" s="1"/>
      <c r="E396" s="1"/>
      <c r="F396" s="1"/>
      <c r="G396" s="1"/>
      <c r="H396" s="6" t="str">
        <f t="shared" si="12"/>
        <v/>
      </c>
      <c r="I396" s="1" t="str">
        <f t="shared" si="13"/>
        <v/>
      </c>
      <c r="J396" s="1"/>
      <c r="K396" s="1"/>
      <c r="L396" s="1"/>
      <c r="M396" s="1"/>
      <c r="N396" s="1"/>
    </row>
    <row r="397" spans="1:14">
      <c r="A397" s="1"/>
      <c r="B397" s="1"/>
      <c r="C397" s="1"/>
      <c r="D397" s="1"/>
      <c r="E397" s="1"/>
      <c r="F397" s="1"/>
      <c r="G397" s="1"/>
      <c r="H397" s="6" t="str">
        <f t="shared" si="12"/>
        <v/>
      </c>
      <c r="I397" s="1" t="str">
        <f t="shared" si="13"/>
        <v/>
      </c>
      <c r="J397" s="1"/>
      <c r="K397" s="1"/>
      <c r="L397" s="1"/>
      <c r="M397" s="1"/>
      <c r="N397" s="1"/>
    </row>
    <row r="398" spans="1:14">
      <c r="A398" s="1"/>
      <c r="B398" s="1"/>
      <c r="C398" s="1"/>
      <c r="D398" s="1"/>
      <c r="E398" s="1"/>
      <c r="F398" s="1"/>
      <c r="G398" s="1"/>
      <c r="H398" s="6" t="str">
        <f t="shared" si="12"/>
        <v/>
      </c>
      <c r="I398" s="1" t="str">
        <f t="shared" si="13"/>
        <v/>
      </c>
      <c r="J398" s="1"/>
      <c r="K398" s="1"/>
      <c r="L398" s="1"/>
      <c r="M398" s="1"/>
      <c r="N398" s="1"/>
    </row>
    <row r="399" spans="1:14">
      <c r="A399" s="1"/>
      <c r="B399" s="1"/>
      <c r="C399" s="1"/>
      <c r="D399" s="1"/>
      <c r="E399" s="1"/>
      <c r="F399" s="1"/>
      <c r="G399" s="1"/>
      <c r="H399" s="6" t="str">
        <f t="shared" si="12"/>
        <v/>
      </c>
      <c r="I399" s="1" t="str">
        <f t="shared" si="13"/>
        <v/>
      </c>
      <c r="J399" s="1"/>
      <c r="K399" s="1"/>
      <c r="L399" s="1"/>
      <c r="M399" s="1"/>
      <c r="N399" s="1"/>
    </row>
    <row r="400" spans="1:14">
      <c r="A400" s="1"/>
      <c r="B400" s="1"/>
      <c r="C400" s="1"/>
      <c r="D400" s="1"/>
      <c r="E400" s="1"/>
      <c r="F400" s="1"/>
      <c r="G400" s="1"/>
      <c r="H400" s="6" t="str">
        <f t="shared" si="12"/>
        <v/>
      </c>
      <c r="I400" s="1" t="str">
        <f t="shared" si="13"/>
        <v/>
      </c>
      <c r="J400" s="1"/>
      <c r="K400" s="1"/>
      <c r="L400" s="1"/>
      <c r="M400" s="1"/>
      <c r="N400" s="1"/>
    </row>
    <row r="401" spans="1:14">
      <c r="A401" s="1"/>
      <c r="B401" s="1"/>
      <c r="C401" s="1"/>
      <c r="D401" s="1"/>
      <c r="E401" s="1"/>
      <c r="F401" s="1"/>
      <c r="G401" s="1"/>
      <c r="H401" s="6" t="str">
        <f t="shared" si="12"/>
        <v/>
      </c>
      <c r="I401" s="1" t="str">
        <f t="shared" si="13"/>
        <v/>
      </c>
      <c r="J401" s="1"/>
      <c r="K401" s="1"/>
      <c r="L401" s="1"/>
      <c r="M401" s="1"/>
      <c r="N401" s="1"/>
    </row>
    <row r="402" spans="1:14">
      <c r="A402" s="1"/>
      <c r="B402" s="1"/>
      <c r="C402" s="1"/>
      <c r="D402" s="1"/>
      <c r="E402" s="1"/>
      <c r="F402" s="1"/>
      <c r="G402" s="1"/>
      <c r="H402" s="6" t="str">
        <f t="shared" si="12"/>
        <v/>
      </c>
      <c r="I402" s="1" t="str">
        <f t="shared" si="13"/>
        <v/>
      </c>
      <c r="J402" s="1"/>
      <c r="K402" s="1"/>
      <c r="L402" s="1"/>
      <c r="M402" s="1"/>
      <c r="N402" s="1"/>
    </row>
    <row r="403" spans="1:14">
      <c r="A403" s="1"/>
      <c r="B403" s="1"/>
      <c r="C403" s="1"/>
      <c r="D403" s="1"/>
      <c r="E403" s="1"/>
      <c r="F403" s="1"/>
      <c r="G403" s="1"/>
      <c r="H403" s="6" t="str">
        <f t="shared" si="12"/>
        <v/>
      </c>
      <c r="I403" s="1" t="str">
        <f t="shared" si="13"/>
        <v/>
      </c>
      <c r="J403" s="1"/>
      <c r="K403" s="1"/>
      <c r="L403" s="1"/>
      <c r="M403" s="1"/>
      <c r="N403" s="1"/>
    </row>
    <row r="404" spans="1:14">
      <c r="A404" s="1"/>
      <c r="B404" s="1"/>
      <c r="C404" s="1"/>
      <c r="D404" s="1"/>
      <c r="E404" s="1"/>
      <c r="F404" s="1"/>
      <c r="G404" s="1"/>
      <c r="H404" s="6" t="str">
        <f t="shared" si="12"/>
        <v/>
      </c>
      <c r="I404" s="1" t="str">
        <f t="shared" si="13"/>
        <v/>
      </c>
      <c r="J404" s="1"/>
      <c r="K404" s="1"/>
      <c r="L404" s="1"/>
      <c r="M404" s="1"/>
      <c r="N404" s="1"/>
    </row>
    <row r="405" spans="1:14">
      <c r="A405" s="1"/>
      <c r="B405" s="1"/>
      <c r="C405" s="1"/>
      <c r="D405" s="1"/>
      <c r="E405" s="1"/>
      <c r="F405" s="1"/>
      <c r="G405" s="1"/>
      <c r="H405" s="6" t="str">
        <f t="shared" si="12"/>
        <v/>
      </c>
      <c r="I405" s="1" t="str">
        <f t="shared" si="13"/>
        <v/>
      </c>
      <c r="J405" s="1"/>
      <c r="K405" s="1"/>
      <c r="L405" s="1"/>
      <c r="M405" s="1"/>
      <c r="N405" s="1"/>
    </row>
    <row r="406" spans="1:14">
      <c r="A406" s="1"/>
      <c r="B406" s="1"/>
      <c r="C406" s="1"/>
      <c r="D406" s="1"/>
      <c r="E406" s="1"/>
      <c r="F406" s="1"/>
      <c r="G406" s="1"/>
      <c r="H406" s="6" t="str">
        <f t="shared" si="12"/>
        <v/>
      </c>
      <c r="I406" s="1" t="str">
        <f t="shared" si="13"/>
        <v/>
      </c>
      <c r="J406" s="1"/>
      <c r="K406" s="1"/>
      <c r="L406" s="1"/>
      <c r="M406" s="1"/>
      <c r="N406" s="1"/>
    </row>
    <row r="407" spans="1:14">
      <c r="A407" s="1"/>
      <c r="B407" s="1"/>
      <c r="C407" s="1"/>
      <c r="D407" s="1"/>
      <c r="E407" s="1"/>
      <c r="F407" s="1"/>
      <c r="G407" s="1"/>
      <c r="H407" s="6" t="str">
        <f t="shared" si="12"/>
        <v/>
      </c>
      <c r="I407" s="1" t="str">
        <f t="shared" si="13"/>
        <v/>
      </c>
      <c r="J407" s="1"/>
      <c r="K407" s="1"/>
      <c r="L407" s="1"/>
      <c r="M407" s="1"/>
      <c r="N407" s="1"/>
    </row>
    <row r="408" spans="1:14">
      <c r="A408" s="1"/>
      <c r="B408" s="1"/>
      <c r="C408" s="1"/>
      <c r="D408" s="1"/>
      <c r="E408" s="1"/>
      <c r="F408" s="1"/>
      <c r="G408" s="1"/>
      <c r="H408" s="6" t="str">
        <f t="shared" si="12"/>
        <v/>
      </c>
      <c r="I408" s="1" t="str">
        <f t="shared" si="13"/>
        <v/>
      </c>
      <c r="J408" s="1"/>
      <c r="K408" s="1"/>
      <c r="L408" s="1"/>
      <c r="M408" s="1"/>
      <c r="N408" s="1"/>
    </row>
    <row r="409" spans="1:14">
      <c r="A409" s="1"/>
      <c r="B409" s="1"/>
      <c r="C409" s="1"/>
      <c r="D409" s="1"/>
      <c r="E409" s="1"/>
      <c r="F409" s="1"/>
      <c r="G409" s="1"/>
      <c r="H409" s="6" t="str">
        <f t="shared" si="12"/>
        <v/>
      </c>
      <c r="I409" s="1" t="str">
        <f t="shared" si="13"/>
        <v/>
      </c>
      <c r="J409" s="1"/>
      <c r="K409" s="1"/>
      <c r="L409" s="1"/>
      <c r="M409" s="1"/>
      <c r="N409" s="1"/>
    </row>
    <row r="410" spans="1:14">
      <c r="A410" s="1"/>
      <c r="B410" s="1"/>
      <c r="C410" s="1"/>
      <c r="D410" s="1"/>
      <c r="E410" s="1"/>
      <c r="F410" s="1"/>
      <c r="G410" s="1"/>
      <c r="H410" s="6" t="str">
        <f t="shared" si="12"/>
        <v/>
      </c>
      <c r="I410" s="1" t="str">
        <f t="shared" si="13"/>
        <v/>
      </c>
      <c r="J410" s="1"/>
      <c r="K410" s="1"/>
      <c r="L410" s="1"/>
      <c r="M410" s="1"/>
      <c r="N410" s="1"/>
    </row>
    <row r="411" spans="1:14">
      <c r="A411" s="1"/>
      <c r="B411" s="1"/>
      <c r="C411" s="1"/>
      <c r="D411" s="1"/>
      <c r="E411" s="1"/>
      <c r="F411" s="1"/>
      <c r="G411" s="1"/>
      <c r="H411" s="6" t="str">
        <f t="shared" si="12"/>
        <v/>
      </c>
      <c r="I411" s="1" t="str">
        <f t="shared" si="13"/>
        <v/>
      </c>
      <c r="J411" s="1"/>
      <c r="K411" s="1"/>
      <c r="L411" s="1"/>
      <c r="M411" s="1"/>
      <c r="N411" s="1"/>
    </row>
    <row r="412" spans="1:14">
      <c r="A412" s="1"/>
      <c r="B412" s="1"/>
      <c r="C412" s="1"/>
      <c r="D412" s="1"/>
      <c r="E412" s="1"/>
      <c r="F412" s="1"/>
      <c r="G412" s="1"/>
      <c r="H412" s="6" t="str">
        <f t="shared" si="12"/>
        <v/>
      </c>
      <c r="I412" s="1" t="str">
        <f t="shared" si="13"/>
        <v/>
      </c>
      <c r="J412" s="1"/>
      <c r="K412" s="1"/>
      <c r="L412" s="1"/>
      <c r="M412" s="1"/>
      <c r="N412" s="1"/>
    </row>
    <row r="413" spans="1:14">
      <c r="A413" s="1"/>
      <c r="B413" s="1"/>
      <c r="C413" s="1"/>
      <c r="D413" s="1"/>
      <c r="E413" s="1"/>
      <c r="F413" s="1"/>
      <c r="G413" s="1"/>
      <c r="H413" s="6" t="str">
        <f t="shared" si="12"/>
        <v/>
      </c>
      <c r="I413" s="1" t="str">
        <f t="shared" si="13"/>
        <v/>
      </c>
      <c r="J413" s="1"/>
      <c r="K413" s="1"/>
      <c r="L413" s="1"/>
      <c r="M413" s="1"/>
      <c r="N413" s="1"/>
    </row>
    <row r="414" spans="1:14">
      <c r="A414" s="1"/>
      <c r="B414" s="1"/>
      <c r="C414" s="1"/>
      <c r="D414" s="1"/>
      <c r="E414" s="1"/>
      <c r="F414" s="1"/>
      <c r="G414" s="1"/>
      <c r="H414" s="6" t="str">
        <f t="shared" si="12"/>
        <v/>
      </c>
      <c r="I414" s="1" t="str">
        <f t="shared" si="13"/>
        <v/>
      </c>
      <c r="J414" s="1"/>
      <c r="K414" s="1"/>
      <c r="L414" s="1"/>
      <c r="M414" s="1"/>
      <c r="N414" s="1"/>
    </row>
    <row r="415" spans="1:14">
      <c r="A415" s="1"/>
      <c r="B415" s="1"/>
      <c r="C415" s="1"/>
      <c r="D415" s="1"/>
      <c r="E415" s="1"/>
      <c r="F415" s="1"/>
      <c r="G415" s="1"/>
      <c r="H415" s="6" t="str">
        <f t="shared" si="12"/>
        <v/>
      </c>
      <c r="I415" s="1" t="str">
        <f t="shared" si="13"/>
        <v/>
      </c>
      <c r="J415" s="1"/>
      <c r="K415" s="1"/>
      <c r="L415" s="1"/>
      <c r="M415" s="1"/>
      <c r="N415" s="1"/>
    </row>
    <row r="416" spans="1:14">
      <c r="A416" s="1"/>
      <c r="B416" s="1"/>
      <c r="C416" s="1"/>
      <c r="D416" s="1"/>
      <c r="E416" s="1"/>
      <c r="F416" s="1"/>
      <c r="G416" s="1"/>
      <c r="H416" s="6" t="str">
        <f t="shared" si="12"/>
        <v/>
      </c>
      <c r="I416" s="1" t="str">
        <f t="shared" si="13"/>
        <v/>
      </c>
      <c r="J416" s="1"/>
      <c r="K416" s="1"/>
      <c r="L416" s="1"/>
      <c r="M416" s="1"/>
      <c r="N416" s="1"/>
    </row>
    <row r="417" spans="1:14">
      <c r="A417" s="1"/>
      <c r="B417" s="1"/>
      <c r="C417" s="1"/>
      <c r="D417" s="1"/>
      <c r="E417" s="1"/>
      <c r="F417" s="1"/>
      <c r="G417" s="1"/>
      <c r="H417" s="6" t="str">
        <f t="shared" si="12"/>
        <v/>
      </c>
      <c r="I417" s="1" t="str">
        <f t="shared" si="13"/>
        <v/>
      </c>
      <c r="J417" s="1"/>
      <c r="K417" s="1"/>
      <c r="L417" s="1"/>
      <c r="M417" s="1"/>
      <c r="N417" s="1"/>
    </row>
    <row r="418" spans="1:14">
      <c r="A418" s="1"/>
      <c r="B418" s="1"/>
      <c r="C418" s="1"/>
      <c r="D418" s="1"/>
      <c r="E418" s="1"/>
      <c r="F418" s="1"/>
      <c r="G418" s="1"/>
      <c r="H418" s="6" t="str">
        <f t="shared" si="12"/>
        <v/>
      </c>
      <c r="I418" s="1" t="str">
        <f t="shared" si="13"/>
        <v/>
      </c>
      <c r="J418" s="1"/>
      <c r="K418" s="1"/>
      <c r="L418" s="1"/>
      <c r="M418" s="1"/>
      <c r="N418" s="1"/>
    </row>
    <row r="419" spans="1:14">
      <c r="A419" s="1"/>
      <c r="B419" s="1"/>
      <c r="C419" s="1"/>
      <c r="D419" s="1"/>
      <c r="E419" s="1"/>
      <c r="F419" s="1"/>
      <c r="G419" s="1"/>
      <c r="H419" s="6" t="str">
        <f t="shared" si="12"/>
        <v/>
      </c>
      <c r="I419" s="1" t="str">
        <f t="shared" si="13"/>
        <v/>
      </c>
      <c r="J419" s="1"/>
      <c r="K419" s="1"/>
      <c r="L419" s="1"/>
      <c r="M419" s="1"/>
      <c r="N419" s="1"/>
    </row>
    <row r="420" spans="1:14">
      <c r="A420" s="1"/>
      <c r="B420" s="1"/>
      <c r="C420" s="1"/>
      <c r="D420" s="1"/>
      <c r="E420" s="1"/>
      <c r="F420" s="1"/>
      <c r="G420" s="1"/>
      <c r="H420" s="6" t="str">
        <f t="shared" si="12"/>
        <v/>
      </c>
      <c r="I420" s="1" t="str">
        <f t="shared" si="13"/>
        <v/>
      </c>
      <c r="J420" s="1"/>
      <c r="K420" s="1"/>
      <c r="L420" s="1"/>
      <c r="M420" s="1"/>
      <c r="N420" s="1"/>
    </row>
    <row r="421" spans="1:14">
      <c r="A421" s="1"/>
      <c r="B421" s="1"/>
      <c r="C421" s="1"/>
      <c r="D421" s="1"/>
      <c r="E421" s="1"/>
      <c r="F421" s="1"/>
      <c r="G421" s="1"/>
      <c r="H421" s="6" t="str">
        <f t="shared" si="12"/>
        <v/>
      </c>
      <c r="I421" s="1" t="str">
        <f t="shared" si="13"/>
        <v/>
      </c>
      <c r="J421" s="1"/>
      <c r="K421" s="1"/>
      <c r="L421" s="1"/>
      <c r="M421" s="1"/>
      <c r="N421" s="1"/>
    </row>
    <row r="422" spans="1:14">
      <c r="A422" s="1"/>
      <c r="B422" s="1"/>
      <c r="C422" s="1"/>
      <c r="D422" s="1"/>
      <c r="E422" s="1"/>
      <c r="F422" s="1"/>
      <c r="G422" s="1"/>
      <c r="H422" s="6" t="str">
        <f t="shared" si="12"/>
        <v/>
      </c>
      <c r="I422" s="1" t="str">
        <f t="shared" si="13"/>
        <v/>
      </c>
      <c r="J422" s="1"/>
      <c r="K422" s="1"/>
      <c r="L422" s="1"/>
      <c r="M422" s="1"/>
      <c r="N422" s="1"/>
    </row>
    <row r="423" spans="1:14">
      <c r="A423" s="1"/>
      <c r="B423" s="1"/>
      <c r="C423" s="1"/>
      <c r="D423" s="1"/>
      <c r="E423" s="1"/>
      <c r="F423" s="1"/>
      <c r="G423" s="1"/>
      <c r="H423" s="6" t="str">
        <f t="shared" si="12"/>
        <v/>
      </c>
      <c r="I423" s="1" t="str">
        <f t="shared" si="13"/>
        <v/>
      </c>
      <c r="J423" s="1"/>
      <c r="K423" s="1"/>
      <c r="L423" s="1"/>
      <c r="M423" s="1"/>
      <c r="N423" s="1"/>
    </row>
    <row r="424" spans="1:14">
      <c r="A424" s="1"/>
      <c r="B424" s="1"/>
      <c r="C424" s="1"/>
      <c r="D424" s="1"/>
      <c r="E424" s="1"/>
      <c r="F424" s="1"/>
      <c r="G424" s="1"/>
      <c r="H424" s="6" t="str">
        <f t="shared" si="12"/>
        <v/>
      </c>
      <c r="I424" s="1" t="str">
        <f t="shared" si="13"/>
        <v/>
      </c>
      <c r="J424" s="1"/>
      <c r="K424" s="1"/>
      <c r="L424" s="1"/>
      <c r="M424" s="1"/>
      <c r="N424" s="1"/>
    </row>
    <row r="425" spans="1:14">
      <c r="A425" s="1"/>
      <c r="B425" s="1"/>
      <c r="C425" s="1"/>
      <c r="D425" s="1"/>
      <c r="E425" s="1"/>
      <c r="F425" s="1"/>
      <c r="G425" s="1"/>
      <c r="H425" s="6" t="str">
        <f t="shared" si="12"/>
        <v/>
      </c>
      <c r="I425" s="1" t="str">
        <f t="shared" si="13"/>
        <v/>
      </c>
      <c r="J425" s="1"/>
      <c r="K425" s="1"/>
      <c r="L425" s="1"/>
      <c r="M425" s="1"/>
      <c r="N425" s="1"/>
    </row>
    <row r="426" spans="1:14">
      <c r="A426" s="1"/>
      <c r="B426" s="1"/>
      <c r="C426" s="1"/>
      <c r="D426" s="1"/>
      <c r="E426" s="1"/>
      <c r="F426" s="1"/>
      <c r="G426" s="1"/>
      <c r="H426" s="6" t="str">
        <f t="shared" si="12"/>
        <v/>
      </c>
      <c r="I426" s="1" t="str">
        <f t="shared" si="13"/>
        <v/>
      </c>
      <c r="J426" s="1"/>
      <c r="K426" s="1"/>
      <c r="L426" s="1"/>
      <c r="M426" s="1"/>
      <c r="N426" s="1"/>
    </row>
    <row r="427" spans="1:14">
      <c r="A427" s="1"/>
      <c r="B427" s="1"/>
      <c r="C427" s="1"/>
      <c r="D427" s="1"/>
      <c r="E427" s="1"/>
      <c r="F427" s="1"/>
      <c r="G427" s="1"/>
      <c r="H427" s="6" t="str">
        <f t="shared" si="12"/>
        <v/>
      </c>
      <c r="I427" s="1" t="str">
        <f t="shared" si="13"/>
        <v/>
      </c>
      <c r="J427" s="1"/>
      <c r="K427" s="1"/>
      <c r="L427" s="1"/>
      <c r="M427" s="1"/>
      <c r="N427" s="1"/>
    </row>
    <row r="428" spans="1:14">
      <c r="A428" s="1"/>
      <c r="B428" s="1"/>
      <c r="C428" s="1"/>
      <c r="D428" s="1"/>
      <c r="E428" s="1"/>
      <c r="F428" s="1"/>
      <c r="G428" s="1"/>
      <c r="H428" s="6" t="str">
        <f t="shared" si="12"/>
        <v/>
      </c>
      <c r="I428" s="1" t="str">
        <f t="shared" si="13"/>
        <v/>
      </c>
      <c r="J428" s="1"/>
      <c r="K428" s="1"/>
      <c r="L428" s="1"/>
      <c r="M428" s="1"/>
      <c r="N428" s="1"/>
    </row>
    <row r="429" spans="1:14">
      <c r="A429" s="1"/>
      <c r="B429" s="1"/>
      <c r="C429" s="1"/>
      <c r="D429" s="1"/>
      <c r="E429" s="1"/>
      <c r="F429" s="1"/>
      <c r="G429" s="1"/>
      <c r="H429" s="6" t="str">
        <f t="shared" si="12"/>
        <v/>
      </c>
      <c r="I429" s="1" t="str">
        <f t="shared" si="13"/>
        <v/>
      </c>
      <c r="J429" s="1"/>
      <c r="K429" s="1"/>
      <c r="L429" s="1"/>
      <c r="M429" s="1"/>
      <c r="N429" s="1"/>
    </row>
    <row r="430" spans="1:14">
      <c r="A430" s="1"/>
      <c r="B430" s="1"/>
      <c r="C430" s="1"/>
      <c r="D430" s="1"/>
      <c r="E430" s="1"/>
      <c r="F430" s="1"/>
      <c r="G430" s="1"/>
      <c r="H430" s="6" t="str">
        <f t="shared" si="12"/>
        <v/>
      </c>
      <c r="I430" s="1" t="str">
        <f t="shared" si="13"/>
        <v/>
      </c>
      <c r="J430" s="1"/>
      <c r="K430" s="1"/>
      <c r="L430" s="1"/>
      <c r="M430" s="1"/>
      <c r="N430" s="1"/>
    </row>
    <row r="431" spans="1:14">
      <c r="A431" s="1"/>
      <c r="B431" s="1"/>
      <c r="C431" s="1"/>
      <c r="D431" s="1"/>
      <c r="E431" s="1"/>
      <c r="F431" s="1"/>
      <c r="G431" s="1"/>
      <c r="H431" s="6" t="str">
        <f t="shared" si="12"/>
        <v/>
      </c>
      <c r="I431" s="1" t="str">
        <f t="shared" si="13"/>
        <v/>
      </c>
      <c r="J431" s="1"/>
      <c r="K431" s="1"/>
      <c r="L431" s="1"/>
      <c r="M431" s="1"/>
      <c r="N431" s="1"/>
    </row>
    <row r="432" spans="1:14">
      <c r="A432" s="1"/>
      <c r="B432" s="1"/>
      <c r="C432" s="1"/>
      <c r="D432" s="1"/>
      <c r="E432" s="1"/>
      <c r="F432" s="1"/>
      <c r="G432" s="1"/>
      <c r="H432" s="6" t="str">
        <f t="shared" si="12"/>
        <v/>
      </c>
      <c r="I432" s="1" t="str">
        <f t="shared" si="13"/>
        <v/>
      </c>
      <c r="J432" s="1"/>
      <c r="K432" s="1"/>
      <c r="L432" s="1"/>
      <c r="M432" s="1"/>
      <c r="N432" s="1"/>
    </row>
    <row r="433" spans="1:14">
      <c r="A433" s="1"/>
      <c r="B433" s="1"/>
      <c r="C433" s="1"/>
      <c r="D433" s="1"/>
      <c r="E433" s="1"/>
      <c r="F433" s="1"/>
      <c r="G433" s="1"/>
      <c r="H433" s="6" t="str">
        <f t="shared" si="12"/>
        <v/>
      </c>
      <c r="I433" s="1" t="str">
        <f t="shared" si="13"/>
        <v/>
      </c>
      <c r="J433" s="1"/>
      <c r="K433" s="1"/>
      <c r="L433" s="1"/>
      <c r="M433" s="1"/>
      <c r="N433" s="1"/>
    </row>
    <row r="434" spans="1:14">
      <c r="A434" s="1"/>
      <c r="B434" s="1"/>
      <c r="C434" s="1"/>
      <c r="D434" s="1"/>
      <c r="E434" s="1"/>
      <c r="F434" s="1"/>
      <c r="G434" s="1"/>
      <c r="H434" s="6" t="str">
        <f t="shared" si="12"/>
        <v/>
      </c>
      <c r="I434" s="1" t="str">
        <f t="shared" si="13"/>
        <v/>
      </c>
      <c r="J434" s="1"/>
      <c r="K434" s="1"/>
      <c r="L434" s="1"/>
      <c r="M434" s="1"/>
      <c r="N434" s="1"/>
    </row>
    <row r="435" spans="1:14">
      <c r="A435" s="1"/>
      <c r="B435" s="1"/>
      <c r="C435" s="1"/>
      <c r="D435" s="1"/>
      <c r="E435" s="1"/>
      <c r="F435" s="1"/>
      <c r="G435" s="1"/>
      <c r="H435" s="6" t="str">
        <f t="shared" si="12"/>
        <v/>
      </c>
      <c r="I435" s="1" t="str">
        <f t="shared" si="13"/>
        <v/>
      </c>
      <c r="J435" s="1"/>
      <c r="K435" s="1"/>
      <c r="L435" s="1"/>
      <c r="M435" s="1"/>
      <c r="N435" s="1"/>
    </row>
    <row r="436" spans="1:14">
      <c r="A436" s="1"/>
      <c r="B436" s="1"/>
      <c r="C436" s="1"/>
      <c r="D436" s="1"/>
      <c r="E436" s="1"/>
      <c r="F436" s="1"/>
      <c r="G436" s="1"/>
      <c r="H436" s="6" t="str">
        <f t="shared" si="12"/>
        <v/>
      </c>
      <c r="I436" s="1" t="str">
        <f t="shared" si="13"/>
        <v/>
      </c>
      <c r="J436" s="1"/>
      <c r="K436" s="1"/>
      <c r="L436" s="1"/>
      <c r="M436" s="1"/>
      <c r="N436" s="1"/>
    </row>
    <row r="437" spans="1:14">
      <c r="A437" s="1"/>
      <c r="B437" s="1"/>
      <c r="C437" s="1"/>
      <c r="D437" s="1"/>
      <c r="E437" s="1"/>
      <c r="F437" s="1"/>
      <c r="G437" s="1"/>
      <c r="H437" s="6" t="str">
        <f t="shared" si="12"/>
        <v/>
      </c>
      <c r="I437" s="1" t="str">
        <f t="shared" si="13"/>
        <v/>
      </c>
      <c r="J437" s="1"/>
      <c r="K437" s="1"/>
      <c r="L437" s="1"/>
      <c r="M437" s="1"/>
      <c r="N437" s="1"/>
    </row>
    <row r="438" spans="1:14">
      <c r="A438" s="1"/>
      <c r="B438" s="1"/>
      <c r="C438" s="1"/>
      <c r="D438" s="1"/>
      <c r="E438" s="1"/>
      <c r="F438" s="1"/>
      <c r="G438" s="1"/>
      <c r="H438" s="6" t="str">
        <f t="shared" si="12"/>
        <v/>
      </c>
      <c r="I438" s="1" t="str">
        <f t="shared" si="13"/>
        <v/>
      </c>
      <c r="J438" s="1"/>
      <c r="K438" s="1"/>
      <c r="L438" s="1"/>
      <c r="M438" s="1"/>
      <c r="N438" s="1"/>
    </row>
    <row r="439" spans="1:14">
      <c r="A439" s="1"/>
      <c r="B439" s="1"/>
      <c r="C439" s="1"/>
      <c r="D439" s="1"/>
      <c r="E439" s="1"/>
      <c r="F439" s="1"/>
      <c r="G439" s="1"/>
      <c r="H439" s="6" t="str">
        <f t="shared" si="12"/>
        <v/>
      </c>
      <c r="I439" s="1" t="str">
        <f t="shared" si="13"/>
        <v/>
      </c>
      <c r="J439" s="1"/>
      <c r="K439" s="1"/>
      <c r="L439" s="1"/>
      <c r="M439" s="1"/>
      <c r="N439" s="1"/>
    </row>
    <row r="440" spans="1:14">
      <c r="A440" s="1"/>
      <c r="B440" s="1"/>
      <c r="C440" s="1"/>
      <c r="D440" s="1"/>
      <c r="E440" s="1"/>
      <c r="F440" s="1"/>
      <c r="G440" s="1"/>
      <c r="H440" s="6" t="str">
        <f t="shared" si="12"/>
        <v/>
      </c>
      <c r="I440" s="1" t="str">
        <f t="shared" si="13"/>
        <v/>
      </c>
      <c r="J440" s="1"/>
      <c r="K440" s="1"/>
      <c r="L440" s="1"/>
      <c r="M440" s="1"/>
      <c r="N440" s="1"/>
    </row>
    <row r="441" spans="1:14">
      <c r="A441" s="1"/>
      <c r="B441" s="1"/>
      <c r="C441" s="1"/>
      <c r="D441" s="1"/>
      <c r="E441" s="1"/>
      <c r="F441" s="1"/>
      <c r="G441" s="1"/>
      <c r="H441" s="6" t="str">
        <f t="shared" si="12"/>
        <v/>
      </c>
      <c r="I441" s="1" t="str">
        <f t="shared" si="13"/>
        <v/>
      </c>
      <c r="J441" s="1"/>
      <c r="K441" s="1"/>
      <c r="L441" s="1"/>
      <c r="M441" s="1"/>
      <c r="N441" s="1"/>
    </row>
    <row r="442" spans="1:14">
      <c r="A442" s="1"/>
      <c r="B442" s="1"/>
      <c r="C442" s="1"/>
      <c r="D442" s="1"/>
      <c r="E442" s="1"/>
      <c r="F442" s="1"/>
      <c r="G442" s="1"/>
      <c r="H442" s="6" t="str">
        <f t="shared" si="12"/>
        <v/>
      </c>
      <c r="I442" s="1" t="str">
        <f t="shared" si="13"/>
        <v/>
      </c>
      <c r="J442" s="1"/>
      <c r="K442" s="1"/>
      <c r="L442" s="1"/>
      <c r="M442" s="1"/>
      <c r="N442" s="1"/>
    </row>
    <row r="443" spans="1:14">
      <c r="A443" s="1"/>
      <c r="B443" s="1"/>
      <c r="C443" s="1"/>
      <c r="D443" s="1"/>
      <c r="E443" s="1"/>
      <c r="F443" s="1"/>
      <c r="G443" s="1"/>
      <c r="H443" s="6" t="str">
        <f t="shared" si="12"/>
        <v/>
      </c>
      <c r="I443" s="1" t="str">
        <f t="shared" si="13"/>
        <v/>
      </c>
      <c r="J443" s="1"/>
      <c r="K443" s="1"/>
      <c r="L443" s="1"/>
      <c r="M443" s="1"/>
      <c r="N443" s="1"/>
    </row>
    <row r="444" spans="1:14">
      <c r="A444" s="1"/>
      <c r="B444" s="1"/>
      <c r="C444" s="1"/>
      <c r="D444" s="1"/>
      <c r="E444" s="1"/>
      <c r="F444" s="1"/>
      <c r="G444" s="1"/>
      <c r="H444" s="6" t="str">
        <f t="shared" si="12"/>
        <v/>
      </c>
      <c r="I444" s="1" t="str">
        <f t="shared" si="13"/>
        <v/>
      </c>
      <c r="J444" s="1"/>
      <c r="K444" s="1"/>
      <c r="L444" s="1"/>
      <c r="M444" s="1"/>
      <c r="N444" s="1"/>
    </row>
    <row r="445" spans="1:14">
      <c r="A445" s="1"/>
      <c r="B445" s="1"/>
      <c r="C445" s="1"/>
      <c r="D445" s="1"/>
      <c r="E445" s="1"/>
      <c r="F445" s="1"/>
      <c r="G445" s="1"/>
      <c r="H445" s="6" t="str">
        <f t="shared" si="12"/>
        <v/>
      </c>
      <c r="I445" s="1" t="str">
        <f t="shared" si="13"/>
        <v/>
      </c>
      <c r="J445" s="1"/>
      <c r="K445" s="1"/>
      <c r="L445" s="1"/>
      <c r="M445" s="1"/>
      <c r="N445" s="1"/>
    </row>
    <row r="446" spans="1:14">
      <c r="A446" s="1"/>
      <c r="B446" s="1"/>
      <c r="C446" s="1"/>
      <c r="D446" s="1"/>
      <c r="E446" s="1"/>
      <c r="F446" s="1"/>
      <c r="G446" s="1"/>
      <c r="H446" s="6" t="str">
        <f t="shared" si="12"/>
        <v/>
      </c>
      <c r="I446" s="1" t="str">
        <f t="shared" si="13"/>
        <v/>
      </c>
      <c r="J446" s="1"/>
      <c r="K446" s="1"/>
      <c r="L446" s="1"/>
      <c r="M446" s="1"/>
      <c r="N446" s="1"/>
    </row>
    <row r="447" spans="1:14">
      <c r="A447" s="1"/>
      <c r="B447" s="1"/>
      <c r="C447" s="1"/>
      <c r="D447" s="1"/>
      <c r="E447" s="1"/>
      <c r="F447" s="1"/>
      <c r="G447" s="1"/>
      <c r="H447" s="6" t="str">
        <f t="shared" si="12"/>
        <v/>
      </c>
      <c r="I447" s="1" t="str">
        <f t="shared" si="13"/>
        <v/>
      </c>
      <c r="J447" s="1"/>
      <c r="K447" s="1"/>
      <c r="L447" s="1"/>
      <c r="M447" s="1"/>
      <c r="N447" s="1"/>
    </row>
    <row r="448" spans="1:14">
      <c r="A448" s="1"/>
      <c r="B448" s="1"/>
      <c r="C448" s="1"/>
      <c r="D448" s="1"/>
      <c r="E448" s="1"/>
      <c r="F448" s="1"/>
      <c r="G448" s="1"/>
      <c r="H448" s="6" t="str">
        <f t="shared" si="12"/>
        <v/>
      </c>
      <c r="I448" s="1" t="str">
        <f t="shared" si="13"/>
        <v/>
      </c>
      <c r="J448" s="1"/>
      <c r="K448" s="1"/>
      <c r="L448" s="1"/>
      <c r="M448" s="1"/>
      <c r="N448" s="1"/>
    </row>
    <row r="449" spans="1:14">
      <c r="A449" s="1"/>
      <c r="B449" s="1"/>
      <c r="C449" s="1"/>
      <c r="D449" s="1"/>
      <c r="E449" s="1"/>
      <c r="F449" s="1"/>
      <c r="G449" s="1"/>
      <c r="H449" s="6" t="str">
        <f t="shared" si="12"/>
        <v/>
      </c>
      <c r="I449" s="1" t="str">
        <f t="shared" si="13"/>
        <v/>
      </c>
      <c r="J449" s="1"/>
      <c r="K449" s="1"/>
      <c r="L449" s="1"/>
      <c r="M449" s="1"/>
      <c r="N449" s="1"/>
    </row>
    <row r="450" spans="1:14">
      <c r="A450" s="1"/>
      <c r="B450" s="1"/>
      <c r="C450" s="1"/>
      <c r="D450" s="1"/>
      <c r="E450" s="1"/>
      <c r="F450" s="1"/>
      <c r="G450" s="1"/>
      <c r="H450" s="6" t="str">
        <f t="shared" ref="H450:H497" si="14">IF(OR(F450="",G450=""),"",F450*G450)</f>
        <v/>
      </c>
      <c r="I450" s="1" t="str">
        <f t="shared" ref="I450:I497" si="15">IF(H450="","",IF(H450&gt;=20,"Critique",IF(H450&gt;=12,"Élevé",IF(H450&gt;=6,"Moyen","Faible"))))</f>
        <v/>
      </c>
      <c r="J450" s="1"/>
      <c r="K450" s="1"/>
      <c r="L450" s="1"/>
      <c r="M450" s="1"/>
      <c r="N450" s="1"/>
    </row>
    <row r="451" spans="1:14">
      <c r="A451" s="1"/>
      <c r="B451" s="1"/>
      <c r="C451" s="1"/>
      <c r="D451" s="1"/>
      <c r="E451" s="1"/>
      <c r="F451" s="1"/>
      <c r="G451" s="1"/>
      <c r="H451" s="6" t="str">
        <f t="shared" si="14"/>
        <v/>
      </c>
      <c r="I451" s="1" t="str">
        <f t="shared" si="15"/>
        <v/>
      </c>
      <c r="J451" s="1"/>
      <c r="K451" s="1"/>
      <c r="L451" s="1"/>
      <c r="M451" s="1"/>
      <c r="N451" s="1"/>
    </row>
    <row r="452" spans="1:14">
      <c r="A452" s="1"/>
      <c r="B452" s="1"/>
      <c r="C452" s="1"/>
      <c r="D452" s="1"/>
      <c r="E452" s="1"/>
      <c r="F452" s="1"/>
      <c r="G452" s="1"/>
      <c r="H452" s="6" t="str">
        <f t="shared" si="14"/>
        <v/>
      </c>
      <c r="I452" s="1" t="str">
        <f t="shared" si="15"/>
        <v/>
      </c>
      <c r="J452" s="1"/>
      <c r="K452" s="1"/>
      <c r="L452" s="1"/>
      <c r="M452" s="1"/>
      <c r="N452" s="1"/>
    </row>
    <row r="453" spans="1:14">
      <c r="A453" s="1"/>
      <c r="B453" s="1"/>
      <c r="C453" s="1"/>
      <c r="D453" s="1"/>
      <c r="E453" s="1"/>
      <c r="F453" s="1"/>
      <c r="G453" s="1"/>
      <c r="H453" s="6" t="str">
        <f t="shared" si="14"/>
        <v/>
      </c>
      <c r="I453" s="1" t="str">
        <f t="shared" si="15"/>
        <v/>
      </c>
      <c r="J453" s="1"/>
      <c r="K453" s="1"/>
      <c r="L453" s="1"/>
      <c r="M453" s="1"/>
      <c r="N453" s="1"/>
    </row>
    <row r="454" spans="1:14">
      <c r="A454" s="1"/>
      <c r="B454" s="1"/>
      <c r="C454" s="1"/>
      <c r="D454" s="1"/>
      <c r="E454" s="1"/>
      <c r="F454" s="1"/>
      <c r="G454" s="1"/>
      <c r="H454" s="6" t="str">
        <f t="shared" si="14"/>
        <v/>
      </c>
      <c r="I454" s="1" t="str">
        <f t="shared" si="15"/>
        <v/>
      </c>
      <c r="J454" s="1"/>
      <c r="K454" s="1"/>
      <c r="L454" s="1"/>
      <c r="M454" s="1"/>
      <c r="N454" s="1"/>
    </row>
    <row r="455" spans="1:14">
      <c r="A455" s="1"/>
      <c r="B455" s="1"/>
      <c r="C455" s="1"/>
      <c r="D455" s="1"/>
      <c r="E455" s="1"/>
      <c r="F455" s="1"/>
      <c r="G455" s="1"/>
      <c r="H455" s="6" t="str">
        <f t="shared" si="14"/>
        <v/>
      </c>
      <c r="I455" s="1" t="str">
        <f t="shared" si="15"/>
        <v/>
      </c>
      <c r="J455" s="1"/>
      <c r="K455" s="1"/>
      <c r="L455" s="1"/>
      <c r="M455" s="1"/>
      <c r="N455" s="1"/>
    </row>
    <row r="456" spans="1:14">
      <c r="A456" s="1"/>
      <c r="B456" s="1"/>
      <c r="C456" s="1"/>
      <c r="D456" s="1"/>
      <c r="E456" s="1"/>
      <c r="F456" s="1"/>
      <c r="G456" s="1"/>
      <c r="H456" s="6" t="str">
        <f t="shared" si="14"/>
        <v/>
      </c>
      <c r="I456" s="1" t="str">
        <f t="shared" si="15"/>
        <v/>
      </c>
      <c r="J456" s="1"/>
      <c r="K456" s="1"/>
      <c r="L456" s="1"/>
      <c r="M456" s="1"/>
      <c r="N456" s="1"/>
    </row>
    <row r="457" spans="1:14">
      <c r="A457" s="1"/>
      <c r="B457" s="1"/>
      <c r="C457" s="1"/>
      <c r="D457" s="1"/>
      <c r="E457" s="1"/>
      <c r="F457" s="1"/>
      <c r="G457" s="1"/>
      <c r="H457" s="6" t="str">
        <f t="shared" si="14"/>
        <v/>
      </c>
      <c r="I457" s="1" t="str">
        <f t="shared" si="15"/>
        <v/>
      </c>
      <c r="J457" s="1"/>
      <c r="K457" s="1"/>
      <c r="L457" s="1"/>
      <c r="M457" s="1"/>
      <c r="N457" s="1"/>
    </row>
    <row r="458" spans="1:14">
      <c r="A458" s="1"/>
      <c r="B458" s="1"/>
      <c r="C458" s="1"/>
      <c r="D458" s="1"/>
      <c r="E458" s="1"/>
      <c r="F458" s="1"/>
      <c r="G458" s="1"/>
      <c r="H458" s="6" t="str">
        <f t="shared" si="14"/>
        <v/>
      </c>
      <c r="I458" s="1" t="str">
        <f t="shared" si="15"/>
        <v/>
      </c>
      <c r="J458" s="1"/>
      <c r="K458" s="1"/>
      <c r="L458" s="1"/>
      <c r="M458" s="1"/>
      <c r="N458" s="1"/>
    </row>
    <row r="459" spans="1:14">
      <c r="A459" s="1"/>
      <c r="B459" s="1"/>
      <c r="C459" s="1"/>
      <c r="D459" s="1"/>
      <c r="E459" s="1"/>
      <c r="F459" s="1"/>
      <c r="G459" s="1"/>
      <c r="H459" s="6" t="str">
        <f t="shared" si="14"/>
        <v/>
      </c>
      <c r="I459" s="1" t="str">
        <f t="shared" si="15"/>
        <v/>
      </c>
      <c r="J459" s="1"/>
      <c r="K459" s="1"/>
      <c r="L459" s="1"/>
      <c r="M459" s="1"/>
      <c r="N459" s="1"/>
    </row>
    <row r="460" spans="1:14">
      <c r="A460" s="1"/>
      <c r="B460" s="1"/>
      <c r="C460" s="1"/>
      <c r="D460" s="1"/>
      <c r="E460" s="1"/>
      <c r="F460" s="1"/>
      <c r="G460" s="1"/>
      <c r="H460" s="6" t="str">
        <f t="shared" si="14"/>
        <v/>
      </c>
      <c r="I460" s="1" t="str">
        <f t="shared" si="15"/>
        <v/>
      </c>
      <c r="J460" s="1"/>
      <c r="K460" s="1"/>
      <c r="L460" s="1"/>
      <c r="M460" s="1"/>
      <c r="N460" s="1"/>
    </row>
    <row r="461" spans="1:14">
      <c r="A461" s="1"/>
      <c r="B461" s="1"/>
      <c r="C461" s="1"/>
      <c r="D461" s="1"/>
      <c r="E461" s="1"/>
      <c r="F461" s="1"/>
      <c r="G461" s="1"/>
      <c r="H461" s="6" t="str">
        <f t="shared" si="14"/>
        <v/>
      </c>
      <c r="I461" s="1" t="str">
        <f t="shared" si="15"/>
        <v/>
      </c>
      <c r="J461" s="1"/>
      <c r="K461" s="1"/>
      <c r="L461" s="1"/>
      <c r="M461" s="1"/>
      <c r="N461" s="1"/>
    </row>
    <row r="462" spans="1:14">
      <c r="A462" s="1"/>
      <c r="B462" s="1"/>
      <c r="C462" s="1"/>
      <c r="D462" s="1"/>
      <c r="E462" s="1"/>
      <c r="F462" s="1"/>
      <c r="G462" s="1"/>
      <c r="H462" s="6" t="str">
        <f t="shared" si="14"/>
        <v/>
      </c>
      <c r="I462" s="1" t="str">
        <f t="shared" si="15"/>
        <v/>
      </c>
      <c r="J462" s="1"/>
      <c r="K462" s="1"/>
      <c r="L462" s="1"/>
      <c r="M462" s="1"/>
      <c r="N462" s="1"/>
    </row>
    <row r="463" spans="1:14">
      <c r="A463" s="1"/>
      <c r="B463" s="1"/>
      <c r="C463" s="1"/>
      <c r="D463" s="1"/>
      <c r="E463" s="1"/>
      <c r="F463" s="1"/>
      <c r="G463" s="1"/>
      <c r="H463" s="6" t="str">
        <f t="shared" si="14"/>
        <v/>
      </c>
      <c r="I463" s="1" t="str">
        <f t="shared" si="15"/>
        <v/>
      </c>
      <c r="J463" s="1"/>
      <c r="K463" s="1"/>
      <c r="L463" s="1"/>
      <c r="M463" s="1"/>
      <c r="N463" s="1"/>
    </row>
    <row r="464" spans="1:14">
      <c r="A464" s="1"/>
      <c r="B464" s="1"/>
      <c r="C464" s="1"/>
      <c r="D464" s="1"/>
      <c r="E464" s="1"/>
      <c r="F464" s="1"/>
      <c r="G464" s="1"/>
      <c r="H464" s="6" t="str">
        <f t="shared" si="14"/>
        <v/>
      </c>
      <c r="I464" s="1" t="str">
        <f t="shared" si="15"/>
        <v/>
      </c>
      <c r="J464" s="1"/>
      <c r="K464" s="1"/>
      <c r="L464" s="1"/>
      <c r="M464" s="1"/>
      <c r="N464" s="1"/>
    </row>
    <row r="465" spans="1:14">
      <c r="A465" s="1"/>
      <c r="B465" s="1"/>
      <c r="C465" s="1"/>
      <c r="D465" s="1"/>
      <c r="E465" s="1"/>
      <c r="F465" s="1"/>
      <c r="G465" s="1"/>
      <c r="H465" s="6" t="str">
        <f t="shared" si="14"/>
        <v/>
      </c>
      <c r="I465" s="1" t="str">
        <f t="shared" si="15"/>
        <v/>
      </c>
      <c r="J465" s="1"/>
      <c r="K465" s="1"/>
      <c r="L465" s="1"/>
      <c r="M465" s="1"/>
      <c r="N465" s="1"/>
    </row>
    <row r="466" spans="1:14">
      <c r="A466" s="1"/>
      <c r="B466" s="1"/>
      <c r="C466" s="1"/>
      <c r="D466" s="1"/>
      <c r="E466" s="1"/>
      <c r="F466" s="1"/>
      <c r="G466" s="1"/>
      <c r="H466" s="6" t="str">
        <f t="shared" si="14"/>
        <v/>
      </c>
      <c r="I466" s="1" t="str">
        <f t="shared" si="15"/>
        <v/>
      </c>
      <c r="J466" s="1"/>
      <c r="K466" s="1"/>
      <c r="L466" s="1"/>
      <c r="M466" s="1"/>
      <c r="N466" s="1"/>
    </row>
    <row r="467" spans="1:14">
      <c r="A467" s="1"/>
      <c r="B467" s="1"/>
      <c r="C467" s="1"/>
      <c r="D467" s="1"/>
      <c r="E467" s="1"/>
      <c r="F467" s="1"/>
      <c r="G467" s="1"/>
      <c r="H467" s="6" t="str">
        <f t="shared" si="14"/>
        <v/>
      </c>
      <c r="I467" s="1" t="str">
        <f t="shared" si="15"/>
        <v/>
      </c>
      <c r="J467" s="1"/>
      <c r="K467" s="1"/>
      <c r="L467" s="1"/>
      <c r="M467" s="1"/>
      <c r="N467" s="1"/>
    </row>
    <row r="468" spans="1:14">
      <c r="A468" s="1"/>
      <c r="B468" s="1"/>
      <c r="C468" s="1"/>
      <c r="D468" s="1"/>
      <c r="E468" s="1"/>
      <c r="F468" s="1"/>
      <c r="G468" s="1"/>
      <c r="H468" s="6" t="str">
        <f t="shared" si="14"/>
        <v/>
      </c>
      <c r="I468" s="1" t="str">
        <f t="shared" si="15"/>
        <v/>
      </c>
      <c r="J468" s="1"/>
      <c r="K468" s="1"/>
      <c r="L468" s="1"/>
      <c r="M468" s="1"/>
      <c r="N468" s="1"/>
    </row>
    <row r="469" spans="1:14">
      <c r="A469" s="1"/>
      <c r="B469" s="1"/>
      <c r="C469" s="1"/>
      <c r="D469" s="1"/>
      <c r="E469" s="1"/>
      <c r="F469" s="1"/>
      <c r="G469" s="1"/>
      <c r="H469" s="6" t="str">
        <f t="shared" si="14"/>
        <v/>
      </c>
      <c r="I469" s="1" t="str">
        <f t="shared" si="15"/>
        <v/>
      </c>
      <c r="J469" s="1"/>
      <c r="K469" s="1"/>
      <c r="L469" s="1"/>
      <c r="M469" s="1"/>
      <c r="N469" s="1"/>
    </row>
    <row r="470" spans="1:14">
      <c r="A470" s="1"/>
      <c r="B470" s="1"/>
      <c r="C470" s="1"/>
      <c r="D470" s="1"/>
      <c r="E470" s="1"/>
      <c r="F470" s="1"/>
      <c r="G470" s="1"/>
      <c r="H470" s="6" t="str">
        <f t="shared" si="14"/>
        <v/>
      </c>
      <c r="I470" s="1" t="str">
        <f t="shared" si="15"/>
        <v/>
      </c>
      <c r="J470" s="1"/>
      <c r="K470" s="1"/>
      <c r="L470" s="1"/>
      <c r="M470" s="1"/>
      <c r="N470" s="1"/>
    </row>
    <row r="471" spans="1:14">
      <c r="A471" s="1"/>
      <c r="B471" s="1"/>
      <c r="C471" s="1"/>
      <c r="D471" s="1"/>
      <c r="E471" s="1"/>
      <c r="F471" s="1"/>
      <c r="G471" s="1"/>
      <c r="H471" s="6" t="str">
        <f t="shared" si="14"/>
        <v/>
      </c>
      <c r="I471" s="1" t="str">
        <f t="shared" si="15"/>
        <v/>
      </c>
      <c r="J471" s="1"/>
      <c r="K471" s="1"/>
      <c r="L471" s="1"/>
      <c r="M471" s="1"/>
      <c r="N471" s="1"/>
    </row>
    <row r="472" spans="1:14">
      <c r="A472" s="1"/>
      <c r="B472" s="1"/>
      <c r="C472" s="1"/>
      <c r="D472" s="1"/>
      <c r="E472" s="1"/>
      <c r="F472" s="1"/>
      <c r="G472" s="1"/>
      <c r="H472" s="6" t="str">
        <f t="shared" si="14"/>
        <v/>
      </c>
      <c r="I472" s="1" t="str">
        <f t="shared" si="15"/>
        <v/>
      </c>
      <c r="J472" s="1"/>
      <c r="K472" s="1"/>
      <c r="L472" s="1"/>
      <c r="M472" s="1"/>
      <c r="N472" s="1"/>
    </row>
    <row r="473" spans="1:14">
      <c r="A473" s="1"/>
      <c r="B473" s="1"/>
      <c r="C473" s="1"/>
      <c r="D473" s="1"/>
      <c r="E473" s="1"/>
      <c r="F473" s="1"/>
      <c r="G473" s="1"/>
      <c r="H473" s="6" t="str">
        <f t="shared" si="14"/>
        <v/>
      </c>
      <c r="I473" s="1" t="str">
        <f t="shared" si="15"/>
        <v/>
      </c>
      <c r="J473" s="1"/>
      <c r="K473" s="1"/>
      <c r="L473" s="1"/>
      <c r="M473" s="1"/>
      <c r="N473" s="1"/>
    </row>
    <row r="474" spans="1:14">
      <c r="A474" s="1"/>
      <c r="B474" s="1"/>
      <c r="C474" s="1"/>
      <c r="D474" s="1"/>
      <c r="E474" s="1"/>
      <c r="F474" s="1"/>
      <c r="G474" s="1"/>
      <c r="H474" s="6" t="str">
        <f t="shared" si="14"/>
        <v/>
      </c>
      <c r="I474" s="1" t="str">
        <f t="shared" si="15"/>
        <v/>
      </c>
      <c r="J474" s="1"/>
      <c r="K474" s="1"/>
      <c r="L474" s="1"/>
      <c r="M474" s="1"/>
      <c r="N474" s="1"/>
    </row>
    <row r="475" spans="1:14">
      <c r="A475" s="1"/>
      <c r="B475" s="1"/>
      <c r="C475" s="1"/>
      <c r="D475" s="1"/>
      <c r="E475" s="1"/>
      <c r="F475" s="1"/>
      <c r="G475" s="1"/>
      <c r="H475" s="6" t="str">
        <f t="shared" si="14"/>
        <v/>
      </c>
      <c r="I475" s="1" t="str">
        <f t="shared" si="15"/>
        <v/>
      </c>
      <c r="J475" s="1"/>
      <c r="K475" s="1"/>
      <c r="L475" s="1"/>
      <c r="M475" s="1"/>
      <c r="N475" s="1"/>
    </row>
    <row r="476" spans="1:14">
      <c r="A476" s="1"/>
      <c r="B476" s="1"/>
      <c r="C476" s="1"/>
      <c r="D476" s="1"/>
      <c r="E476" s="1"/>
      <c r="F476" s="1"/>
      <c r="G476" s="1"/>
      <c r="H476" s="6" t="str">
        <f t="shared" si="14"/>
        <v/>
      </c>
      <c r="I476" s="1" t="str">
        <f t="shared" si="15"/>
        <v/>
      </c>
      <c r="J476" s="1"/>
      <c r="K476" s="1"/>
      <c r="L476" s="1"/>
      <c r="M476" s="1"/>
      <c r="N476" s="1"/>
    </row>
    <row r="477" spans="1:14">
      <c r="A477" s="1"/>
      <c r="B477" s="1"/>
      <c r="C477" s="1"/>
      <c r="D477" s="1"/>
      <c r="E477" s="1"/>
      <c r="F477" s="1"/>
      <c r="G477" s="1"/>
      <c r="H477" s="6" t="str">
        <f t="shared" si="14"/>
        <v/>
      </c>
      <c r="I477" s="1" t="str">
        <f t="shared" si="15"/>
        <v/>
      </c>
      <c r="J477" s="1"/>
      <c r="K477" s="1"/>
      <c r="L477" s="1"/>
      <c r="M477" s="1"/>
      <c r="N477" s="1"/>
    </row>
    <row r="478" spans="1:14">
      <c r="A478" s="1"/>
      <c r="B478" s="1"/>
      <c r="C478" s="1"/>
      <c r="D478" s="1"/>
      <c r="E478" s="1"/>
      <c r="F478" s="1"/>
      <c r="G478" s="1"/>
      <c r="H478" s="6" t="str">
        <f t="shared" si="14"/>
        <v/>
      </c>
      <c r="I478" s="1" t="str">
        <f t="shared" si="15"/>
        <v/>
      </c>
      <c r="J478" s="1"/>
      <c r="K478" s="1"/>
      <c r="L478" s="1"/>
      <c r="M478" s="1"/>
      <c r="N478" s="1"/>
    </row>
    <row r="479" spans="1:14">
      <c r="A479" s="1"/>
      <c r="B479" s="1"/>
      <c r="C479" s="1"/>
      <c r="D479" s="1"/>
      <c r="E479" s="1"/>
      <c r="F479" s="1"/>
      <c r="G479" s="1"/>
      <c r="H479" s="6" t="str">
        <f t="shared" si="14"/>
        <v/>
      </c>
      <c r="I479" s="1" t="str">
        <f t="shared" si="15"/>
        <v/>
      </c>
      <c r="J479" s="1"/>
      <c r="K479" s="1"/>
      <c r="L479" s="1"/>
      <c r="M479" s="1"/>
      <c r="N479" s="1"/>
    </row>
    <row r="480" spans="1:14">
      <c r="A480" s="1"/>
      <c r="B480" s="1"/>
      <c r="C480" s="1"/>
      <c r="D480" s="1"/>
      <c r="E480" s="1"/>
      <c r="F480" s="1"/>
      <c r="G480" s="1"/>
      <c r="H480" s="6" t="str">
        <f t="shared" si="14"/>
        <v/>
      </c>
      <c r="I480" s="1" t="str">
        <f t="shared" si="15"/>
        <v/>
      </c>
      <c r="J480" s="1"/>
      <c r="K480" s="1"/>
      <c r="L480" s="1"/>
      <c r="M480" s="1"/>
      <c r="N480" s="1"/>
    </row>
    <row r="481" spans="1:14">
      <c r="A481" s="1"/>
      <c r="B481" s="1"/>
      <c r="C481" s="1"/>
      <c r="D481" s="1"/>
      <c r="E481" s="1"/>
      <c r="F481" s="1"/>
      <c r="G481" s="1"/>
      <c r="H481" s="6" t="str">
        <f t="shared" si="14"/>
        <v/>
      </c>
      <c r="I481" s="1" t="str">
        <f t="shared" si="15"/>
        <v/>
      </c>
      <c r="J481" s="1"/>
      <c r="K481" s="1"/>
      <c r="L481" s="1"/>
      <c r="M481" s="1"/>
      <c r="N481" s="1"/>
    </row>
    <row r="482" spans="1:14">
      <c r="A482" s="1"/>
      <c r="B482" s="1"/>
      <c r="C482" s="1"/>
      <c r="D482" s="1"/>
      <c r="E482" s="1"/>
      <c r="F482" s="1"/>
      <c r="G482" s="1"/>
      <c r="H482" s="6" t="str">
        <f t="shared" si="14"/>
        <v/>
      </c>
      <c r="I482" s="1" t="str">
        <f t="shared" si="15"/>
        <v/>
      </c>
      <c r="J482" s="1"/>
      <c r="K482" s="1"/>
      <c r="L482" s="1"/>
      <c r="M482" s="1"/>
      <c r="N482" s="1"/>
    </row>
    <row r="483" spans="1:14">
      <c r="A483" s="1"/>
      <c r="B483" s="1"/>
      <c r="C483" s="1"/>
      <c r="D483" s="1"/>
      <c r="E483" s="1"/>
      <c r="F483" s="1"/>
      <c r="G483" s="1"/>
      <c r="H483" s="6" t="str">
        <f t="shared" si="14"/>
        <v/>
      </c>
      <c r="I483" s="1" t="str">
        <f t="shared" si="15"/>
        <v/>
      </c>
      <c r="J483" s="1"/>
      <c r="K483" s="1"/>
      <c r="L483" s="1"/>
      <c r="M483" s="1"/>
      <c r="N483" s="1"/>
    </row>
    <row r="484" spans="1:14">
      <c r="A484" s="1"/>
      <c r="B484" s="1"/>
      <c r="C484" s="1"/>
      <c r="D484" s="1"/>
      <c r="E484" s="1"/>
      <c r="F484" s="1"/>
      <c r="G484" s="1"/>
      <c r="H484" s="6" t="str">
        <f t="shared" si="14"/>
        <v/>
      </c>
      <c r="I484" s="1" t="str">
        <f t="shared" si="15"/>
        <v/>
      </c>
      <c r="J484" s="1"/>
      <c r="K484" s="1"/>
      <c r="L484" s="1"/>
      <c r="M484" s="1"/>
      <c r="N484" s="1"/>
    </row>
    <row r="485" spans="1:14">
      <c r="A485" s="1"/>
      <c r="B485" s="1"/>
      <c r="C485" s="1"/>
      <c r="D485" s="1"/>
      <c r="E485" s="1"/>
      <c r="F485" s="1"/>
      <c r="G485" s="1"/>
      <c r="H485" s="6" t="str">
        <f t="shared" si="14"/>
        <v/>
      </c>
      <c r="I485" s="1" t="str">
        <f t="shared" si="15"/>
        <v/>
      </c>
      <c r="J485" s="1"/>
      <c r="K485" s="1"/>
      <c r="L485" s="1"/>
      <c r="M485" s="1"/>
      <c r="N485" s="1"/>
    </row>
    <row r="486" spans="1:14">
      <c r="A486" s="1"/>
      <c r="B486" s="1"/>
      <c r="C486" s="1"/>
      <c r="D486" s="1"/>
      <c r="E486" s="1"/>
      <c r="F486" s="1"/>
      <c r="G486" s="1"/>
      <c r="H486" s="6" t="str">
        <f t="shared" si="14"/>
        <v/>
      </c>
      <c r="I486" s="1" t="str">
        <f t="shared" si="15"/>
        <v/>
      </c>
      <c r="J486" s="1"/>
      <c r="K486" s="1"/>
      <c r="L486" s="1"/>
      <c r="M486" s="1"/>
      <c r="N486" s="1"/>
    </row>
    <row r="487" spans="1:14">
      <c r="A487" s="1"/>
      <c r="B487" s="1"/>
      <c r="C487" s="1"/>
      <c r="D487" s="1"/>
      <c r="E487" s="1"/>
      <c r="F487" s="1"/>
      <c r="G487" s="1"/>
      <c r="H487" s="6" t="str">
        <f t="shared" si="14"/>
        <v/>
      </c>
      <c r="I487" s="1" t="str">
        <f t="shared" si="15"/>
        <v/>
      </c>
      <c r="J487" s="1"/>
      <c r="K487" s="1"/>
      <c r="L487" s="1"/>
      <c r="M487" s="1"/>
      <c r="N487" s="1"/>
    </row>
    <row r="488" spans="1:14">
      <c r="A488" s="1"/>
      <c r="B488" s="1"/>
      <c r="C488" s="1"/>
      <c r="D488" s="1"/>
      <c r="E488" s="1"/>
      <c r="F488" s="1"/>
      <c r="G488" s="1"/>
      <c r="H488" s="6" t="str">
        <f t="shared" si="14"/>
        <v/>
      </c>
      <c r="I488" s="1" t="str">
        <f t="shared" si="15"/>
        <v/>
      </c>
      <c r="J488" s="1"/>
      <c r="K488" s="1"/>
      <c r="L488" s="1"/>
      <c r="M488" s="1"/>
      <c r="N488" s="1"/>
    </row>
    <row r="489" spans="1:14">
      <c r="A489" s="1"/>
      <c r="B489" s="1"/>
      <c r="C489" s="1"/>
      <c r="D489" s="1"/>
      <c r="E489" s="1"/>
      <c r="F489" s="1"/>
      <c r="G489" s="1"/>
      <c r="H489" s="6" t="str">
        <f t="shared" si="14"/>
        <v/>
      </c>
      <c r="I489" s="1" t="str">
        <f t="shared" si="15"/>
        <v/>
      </c>
      <c r="J489" s="1"/>
      <c r="K489" s="1"/>
      <c r="L489" s="1"/>
      <c r="M489" s="1"/>
      <c r="N489" s="1"/>
    </row>
    <row r="490" spans="1:14">
      <c r="A490" s="1"/>
      <c r="B490" s="1"/>
      <c r="C490" s="1"/>
      <c r="D490" s="1"/>
      <c r="E490" s="1"/>
      <c r="F490" s="1"/>
      <c r="G490" s="1"/>
      <c r="H490" s="6" t="str">
        <f t="shared" si="14"/>
        <v/>
      </c>
      <c r="I490" s="1" t="str">
        <f t="shared" si="15"/>
        <v/>
      </c>
      <c r="J490" s="1"/>
      <c r="K490" s="1"/>
      <c r="L490" s="1"/>
      <c r="M490" s="1"/>
      <c r="N490" s="1"/>
    </row>
    <row r="491" spans="1:14">
      <c r="A491" s="1"/>
      <c r="B491" s="1"/>
      <c r="C491" s="1"/>
      <c r="D491" s="1"/>
      <c r="E491" s="1"/>
      <c r="F491" s="1"/>
      <c r="G491" s="1"/>
      <c r="H491" s="6" t="str">
        <f t="shared" si="14"/>
        <v/>
      </c>
      <c r="I491" s="1" t="str">
        <f t="shared" si="15"/>
        <v/>
      </c>
      <c r="J491" s="1"/>
      <c r="K491" s="1"/>
      <c r="L491" s="1"/>
      <c r="M491" s="1"/>
      <c r="N491" s="1"/>
    </row>
    <row r="492" spans="1:14">
      <c r="A492" s="1"/>
      <c r="B492" s="1"/>
      <c r="C492" s="1"/>
      <c r="D492" s="1"/>
      <c r="E492" s="1"/>
      <c r="F492" s="1"/>
      <c r="G492" s="1"/>
      <c r="H492" s="6" t="str">
        <f t="shared" si="14"/>
        <v/>
      </c>
      <c r="I492" s="1" t="str">
        <f t="shared" si="15"/>
        <v/>
      </c>
      <c r="J492" s="1"/>
      <c r="K492" s="1"/>
      <c r="L492" s="1"/>
      <c r="M492" s="1"/>
      <c r="N492" s="1"/>
    </row>
    <row r="493" spans="1:14">
      <c r="A493" s="1"/>
      <c r="B493" s="1"/>
      <c r="C493" s="1"/>
      <c r="D493" s="1"/>
      <c r="E493" s="1"/>
      <c r="F493" s="1"/>
      <c r="G493" s="1"/>
      <c r="H493" s="6" t="str">
        <f t="shared" si="14"/>
        <v/>
      </c>
      <c r="I493" s="1" t="str">
        <f t="shared" si="15"/>
        <v/>
      </c>
      <c r="J493" s="1"/>
      <c r="K493" s="1"/>
      <c r="L493" s="1"/>
      <c r="M493" s="1"/>
      <c r="N493" s="1"/>
    </row>
    <row r="494" spans="1:14">
      <c r="A494" s="1"/>
      <c r="B494" s="1"/>
      <c r="C494" s="1"/>
      <c r="D494" s="1"/>
      <c r="E494" s="1"/>
      <c r="F494" s="1"/>
      <c r="G494" s="1"/>
      <c r="H494" s="6" t="str">
        <f t="shared" si="14"/>
        <v/>
      </c>
      <c r="I494" s="1" t="str">
        <f t="shared" si="15"/>
        <v/>
      </c>
      <c r="J494" s="1"/>
      <c r="K494" s="1"/>
      <c r="L494" s="1"/>
      <c r="M494" s="1"/>
      <c r="N494" s="1"/>
    </row>
    <row r="495" spans="1:14">
      <c r="A495" s="1"/>
      <c r="B495" s="1"/>
      <c r="C495" s="1"/>
      <c r="D495" s="1"/>
      <c r="E495" s="1"/>
      <c r="F495" s="1"/>
      <c r="G495" s="1"/>
      <c r="H495" s="6" t="str">
        <f t="shared" si="14"/>
        <v/>
      </c>
      <c r="I495" s="1" t="str">
        <f t="shared" si="15"/>
        <v/>
      </c>
      <c r="J495" s="1"/>
      <c r="K495" s="1"/>
      <c r="L495" s="1"/>
      <c r="M495" s="1"/>
      <c r="N495" s="1"/>
    </row>
    <row r="496" spans="1:14">
      <c r="A496" s="1"/>
      <c r="B496" s="1"/>
      <c r="C496" s="1"/>
      <c r="D496" s="1"/>
      <c r="E496" s="1"/>
      <c r="F496" s="1"/>
      <c r="G496" s="1"/>
      <c r="H496" s="6" t="str">
        <f t="shared" si="14"/>
        <v/>
      </c>
      <c r="I496" s="1" t="str">
        <f t="shared" si="15"/>
        <v/>
      </c>
      <c r="J496" s="1"/>
      <c r="K496" s="1"/>
      <c r="L496" s="1"/>
      <c r="M496" s="1"/>
      <c r="N496" s="1"/>
    </row>
    <row r="497" spans="1:14">
      <c r="A497" s="1"/>
      <c r="B497" s="1"/>
      <c r="C497" s="1"/>
      <c r="D497" s="1"/>
      <c r="E497" s="1"/>
      <c r="F497" s="1"/>
      <c r="G497" s="1"/>
      <c r="H497" s="6" t="str">
        <f t="shared" si="14"/>
        <v/>
      </c>
      <c r="I497" s="1" t="str">
        <f t="shared" si="15"/>
        <v/>
      </c>
      <c r="J497" s="1"/>
      <c r="K497" s="1"/>
      <c r="L497" s="1"/>
      <c r="M497" s="1"/>
      <c r="N497" s="1"/>
    </row>
  </sheetData>
  <conditionalFormatting sqref="H2:H497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5">
    <dataValidation type="list" sqref="F2:G497" xr:uid="{00000000-0002-0000-0600-000000000000}">
      <formula1>"1,2,3,4,5"</formula1>
    </dataValidation>
    <dataValidation type="list" allowBlank="1" showErrorMessage="1" errorTitle="Valeur non autorisée" error="Veuillez choisir une valeur depuis la liste dynamique REF_CYCLES." sqref="B2:B1000" xr:uid="{00000000-0002-0000-0600-000001000000}">
      <formula1>REF_CYCLES</formula1>
    </dataValidation>
    <dataValidation type="list" allowBlank="1" showErrorMessage="1" errorTitle="Valeur non autorisée" error="Veuillez choisir une valeur depuis la liste dynamique REF_NIVEAUX_RISQUE." sqref="I2:J1000" xr:uid="{00000000-0002-0000-0600-000002000000}">
      <formula1>REF_NIVEAUX_RISQUE</formula1>
    </dataValidation>
    <dataValidation type="list" allowBlank="1" showErrorMessage="1" errorTitle="Valeur non autorisée" error="Veuillez choisir une valeur depuis la liste dynamique REF_RESPONSABLES." sqref="M2:M1000" xr:uid="{00000000-0002-0000-0600-000004000000}">
      <formula1>REF_RESPONSABLES</formula1>
    </dataValidation>
    <dataValidation type="list" allowBlank="1" showErrorMessage="1" errorTitle="Valeur non autorisée" error="Veuillez choisir une valeur depuis la liste dynamique REF_STATUTS_ACTION." sqref="N2:N1000" xr:uid="{00000000-0002-0000-0600-000005000000}">
      <formula1>REF_STATUTS_ACTION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97"/>
  <sheetViews>
    <sheetView workbookViewId="0"/>
  </sheetViews>
  <sheetFormatPr baseColWidth="10" defaultColWidth="9" defaultRowHeight="14.25"/>
  <cols>
    <col min="1" max="2" width="14" customWidth="1"/>
    <col min="3" max="3" width="18" customWidth="1"/>
    <col min="4" max="4" width="30" customWidth="1"/>
    <col min="5" max="5" width="20" customWidth="1"/>
    <col min="6" max="6" width="42" customWidth="1"/>
    <col min="7" max="7" width="14" customWidth="1"/>
    <col min="8" max="8" width="16" customWidth="1"/>
    <col min="9" max="9" width="42" customWidth="1"/>
    <col min="10" max="10" width="22" customWidth="1"/>
    <col min="11" max="11" width="16" customWidth="1"/>
    <col min="12" max="12" width="14" customWidth="1"/>
    <col min="13" max="13" width="28" customWidth="1"/>
    <col min="14" max="14" width="36" customWidth="1"/>
  </cols>
  <sheetData>
    <row r="1" spans="1:14" ht="32.1" customHeight="1">
      <c r="A1" s="2" t="s">
        <v>31</v>
      </c>
      <c r="B1" s="2" t="s">
        <v>258</v>
      </c>
      <c r="C1" s="2" t="s">
        <v>167</v>
      </c>
      <c r="D1" s="2" t="s">
        <v>18</v>
      </c>
      <c r="E1" s="2" t="s">
        <v>259</v>
      </c>
      <c r="F1" s="2" t="s">
        <v>125</v>
      </c>
      <c r="G1" s="2" t="s">
        <v>260</v>
      </c>
      <c r="H1" s="2" t="s">
        <v>261</v>
      </c>
      <c r="I1" s="2" t="s">
        <v>262</v>
      </c>
      <c r="J1" s="2" t="s">
        <v>196</v>
      </c>
      <c r="K1" s="2" t="s">
        <v>198</v>
      </c>
      <c r="L1" s="2" t="s">
        <v>263</v>
      </c>
      <c r="M1" s="2" t="s">
        <v>264</v>
      </c>
      <c r="N1" s="2" t="s">
        <v>185</v>
      </c>
    </row>
    <row r="2" spans="1:14">
      <c r="A2" s="1"/>
      <c r="B2" s="8"/>
      <c r="C2" s="1"/>
      <c r="D2" s="1"/>
      <c r="E2" s="1"/>
      <c r="F2" s="1"/>
      <c r="G2" s="1"/>
      <c r="H2" s="9"/>
      <c r="I2" s="1"/>
      <c r="J2" s="1"/>
      <c r="K2" s="1"/>
      <c r="L2" s="8"/>
      <c r="M2" s="1"/>
      <c r="N2" s="1"/>
    </row>
    <row r="3" spans="1:14">
      <c r="A3" s="1"/>
      <c r="B3" s="8"/>
      <c r="C3" s="1"/>
      <c r="D3" s="1"/>
      <c r="E3" s="1"/>
      <c r="F3" s="1"/>
      <c r="G3" s="1"/>
      <c r="H3" s="9"/>
      <c r="I3" s="1"/>
      <c r="J3" s="1"/>
      <c r="K3" s="1"/>
      <c r="L3" s="8"/>
      <c r="M3" s="1"/>
      <c r="N3" s="1"/>
    </row>
    <row r="4" spans="1:14">
      <c r="A4" s="1"/>
      <c r="B4" s="8"/>
      <c r="C4" s="1"/>
      <c r="D4" s="1"/>
      <c r="E4" s="1"/>
      <c r="F4" s="1"/>
      <c r="G4" s="1"/>
      <c r="H4" s="9"/>
      <c r="I4" s="1"/>
      <c r="J4" s="1"/>
      <c r="K4" s="1"/>
      <c r="L4" s="8"/>
      <c r="M4" s="1"/>
      <c r="N4" s="1"/>
    </row>
    <row r="5" spans="1:14">
      <c r="A5" s="1"/>
      <c r="B5" s="8"/>
      <c r="C5" s="1"/>
      <c r="D5" s="1"/>
      <c r="E5" s="1"/>
      <c r="F5" s="1"/>
      <c r="G5" s="1"/>
      <c r="H5" s="9"/>
      <c r="I5" s="1"/>
      <c r="J5" s="1"/>
      <c r="K5" s="1"/>
      <c r="L5" s="8"/>
      <c r="M5" s="1"/>
      <c r="N5" s="1"/>
    </row>
    <row r="6" spans="1:14">
      <c r="A6" s="1"/>
      <c r="B6" s="8"/>
      <c r="C6" s="1"/>
      <c r="D6" s="1"/>
      <c r="E6" s="1"/>
      <c r="F6" s="1"/>
      <c r="G6" s="1"/>
      <c r="H6" s="9"/>
      <c r="I6" s="1"/>
      <c r="J6" s="1"/>
      <c r="K6" s="1"/>
      <c r="L6" s="8"/>
      <c r="M6" s="1"/>
      <c r="N6" s="1"/>
    </row>
    <row r="7" spans="1:14">
      <c r="A7" s="1"/>
      <c r="B7" s="8"/>
      <c r="C7" s="1"/>
      <c r="D7" s="1"/>
      <c r="E7" s="1"/>
      <c r="F7" s="1"/>
      <c r="G7" s="1"/>
      <c r="H7" s="9"/>
      <c r="I7" s="1"/>
      <c r="J7" s="1"/>
      <c r="K7" s="1"/>
      <c r="L7" s="8"/>
      <c r="M7" s="1"/>
      <c r="N7" s="1"/>
    </row>
    <row r="8" spans="1:14">
      <c r="A8" s="1"/>
      <c r="B8" s="8"/>
      <c r="C8" s="1"/>
      <c r="D8" s="1"/>
      <c r="E8" s="1"/>
      <c r="F8" s="1"/>
      <c r="G8" s="1"/>
      <c r="H8" s="9"/>
      <c r="I8" s="1"/>
      <c r="J8" s="1"/>
      <c r="K8" s="1"/>
      <c r="L8" s="8"/>
      <c r="M8" s="1"/>
      <c r="N8" s="1"/>
    </row>
    <row r="9" spans="1:14">
      <c r="A9" s="1"/>
      <c r="B9" s="8"/>
      <c r="C9" s="1"/>
      <c r="D9" s="1"/>
      <c r="E9" s="1"/>
      <c r="F9" s="1"/>
      <c r="G9" s="1"/>
      <c r="H9" s="9"/>
      <c r="I9" s="1"/>
      <c r="J9" s="1"/>
      <c r="K9" s="1"/>
      <c r="L9" s="8"/>
      <c r="M9" s="1"/>
      <c r="N9" s="1"/>
    </row>
    <row r="10" spans="1:14">
      <c r="A10" s="1"/>
      <c r="B10" s="8"/>
      <c r="C10" s="1"/>
      <c r="D10" s="1"/>
      <c r="E10" s="1"/>
      <c r="F10" s="1"/>
      <c r="G10" s="1"/>
      <c r="H10" s="9"/>
      <c r="I10" s="1"/>
      <c r="J10" s="1"/>
      <c r="K10" s="1"/>
      <c r="L10" s="8"/>
      <c r="M10" s="1"/>
      <c r="N10" s="1"/>
    </row>
    <row r="11" spans="1:14">
      <c r="A11" s="1"/>
      <c r="B11" s="8"/>
      <c r="C11" s="1"/>
      <c r="D11" s="1"/>
      <c r="E11" s="1"/>
      <c r="F11" s="1"/>
      <c r="G11" s="1"/>
      <c r="H11" s="9"/>
      <c r="I11" s="1"/>
      <c r="J11" s="1"/>
      <c r="K11" s="1"/>
      <c r="L11" s="8"/>
      <c r="M11" s="1"/>
      <c r="N11" s="1"/>
    </row>
    <row r="12" spans="1:14">
      <c r="A12" s="1"/>
      <c r="B12" s="8"/>
      <c r="C12" s="1"/>
      <c r="D12" s="1"/>
      <c r="E12" s="1"/>
      <c r="F12" s="1"/>
      <c r="G12" s="1"/>
      <c r="H12" s="9"/>
      <c r="I12" s="1"/>
      <c r="J12" s="1"/>
      <c r="K12" s="1"/>
      <c r="L12" s="8"/>
      <c r="M12" s="1"/>
      <c r="N12" s="1"/>
    </row>
    <row r="13" spans="1:14">
      <c r="A13" s="1"/>
      <c r="B13" s="8"/>
      <c r="C13" s="1"/>
      <c r="D13" s="1"/>
      <c r="E13" s="1"/>
      <c r="F13" s="1"/>
      <c r="G13" s="1"/>
      <c r="H13" s="9"/>
      <c r="I13" s="1"/>
      <c r="J13" s="1"/>
      <c r="K13" s="1"/>
      <c r="L13" s="8"/>
      <c r="M13" s="1"/>
      <c r="N13" s="1"/>
    </row>
    <row r="14" spans="1:14">
      <c r="A14" s="1"/>
      <c r="B14" s="8"/>
      <c r="C14" s="1"/>
      <c r="D14" s="1"/>
      <c r="E14" s="1"/>
      <c r="F14" s="1"/>
      <c r="G14" s="1"/>
      <c r="H14" s="9"/>
      <c r="I14" s="1"/>
      <c r="J14" s="1"/>
      <c r="K14" s="1"/>
      <c r="L14" s="8"/>
      <c r="M14" s="1"/>
      <c r="N14" s="1"/>
    </row>
    <row r="15" spans="1:14">
      <c r="A15" s="1"/>
      <c r="B15" s="8"/>
      <c r="C15" s="1"/>
      <c r="D15" s="1"/>
      <c r="E15" s="1"/>
      <c r="F15" s="1"/>
      <c r="G15" s="1"/>
      <c r="H15" s="9"/>
      <c r="I15" s="1"/>
      <c r="J15" s="1"/>
      <c r="K15" s="1"/>
      <c r="L15" s="8"/>
      <c r="M15" s="1"/>
      <c r="N15" s="1"/>
    </row>
    <row r="16" spans="1:14">
      <c r="A16" s="1"/>
      <c r="B16" s="8"/>
      <c r="C16" s="1"/>
      <c r="D16" s="1"/>
      <c r="E16" s="1"/>
      <c r="F16" s="1"/>
      <c r="G16" s="1"/>
      <c r="H16" s="9"/>
      <c r="I16" s="1"/>
      <c r="J16" s="1"/>
      <c r="K16" s="1"/>
      <c r="L16" s="8"/>
      <c r="M16" s="1"/>
      <c r="N16" s="1"/>
    </row>
    <row r="17" spans="1:14">
      <c r="A17" s="1"/>
      <c r="B17" s="8"/>
      <c r="C17" s="1"/>
      <c r="D17" s="1"/>
      <c r="E17" s="1"/>
      <c r="F17" s="1"/>
      <c r="G17" s="1"/>
      <c r="H17" s="9"/>
      <c r="I17" s="1"/>
      <c r="J17" s="1"/>
      <c r="K17" s="1"/>
      <c r="L17" s="8"/>
      <c r="M17" s="1"/>
      <c r="N17" s="1"/>
    </row>
    <row r="18" spans="1:14">
      <c r="A18" s="1"/>
      <c r="B18" s="8"/>
      <c r="C18" s="1"/>
      <c r="D18" s="1"/>
      <c r="E18" s="1"/>
      <c r="F18" s="1"/>
      <c r="G18" s="1"/>
      <c r="H18" s="9"/>
      <c r="I18" s="1"/>
      <c r="J18" s="1"/>
      <c r="K18" s="1"/>
      <c r="L18" s="8"/>
      <c r="M18" s="1"/>
      <c r="N18" s="1"/>
    </row>
    <row r="19" spans="1:14">
      <c r="A19" s="1"/>
      <c r="B19" s="8"/>
      <c r="C19" s="1"/>
      <c r="D19" s="1"/>
      <c r="E19" s="1"/>
      <c r="F19" s="1"/>
      <c r="G19" s="1"/>
      <c r="H19" s="9"/>
      <c r="I19" s="1"/>
      <c r="J19" s="1"/>
      <c r="K19" s="1"/>
      <c r="L19" s="8"/>
      <c r="M19" s="1"/>
      <c r="N19" s="1"/>
    </row>
    <row r="20" spans="1:14">
      <c r="A20" s="1"/>
      <c r="B20" s="8"/>
      <c r="C20" s="1"/>
      <c r="D20" s="1"/>
      <c r="E20" s="1"/>
      <c r="F20" s="1"/>
      <c r="G20" s="1"/>
      <c r="H20" s="9"/>
      <c r="I20" s="1"/>
      <c r="J20" s="1"/>
      <c r="K20" s="1"/>
      <c r="L20" s="8"/>
      <c r="M20" s="1"/>
      <c r="N20" s="1"/>
    </row>
    <row r="21" spans="1:14">
      <c r="A21" s="1"/>
      <c r="B21" s="8"/>
      <c r="C21" s="1"/>
      <c r="D21" s="1"/>
      <c r="E21" s="1"/>
      <c r="F21" s="1"/>
      <c r="G21" s="1"/>
      <c r="H21" s="9"/>
      <c r="I21" s="1"/>
      <c r="J21" s="1"/>
      <c r="K21" s="1"/>
      <c r="L21" s="8"/>
      <c r="M21" s="1"/>
      <c r="N21" s="1"/>
    </row>
    <row r="22" spans="1:14">
      <c r="A22" s="1"/>
      <c r="B22" s="8"/>
      <c r="C22" s="1"/>
      <c r="D22" s="1"/>
      <c r="E22" s="1"/>
      <c r="F22" s="1"/>
      <c r="G22" s="1"/>
      <c r="H22" s="9"/>
      <c r="I22" s="1"/>
      <c r="J22" s="1"/>
      <c r="K22" s="1"/>
      <c r="L22" s="8"/>
      <c r="M22" s="1"/>
      <c r="N22" s="1"/>
    </row>
    <row r="23" spans="1:14">
      <c r="A23" s="1"/>
      <c r="B23" s="8"/>
      <c r="C23" s="1"/>
      <c r="D23" s="1"/>
      <c r="E23" s="1"/>
      <c r="F23" s="1"/>
      <c r="G23" s="1"/>
      <c r="H23" s="9"/>
      <c r="I23" s="1"/>
      <c r="J23" s="1"/>
      <c r="K23" s="1"/>
      <c r="L23" s="8"/>
      <c r="M23" s="1"/>
      <c r="N23" s="1"/>
    </row>
    <row r="24" spans="1:14">
      <c r="A24" s="1"/>
      <c r="B24" s="8"/>
      <c r="C24" s="1"/>
      <c r="D24" s="1"/>
      <c r="E24" s="1"/>
      <c r="F24" s="1"/>
      <c r="G24" s="1"/>
      <c r="H24" s="9"/>
      <c r="I24" s="1"/>
      <c r="J24" s="1"/>
      <c r="K24" s="1"/>
      <c r="L24" s="8"/>
      <c r="M24" s="1"/>
      <c r="N24" s="1"/>
    </row>
    <row r="25" spans="1:14">
      <c r="A25" s="1"/>
      <c r="B25" s="8"/>
      <c r="C25" s="1"/>
      <c r="D25" s="1"/>
      <c r="E25" s="1"/>
      <c r="F25" s="1"/>
      <c r="G25" s="1"/>
      <c r="H25" s="9"/>
      <c r="I25" s="1"/>
      <c r="J25" s="1"/>
      <c r="K25" s="1"/>
      <c r="L25" s="8"/>
      <c r="M25" s="1"/>
      <c r="N25" s="1"/>
    </row>
    <row r="26" spans="1:14">
      <c r="A26" s="1"/>
      <c r="B26" s="8"/>
      <c r="C26" s="1"/>
      <c r="D26" s="1"/>
      <c r="E26" s="1"/>
      <c r="F26" s="1"/>
      <c r="G26" s="1"/>
      <c r="H26" s="9"/>
      <c r="I26" s="1"/>
      <c r="J26" s="1"/>
      <c r="K26" s="1"/>
      <c r="L26" s="8"/>
      <c r="M26" s="1"/>
      <c r="N26" s="1"/>
    </row>
    <row r="27" spans="1:14">
      <c r="A27" s="1"/>
      <c r="B27" s="8"/>
      <c r="C27" s="1"/>
      <c r="D27" s="1"/>
      <c r="E27" s="1"/>
      <c r="F27" s="1"/>
      <c r="G27" s="1"/>
      <c r="H27" s="9"/>
      <c r="I27" s="1"/>
      <c r="J27" s="1"/>
      <c r="K27" s="1"/>
      <c r="L27" s="8"/>
      <c r="M27" s="1"/>
      <c r="N27" s="1"/>
    </row>
    <row r="28" spans="1:14">
      <c r="A28" s="1"/>
      <c r="B28" s="8"/>
      <c r="C28" s="1"/>
      <c r="D28" s="1"/>
      <c r="E28" s="1"/>
      <c r="F28" s="1"/>
      <c r="G28" s="1"/>
      <c r="H28" s="9"/>
      <c r="I28" s="1"/>
      <c r="J28" s="1"/>
      <c r="K28" s="1"/>
      <c r="L28" s="8"/>
      <c r="M28" s="1"/>
      <c r="N28" s="1"/>
    </row>
    <row r="29" spans="1:14">
      <c r="A29" s="1"/>
      <c r="B29" s="8"/>
      <c r="C29" s="1"/>
      <c r="D29" s="1"/>
      <c r="E29" s="1"/>
      <c r="F29" s="1"/>
      <c r="G29" s="1"/>
      <c r="H29" s="9"/>
      <c r="I29" s="1"/>
      <c r="J29" s="1"/>
      <c r="K29" s="1"/>
      <c r="L29" s="8"/>
      <c r="M29" s="1"/>
      <c r="N29" s="1"/>
    </row>
    <row r="30" spans="1:14">
      <c r="A30" s="1"/>
      <c r="B30" s="8"/>
      <c r="C30" s="1"/>
      <c r="D30" s="1"/>
      <c r="E30" s="1"/>
      <c r="F30" s="1"/>
      <c r="G30" s="1"/>
      <c r="H30" s="9"/>
      <c r="I30" s="1"/>
      <c r="J30" s="1"/>
      <c r="K30" s="1"/>
      <c r="L30" s="8"/>
      <c r="M30" s="1"/>
      <c r="N30" s="1"/>
    </row>
    <row r="31" spans="1:14">
      <c r="A31" s="1"/>
      <c r="B31" s="8"/>
      <c r="C31" s="1"/>
      <c r="D31" s="1"/>
      <c r="E31" s="1"/>
      <c r="F31" s="1"/>
      <c r="G31" s="1"/>
      <c r="H31" s="9"/>
      <c r="I31" s="1"/>
      <c r="J31" s="1"/>
      <c r="K31" s="1"/>
      <c r="L31" s="8"/>
      <c r="M31" s="1"/>
      <c r="N31" s="1"/>
    </row>
    <row r="32" spans="1:14">
      <c r="A32" s="1"/>
      <c r="B32" s="8"/>
      <c r="C32" s="1"/>
      <c r="D32" s="1"/>
      <c r="E32" s="1"/>
      <c r="F32" s="1"/>
      <c r="G32" s="1"/>
      <c r="H32" s="9"/>
      <c r="I32" s="1"/>
      <c r="J32" s="1"/>
      <c r="K32" s="1"/>
      <c r="L32" s="8"/>
      <c r="M32" s="1"/>
      <c r="N32" s="1"/>
    </row>
    <row r="33" spans="1:14">
      <c r="A33" s="1"/>
      <c r="B33" s="8"/>
      <c r="C33" s="1"/>
      <c r="D33" s="1"/>
      <c r="E33" s="1"/>
      <c r="F33" s="1"/>
      <c r="G33" s="1"/>
      <c r="H33" s="9"/>
      <c r="I33" s="1"/>
      <c r="J33" s="1"/>
      <c r="K33" s="1"/>
      <c r="L33" s="8"/>
      <c r="M33" s="1"/>
      <c r="N33" s="1"/>
    </row>
    <row r="34" spans="1:14">
      <c r="A34" s="1"/>
      <c r="B34" s="8"/>
      <c r="C34" s="1"/>
      <c r="D34" s="1"/>
      <c r="E34" s="1"/>
      <c r="F34" s="1"/>
      <c r="G34" s="1"/>
      <c r="H34" s="9"/>
      <c r="I34" s="1"/>
      <c r="J34" s="1"/>
      <c r="K34" s="1"/>
      <c r="L34" s="8"/>
      <c r="M34" s="1"/>
      <c r="N34" s="1"/>
    </row>
    <row r="35" spans="1:14">
      <c r="A35" s="1"/>
      <c r="B35" s="8"/>
      <c r="C35" s="1"/>
      <c r="D35" s="1"/>
      <c r="E35" s="1"/>
      <c r="F35" s="1"/>
      <c r="G35" s="1"/>
      <c r="H35" s="9"/>
      <c r="I35" s="1"/>
      <c r="J35" s="1"/>
      <c r="K35" s="1"/>
      <c r="L35" s="8"/>
      <c r="M35" s="1"/>
      <c r="N35" s="1"/>
    </row>
    <row r="36" spans="1:14">
      <c r="A36" s="1"/>
      <c r="B36" s="8"/>
      <c r="C36" s="1"/>
      <c r="D36" s="1"/>
      <c r="E36" s="1"/>
      <c r="F36" s="1"/>
      <c r="G36" s="1"/>
      <c r="H36" s="9"/>
      <c r="I36" s="1"/>
      <c r="J36" s="1"/>
      <c r="K36" s="1"/>
      <c r="L36" s="8"/>
      <c r="M36" s="1"/>
      <c r="N36" s="1"/>
    </row>
    <row r="37" spans="1:14">
      <c r="A37" s="1"/>
      <c r="B37" s="8"/>
      <c r="C37" s="1"/>
      <c r="D37" s="1"/>
      <c r="E37" s="1"/>
      <c r="F37" s="1"/>
      <c r="G37" s="1"/>
      <c r="H37" s="9"/>
      <c r="I37" s="1"/>
      <c r="J37" s="1"/>
      <c r="K37" s="1"/>
      <c r="L37" s="8"/>
      <c r="M37" s="1"/>
      <c r="N37" s="1"/>
    </row>
    <row r="38" spans="1:14">
      <c r="A38" s="1"/>
      <c r="B38" s="8"/>
      <c r="C38" s="1"/>
      <c r="D38" s="1"/>
      <c r="E38" s="1"/>
      <c r="F38" s="1"/>
      <c r="G38" s="1"/>
      <c r="H38" s="9"/>
      <c r="I38" s="1"/>
      <c r="J38" s="1"/>
      <c r="K38" s="1"/>
      <c r="L38" s="8"/>
      <c r="M38" s="1"/>
      <c r="N38" s="1"/>
    </row>
    <row r="39" spans="1:14">
      <c r="A39" s="1"/>
      <c r="B39" s="8"/>
      <c r="C39" s="1"/>
      <c r="D39" s="1"/>
      <c r="E39" s="1"/>
      <c r="F39" s="1"/>
      <c r="G39" s="1"/>
      <c r="H39" s="9"/>
      <c r="I39" s="1"/>
      <c r="J39" s="1"/>
      <c r="K39" s="1"/>
      <c r="L39" s="8"/>
      <c r="M39" s="1"/>
      <c r="N39" s="1"/>
    </row>
    <row r="40" spans="1:14">
      <c r="A40" s="1"/>
      <c r="B40" s="8"/>
      <c r="C40" s="1"/>
      <c r="D40" s="1"/>
      <c r="E40" s="1"/>
      <c r="F40" s="1"/>
      <c r="G40" s="1"/>
      <c r="H40" s="9"/>
      <c r="I40" s="1"/>
      <c r="J40" s="1"/>
      <c r="K40" s="1"/>
      <c r="L40" s="8"/>
      <c r="M40" s="1"/>
      <c r="N40" s="1"/>
    </row>
    <row r="41" spans="1:14">
      <c r="A41" s="1"/>
      <c r="B41" s="8"/>
      <c r="C41" s="1"/>
      <c r="D41" s="1"/>
      <c r="E41" s="1"/>
      <c r="F41" s="1"/>
      <c r="G41" s="1"/>
      <c r="H41" s="9"/>
      <c r="I41" s="1"/>
      <c r="J41" s="1"/>
      <c r="K41" s="1"/>
      <c r="L41" s="8"/>
      <c r="M41" s="1"/>
      <c r="N41" s="1"/>
    </row>
    <row r="42" spans="1:14">
      <c r="A42" s="1"/>
      <c r="B42" s="8"/>
      <c r="C42" s="1"/>
      <c r="D42" s="1"/>
      <c r="E42" s="1"/>
      <c r="F42" s="1"/>
      <c r="G42" s="1"/>
      <c r="H42" s="9"/>
      <c r="I42" s="1"/>
      <c r="J42" s="1"/>
      <c r="K42" s="1"/>
      <c r="L42" s="8"/>
      <c r="M42" s="1"/>
      <c r="N42" s="1"/>
    </row>
    <row r="43" spans="1:14">
      <c r="A43" s="1"/>
      <c r="B43" s="8"/>
      <c r="C43" s="1"/>
      <c r="D43" s="1"/>
      <c r="E43" s="1"/>
      <c r="F43" s="1"/>
      <c r="G43" s="1"/>
      <c r="H43" s="9"/>
      <c r="I43" s="1"/>
      <c r="J43" s="1"/>
      <c r="K43" s="1"/>
      <c r="L43" s="8"/>
      <c r="M43" s="1"/>
      <c r="N43" s="1"/>
    </row>
    <row r="44" spans="1:14">
      <c r="A44" s="1"/>
      <c r="B44" s="8"/>
      <c r="C44" s="1"/>
      <c r="D44" s="1"/>
      <c r="E44" s="1"/>
      <c r="F44" s="1"/>
      <c r="G44" s="1"/>
      <c r="H44" s="9"/>
      <c r="I44" s="1"/>
      <c r="J44" s="1"/>
      <c r="K44" s="1"/>
      <c r="L44" s="8"/>
      <c r="M44" s="1"/>
      <c r="N44" s="1"/>
    </row>
    <row r="45" spans="1:14">
      <c r="A45" s="1"/>
      <c r="B45" s="8"/>
      <c r="C45" s="1"/>
      <c r="D45" s="1"/>
      <c r="E45" s="1"/>
      <c r="F45" s="1"/>
      <c r="G45" s="1"/>
      <c r="H45" s="9"/>
      <c r="I45" s="1"/>
      <c r="J45" s="1"/>
      <c r="K45" s="1"/>
      <c r="L45" s="8"/>
      <c r="M45" s="1"/>
      <c r="N45" s="1"/>
    </row>
    <row r="46" spans="1:14">
      <c r="A46" s="1"/>
      <c r="B46" s="8"/>
      <c r="C46" s="1"/>
      <c r="D46" s="1"/>
      <c r="E46" s="1"/>
      <c r="F46" s="1"/>
      <c r="G46" s="1"/>
      <c r="H46" s="9"/>
      <c r="I46" s="1"/>
      <c r="J46" s="1"/>
      <c r="K46" s="1"/>
      <c r="L46" s="8"/>
      <c r="M46" s="1"/>
      <c r="N46" s="1"/>
    </row>
    <row r="47" spans="1:14">
      <c r="A47" s="1"/>
      <c r="B47" s="8"/>
      <c r="C47" s="1"/>
      <c r="D47" s="1"/>
      <c r="E47" s="1"/>
      <c r="F47" s="1"/>
      <c r="G47" s="1"/>
      <c r="H47" s="9"/>
      <c r="I47" s="1"/>
      <c r="J47" s="1"/>
      <c r="K47" s="1"/>
      <c r="L47" s="8"/>
      <c r="M47" s="1"/>
      <c r="N47" s="1"/>
    </row>
    <row r="48" spans="1:14">
      <c r="A48" s="1"/>
      <c r="B48" s="8"/>
      <c r="C48" s="1"/>
      <c r="D48" s="1"/>
      <c r="E48" s="1"/>
      <c r="F48" s="1"/>
      <c r="G48" s="1"/>
      <c r="H48" s="9"/>
      <c r="I48" s="1"/>
      <c r="J48" s="1"/>
      <c r="K48" s="1"/>
      <c r="L48" s="8"/>
      <c r="M48" s="1"/>
      <c r="N48" s="1"/>
    </row>
    <row r="49" spans="1:14">
      <c r="A49" s="1"/>
      <c r="B49" s="8"/>
      <c r="C49" s="1"/>
      <c r="D49" s="1"/>
      <c r="E49" s="1"/>
      <c r="F49" s="1"/>
      <c r="G49" s="1"/>
      <c r="H49" s="9"/>
      <c r="I49" s="1"/>
      <c r="J49" s="1"/>
      <c r="K49" s="1"/>
      <c r="L49" s="8"/>
      <c r="M49" s="1"/>
      <c r="N49" s="1"/>
    </row>
    <row r="50" spans="1:14">
      <c r="A50" s="1"/>
      <c r="B50" s="8"/>
      <c r="C50" s="1"/>
      <c r="D50" s="1"/>
      <c r="E50" s="1"/>
      <c r="F50" s="1"/>
      <c r="G50" s="1"/>
      <c r="H50" s="9"/>
      <c r="I50" s="1"/>
      <c r="J50" s="1"/>
      <c r="K50" s="1"/>
      <c r="L50" s="8"/>
      <c r="M50" s="1"/>
      <c r="N50" s="1"/>
    </row>
    <row r="51" spans="1:14">
      <c r="A51" s="1"/>
      <c r="B51" s="8"/>
      <c r="C51" s="1"/>
      <c r="D51" s="1"/>
      <c r="E51" s="1"/>
      <c r="F51" s="1"/>
      <c r="G51" s="1"/>
      <c r="H51" s="9"/>
      <c r="I51" s="1"/>
      <c r="J51" s="1"/>
      <c r="K51" s="1"/>
      <c r="L51" s="8"/>
      <c r="M51" s="1"/>
      <c r="N51" s="1"/>
    </row>
    <row r="52" spans="1:14">
      <c r="A52" s="1"/>
      <c r="B52" s="8"/>
      <c r="C52" s="1"/>
      <c r="D52" s="1"/>
      <c r="E52" s="1"/>
      <c r="F52" s="1"/>
      <c r="G52" s="1"/>
      <c r="H52" s="9"/>
      <c r="I52" s="1"/>
      <c r="J52" s="1"/>
      <c r="K52" s="1"/>
      <c r="L52" s="8"/>
      <c r="M52" s="1"/>
      <c r="N52" s="1"/>
    </row>
    <row r="53" spans="1:14">
      <c r="A53" s="1"/>
      <c r="B53" s="8"/>
      <c r="C53" s="1"/>
      <c r="D53" s="1"/>
      <c r="E53" s="1"/>
      <c r="F53" s="1"/>
      <c r="G53" s="1"/>
      <c r="H53" s="9"/>
      <c r="I53" s="1"/>
      <c r="J53" s="1"/>
      <c r="K53" s="1"/>
      <c r="L53" s="8"/>
      <c r="M53" s="1"/>
      <c r="N53" s="1"/>
    </row>
    <row r="54" spans="1:14">
      <c r="A54" s="1"/>
      <c r="B54" s="8"/>
      <c r="C54" s="1"/>
      <c r="D54" s="1"/>
      <c r="E54" s="1"/>
      <c r="F54" s="1"/>
      <c r="G54" s="1"/>
      <c r="H54" s="9"/>
      <c r="I54" s="1"/>
      <c r="J54" s="1"/>
      <c r="K54" s="1"/>
      <c r="L54" s="8"/>
      <c r="M54" s="1"/>
      <c r="N54" s="1"/>
    </row>
    <row r="55" spans="1:14">
      <c r="A55" s="1"/>
      <c r="B55" s="8"/>
      <c r="C55" s="1"/>
      <c r="D55" s="1"/>
      <c r="E55" s="1"/>
      <c r="F55" s="1"/>
      <c r="G55" s="1"/>
      <c r="H55" s="9"/>
      <c r="I55" s="1"/>
      <c r="J55" s="1"/>
      <c r="K55" s="1"/>
      <c r="L55" s="8"/>
      <c r="M55" s="1"/>
      <c r="N55" s="1"/>
    </row>
    <row r="56" spans="1:14">
      <c r="A56" s="1"/>
      <c r="B56" s="8"/>
      <c r="C56" s="1"/>
      <c r="D56" s="1"/>
      <c r="E56" s="1"/>
      <c r="F56" s="1"/>
      <c r="G56" s="1"/>
      <c r="H56" s="9"/>
      <c r="I56" s="1"/>
      <c r="J56" s="1"/>
      <c r="K56" s="1"/>
      <c r="L56" s="8"/>
      <c r="M56" s="1"/>
      <c r="N56" s="1"/>
    </row>
    <row r="57" spans="1:14">
      <c r="A57" s="1"/>
      <c r="B57" s="8"/>
      <c r="C57" s="1"/>
      <c r="D57" s="1"/>
      <c r="E57" s="1"/>
      <c r="F57" s="1"/>
      <c r="G57" s="1"/>
      <c r="H57" s="9"/>
      <c r="I57" s="1"/>
      <c r="J57" s="1"/>
      <c r="K57" s="1"/>
      <c r="L57" s="8"/>
      <c r="M57" s="1"/>
      <c r="N57" s="1"/>
    </row>
    <row r="58" spans="1:14">
      <c r="A58" s="1"/>
      <c r="B58" s="8"/>
      <c r="C58" s="1"/>
      <c r="D58" s="1"/>
      <c r="E58" s="1"/>
      <c r="F58" s="1"/>
      <c r="G58" s="1"/>
      <c r="H58" s="9"/>
      <c r="I58" s="1"/>
      <c r="J58" s="1"/>
      <c r="K58" s="1"/>
      <c r="L58" s="8"/>
      <c r="M58" s="1"/>
      <c r="N58" s="1"/>
    </row>
    <row r="59" spans="1:14">
      <c r="A59" s="1"/>
      <c r="B59" s="8"/>
      <c r="C59" s="1"/>
      <c r="D59" s="1"/>
      <c r="E59" s="1"/>
      <c r="F59" s="1"/>
      <c r="G59" s="1"/>
      <c r="H59" s="9"/>
      <c r="I59" s="1"/>
      <c r="J59" s="1"/>
      <c r="K59" s="1"/>
      <c r="L59" s="8"/>
      <c r="M59" s="1"/>
      <c r="N59" s="1"/>
    </row>
    <row r="60" spans="1:14">
      <c r="A60" s="1"/>
      <c r="B60" s="8"/>
      <c r="C60" s="1"/>
      <c r="D60" s="1"/>
      <c r="E60" s="1"/>
      <c r="F60" s="1"/>
      <c r="G60" s="1"/>
      <c r="H60" s="9"/>
      <c r="I60" s="1"/>
      <c r="J60" s="1"/>
      <c r="K60" s="1"/>
      <c r="L60" s="8"/>
      <c r="M60" s="1"/>
      <c r="N60" s="1"/>
    </row>
    <row r="61" spans="1:14">
      <c r="A61" s="1"/>
      <c r="B61" s="8"/>
      <c r="C61" s="1"/>
      <c r="D61" s="1"/>
      <c r="E61" s="1"/>
      <c r="F61" s="1"/>
      <c r="G61" s="1"/>
      <c r="H61" s="9"/>
      <c r="I61" s="1"/>
      <c r="J61" s="1"/>
      <c r="K61" s="1"/>
      <c r="L61" s="8"/>
      <c r="M61" s="1"/>
      <c r="N61" s="1"/>
    </row>
    <row r="62" spans="1:14">
      <c r="A62" s="1"/>
      <c r="B62" s="8"/>
      <c r="C62" s="1"/>
      <c r="D62" s="1"/>
      <c r="E62" s="1"/>
      <c r="F62" s="1"/>
      <c r="G62" s="1"/>
      <c r="H62" s="9"/>
      <c r="I62" s="1"/>
      <c r="J62" s="1"/>
      <c r="K62" s="1"/>
      <c r="L62" s="8"/>
      <c r="M62" s="1"/>
      <c r="N62" s="1"/>
    </row>
    <row r="63" spans="1:14">
      <c r="A63" s="1"/>
      <c r="B63" s="8"/>
      <c r="C63" s="1"/>
      <c r="D63" s="1"/>
      <c r="E63" s="1"/>
      <c r="F63" s="1"/>
      <c r="G63" s="1"/>
      <c r="H63" s="9"/>
      <c r="I63" s="1"/>
      <c r="J63" s="1"/>
      <c r="K63" s="1"/>
      <c r="L63" s="8"/>
      <c r="M63" s="1"/>
      <c r="N63" s="1"/>
    </row>
    <row r="64" spans="1:14">
      <c r="A64" s="1"/>
      <c r="B64" s="8"/>
      <c r="C64" s="1"/>
      <c r="D64" s="1"/>
      <c r="E64" s="1"/>
      <c r="F64" s="1"/>
      <c r="G64" s="1"/>
      <c r="H64" s="9"/>
      <c r="I64" s="1"/>
      <c r="J64" s="1"/>
      <c r="K64" s="1"/>
      <c r="L64" s="8"/>
      <c r="M64" s="1"/>
      <c r="N64" s="1"/>
    </row>
    <row r="65" spans="1:14">
      <c r="A65" s="1"/>
      <c r="B65" s="8"/>
      <c r="C65" s="1"/>
      <c r="D65" s="1"/>
      <c r="E65" s="1"/>
      <c r="F65" s="1"/>
      <c r="G65" s="1"/>
      <c r="H65" s="9"/>
      <c r="I65" s="1"/>
      <c r="J65" s="1"/>
      <c r="K65" s="1"/>
      <c r="L65" s="8"/>
      <c r="M65" s="1"/>
      <c r="N65" s="1"/>
    </row>
    <row r="66" spans="1:14">
      <c r="A66" s="1"/>
      <c r="B66" s="8"/>
      <c r="C66" s="1"/>
      <c r="D66" s="1"/>
      <c r="E66" s="1"/>
      <c r="F66" s="1"/>
      <c r="G66" s="1"/>
      <c r="H66" s="9"/>
      <c r="I66" s="1"/>
      <c r="J66" s="1"/>
      <c r="K66" s="1"/>
      <c r="L66" s="8"/>
      <c r="M66" s="1"/>
      <c r="N66" s="1"/>
    </row>
    <row r="67" spans="1:14">
      <c r="A67" s="1"/>
      <c r="B67" s="8"/>
      <c r="C67" s="1"/>
      <c r="D67" s="1"/>
      <c r="E67" s="1"/>
      <c r="F67" s="1"/>
      <c r="G67" s="1"/>
      <c r="H67" s="9"/>
      <c r="I67" s="1"/>
      <c r="J67" s="1"/>
      <c r="K67" s="1"/>
      <c r="L67" s="8"/>
      <c r="M67" s="1"/>
      <c r="N67" s="1"/>
    </row>
    <row r="68" spans="1:14">
      <c r="A68" s="1"/>
      <c r="B68" s="8"/>
      <c r="C68" s="1"/>
      <c r="D68" s="1"/>
      <c r="E68" s="1"/>
      <c r="F68" s="1"/>
      <c r="G68" s="1"/>
      <c r="H68" s="9"/>
      <c r="I68" s="1"/>
      <c r="J68" s="1"/>
      <c r="K68" s="1"/>
      <c r="L68" s="8"/>
      <c r="M68" s="1"/>
      <c r="N68" s="1"/>
    </row>
    <row r="69" spans="1:14">
      <c r="A69" s="1"/>
      <c r="B69" s="8"/>
      <c r="C69" s="1"/>
      <c r="D69" s="1"/>
      <c r="E69" s="1"/>
      <c r="F69" s="1"/>
      <c r="G69" s="1"/>
      <c r="H69" s="9"/>
      <c r="I69" s="1"/>
      <c r="J69" s="1"/>
      <c r="K69" s="1"/>
      <c r="L69" s="8"/>
      <c r="M69" s="1"/>
      <c r="N69" s="1"/>
    </row>
    <row r="70" spans="1:14">
      <c r="A70" s="1"/>
      <c r="B70" s="8"/>
      <c r="C70" s="1"/>
      <c r="D70" s="1"/>
      <c r="E70" s="1"/>
      <c r="F70" s="1"/>
      <c r="G70" s="1"/>
      <c r="H70" s="9"/>
      <c r="I70" s="1"/>
      <c r="J70" s="1"/>
      <c r="K70" s="1"/>
      <c r="L70" s="8"/>
      <c r="M70" s="1"/>
      <c r="N70" s="1"/>
    </row>
    <row r="71" spans="1:14">
      <c r="A71" s="1"/>
      <c r="B71" s="8"/>
      <c r="C71" s="1"/>
      <c r="D71" s="1"/>
      <c r="E71" s="1"/>
      <c r="F71" s="1"/>
      <c r="G71" s="1"/>
      <c r="H71" s="9"/>
      <c r="I71" s="1"/>
      <c r="J71" s="1"/>
      <c r="K71" s="1"/>
      <c r="L71" s="8"/>
      <c r="M71" s="1"/>
      <c r="N71" s="1"/>
    </row>
    <row r="72" spans="1:14">
      <c r="A72" s="1"/>
      <c r="B72" s="8"/>
      <c r="C72" s="1"/>
      <c r="D72" s="1"/>
      <c r="E72" s="1"/>
      <c r="F72" s="1"/>
      <c r="G72" s="1"/>
      <c r="H72" s="9"/>
      <c r="I72" s="1"/>
      <c r="J72" s="1"/>
      <c r="K72" s="1"/>
      <c r="L72" s="8"/>
      <c r="M72" s="1"/>
      <c r="N72" s="1"/>
    </row>
    <row r="73" spans="1:14">
      <c r="A73" s="1"/>
      <c r="B73" s="8"/>
      <c r="C73" s="1"/>
      <c r="D73" s="1"/>
      <c r="E73" s="1"/>
      <c r="F73" s="1"/>
      <c r="G73" s="1"/>
      <c r="H73" s="9"/>
      <c r="I73" s="1"/>
      <c r="J73" s="1"/>
      <c r="K73" s="1"/>
      <c r="L73" s="8"/>
      <c r="M73" s="1"/>
      <c r="N73" s="1"/>
    </row>
    <row r="74" spans="1:14">
      <c r="A74" s="1"/>
      <c r="B74" s="8"/>
      <c r="C74" s="1"/>
      <c r="D74" s="1"/>
      <c r="E74" s="1"/>
      <c r="F74" s="1"/>
      <c r="G74" s="1"/>
      <c r="H74" s="9"/>
      <c r="I74" s="1"/>
      <c r="J74" s="1"/>
      <c r="K74" s="1"/>
      <c r="L74" s="8"/>
      <c r="M74" s="1"/>
      <c r="N74" s="1"/>
    </row>
    <row r="75" spans="1:14">
      <c r="A75" s="1"/>
      <c r="B75" s="8"/>
      <c r="C75" s="1"/>
      <c r="D75" s="1"/>
      <c r="E75" s="1"/>
      <c r="F75" s="1"/>
      <c r="G75" s="1"/>
      <c r="H75" s="9"/>
      <c r="I75" s="1"/>
      <c r="J75" s="1"/>
      <c r="K75" s="1"/>
      <c r="L75" s="8"/>
      <c r="M75" s="1"/>
      <c r="N75" s="1"/>
    </row>
    <row r="76" spans="1:14">
      <c r="A76" s="1"/>
      <c r="B76" s="8"/>
      <c r="C76" s="1"/>
      <c r="D76" s="1"/>
      <c r="E76" s="1"/>
      <c r="F76" s="1"/>
      <c r="G76" s="1"/>
      <c r="H76" s="9"/>
      <c r="I76" s="1"/>
      <c r="J76" s="1"/>
      <c r="K76" s="1"/>
      <c r="L76" s="8"/>
      <c r="M76" s="1"/>
      <c r="N76" s="1"/>
    </row>
    <row r="77" spans="1:14">
      <c r="A77" s="1"/>
      <c r="B77" s="8"/>
      <c r="C77" s="1"/>
      <c r="D77" s="1"/>
      <c r="E77" s="1"/>
      <c r="F77" s="1"/>
      <c r="G77" s="1"/>
      <c r="H77" s="9"/>
      <c r="I77" s="1"/>
      <c r="J77" s="1"/>
      <c r="K77" s="1"/>
      <c r="L77" s="8"/>
      <c r="M77" s="1"/>
      <c r="N77" s="1"/>
    </row>
    <row r="78" spans="1:14">
      <c r="A78" s="1"/>
      <c r="B78" s="8"/>
      <c r="C78" s="1"/>
      <c r="D78" s="1"/>
      <c r="E78" s="1"/>
      <c r="F78" s="1"/>
      <c r="G78" s="1"/>
      <c r="H78" s="9"/>
      <c r="I78" s="1"/>
      <c r="J78" s="1"/>
      <c r="K78" s="1"/>
      <c r="L78" s="8"/>
      <c r="M78" s="1"/>
      <c r="N78" s="1"/>
    </row>
    <row r="79" spans="1:14">
      <c r="A79" s="1"/>
      <c r="B79" s="8"/>
      <c r="C79" s="1"/>
      <c r="D79" s="1"/>
      <c r="E79" s="1"/>
      <c r="F79" s="1"/>
      <c r="G79" s="1"/>
      <c r="H79" s="9"/>
      <c r="I79" s="1"/>
      <c r="J79" s="1"/>
      <c r="K79" s="1"/>
      <c r="L79" s="8"/>
      <c r="M79" s="1"/>
      <c r="N79" s="1"/>
    </row>
    <row r="80" spans="1:14">
      <c r="A80" s="1"/>
      <c r="B80" s="8"/>
      <c r="C80" s="1"/>
      <c r="D80" s="1"/>
      <c r="E80" s="1"/>
      <c r="F80" s="1"/>
      <c r="G80" s="1"/>
      <c r="H80" s="9"/>
      <c r="I80" s="1"/>
      <c r="J80" s="1"/>
      <c r="K80" s="1"/>
      <c r="L80" s="8"/>
      <c r="M80" s="1"/>
      <c r="N80" s="1"/>
    </row>
    <row r="81" spans="1:14">
      <c r="A81" s="1"/>
      <c r="B81" s="8"/>
      <c r="C81" s="1"/>
      <c r="D81" s="1"/>
      <c r="E81" s="1"/>
      <c r="F81" s="1"/>
      <c r="G81" s="1"/>
      <c r="H81" s="9"/>
      <c r="I81" s="1"/>
      <c r="J81" s="1"/>
      <c r="K81" s="1"/>
      <c r="L81" s="8"/>
      <c r="M81" s="1"/>
      <c r="N81" s="1"/>
    </row>
    <row r="82" spans="1:14">
      <c r="A82" s="1"/>
      <c r="B82" s="8"/>
      <c r="C82" s="1"/>
      <c r="D82" s="1"/>
      <c r="E82" s="1"/>
      <c r="F82" s="1"/>
      <c r="G82" s="1"/>
      <c r="H82" s="9"/>
      <c r="I82" s="1"/>
      <c r="J82" s="1"/>
      <c r="K82" s="1"/>
      <c r="L82" s="8"/>
      <c r="M82" s="1"/>
      <c r="N82" s="1"/>
    </row>
    <row r="83" spans="1:14">
      <c r="A83" s="1"/>
      <c r="B83" s="8"/>
      <c r="C83" s="1"/>
      <c r="D83" s="1"/>
      <c r="E83" s="1"/>
      <c r="F83" s="1"/>
      <c r="G83" s="1"/>
      <c r="H83" s="9"/>
      <c r="I83" s="1"/>
      <c r="J83" s="1"/>
      <c r="K83" s="1"/>
      <c r="L83" s="8"/>
      <c r="M83" s="1"/>
      <c r="N83" s="1"/>
    </row>
    <row r="84" spans="1:14">
      <c r="A84" s="1"/>
      <c r="B84" s="8"/>
      <c r="C84" s="1"/>
      <c r="D84" s="1"/>
      <c r="E84" s="1"/>
      <c r="F84" s="1"/>
      <c r="G84" s="1"/>
      <c r="H84" s="9"/>
      <c r="I84" s="1"/>
      <c r="J84" s="1"/>
      <c r="K84" s="1"/>
      <c r="L84" s="8"/>
      <c r="M84" s="1"/>
      <c r="N84" s="1"/>
    </row>
    <row r="85" spans="1:14">
      <c r="A85" s="1"/>
      <c r="B85" s="8"/>
      <c r="C85" s="1"/>
      <c r="D85" s="1"/>
      <c r="E85" s="1"/>
      <c r="F85" s="1"/>
      <c r="G85" s="1"/>
      <c r="H85" s="9"/>
      <c r="I85" s="1"/>
      <c r="J85" s="1"/>
      <c r="K85" s="1"/>
      <c r="L85" s="8"/>
      <c r="M85" s="1"/>
      <c r="N85" s="1"/>
    </row>
    <row r="86" spans="1:14">
      <c r="A86" s="1"/>
      <c r="B86" s="8"/>
      <c r="C86" s="1"/>
      <c r="D86" s="1"/>
      <c r="E86" s="1"/>
      <c r="F86" s="1"/>
      <c r="G86" s="1"/>
      <c r="H86" s="9"/>
      <c r="I86" s="1"/>
      <c r="J86" s="1"/>
      <c r="K86" s="1"/>
      <c r="L86" s="8"/>
      <c r="M86" s="1"/>
      <c r="N86" s="1"/>
    </row>
    <row r="87" spans="1:14">
      <c r="A87" s="1"/>
      <c r="B87" s="8"/>
      <c r="C87" s="1"/>
      <c r="D87" s="1"/>
      <c r="E87" s="1"/>
      <c r="F87" s="1"/>
      <c r="G87" s="1"/>
      <c r="H87" s="9"/>
      <c r="I87" s="1"/>
      <c r="J87" s="1"/>
      <c r="K87" s="1"/>
      <c r="L87" s="8"/>
      <c r="M87" s="1"/>
      <c r="N87" s="1"/>
    </row>
    <row r="88" spans="1:14">
      <c r="A88" s="1"/>
      <c r="B88" s="8"/>
      <c r="C88" s="1"/>
      <c r="D88" s="1"/>
      <c r="E88" s="1"/>
      <c r="F88" s="1"/>
      <c r="G88" s="1"/>
      <c r="H88" s="9"/>
      <c r="I88" s="1"/>
      <c r="J88" s="1"/>
      <c r="K88" s="1"/>
      <c r="L88" s="8"/>
      <c r="M88" s="1"/>
      <c r="N88" s="1"/>
    </row>
    <row r="89" spans="1:14">
      <c r="A89" s="1"/>
      <c r="B89" s="8"/>
      <c r="C89" s="1"/>
      <c r="D89" s="1"/>
      <c r="E89" s="1"/>
      <c r="F89" s="1"/>
      <c r="G89" s="1"/>
      <c r="H89" s="9"/>
      <c r="I89" s="1"/>
      <c r="J89" s="1"/>
      <c r="K89" s="1"/>
      <c r="L89" s="8"/>
      <c r="M89" s="1"/>
      <c r="N89" s="1"/>
    </row>
    <row r="90" spans="1:14">
      <c r="A90" s="1"/>
      <c r="B90" s="8"/>
      <c r="C90" s="1"/>
      <c r="D90" s="1"/>
      <c r="E90" s="1"/>
      <c r="F90" s="1"/>
      <c r="G90" s="1"/>
      <c r="H90" s="9"/>
      <c r="I90" s="1"/>
      <c r="J90" s="1"/>
      <c r="K90" s="1"/>
      <c r="L90" s="8"/>
      <c r="M90" s="1"/>
      <c r="N90" s="1"/>
    </row>
    <row r="91" spans="1:14">
      <c r="A91" s="1"/>
      <c r="B91" s="8"/>
      <c r="C91" s="1"/>
      <c r="D91" s="1"/>
      <c r="E91" s="1"/>
      <c r="F91" s="1"/>
      <c r="G91" s="1"/>
      <c r="H91" s="9"/>
      <c r="I91" s="1"/>
      <c r="J91" s="1"/>
      <c r="K91" s="1"/>
      <c r="L91" s="8"/>
      <c r="M91" s="1"/>
      <c r="N91" s="1"/>
    </row>
    <row r="92" spans="1:14">
      <c r="A92" s="1"/>
      <c r="B92" s="8"/>
      <c r="C92" s="1"/>
      <c r="D92" s="1"/>
      <c r="E92" s="1"/>
      <c r="F92" s="1"/>
      <c r="G92" s="1"/>
      <c r="H92" s="9"/>
      <c r="I92" s="1"/>
      <c r="J92" s="1"/>
      <c r="K92" s="1"/>
      <c r="L92" s="8"/>
      <c r="M92" s="1"/>
      <c r="N92" s="1"/>
    </row>
    <row r="93" spans="1:14">
      <c r="A93" s="1"/>
      <c r="B93" s="8"/>
      <c r="C93" s="1"/>
      <c r="D93" s="1"/>
      <c r="E93" s="1"/>
      <c r="F93" s="1"/>
      <c r="G93" s="1"/>
      <c r="H93" s="9"/>
      <c r="I93" s="1"/>
      <c r="J93" s="1"/>
      <c r="K93" s="1"/>
      <c r="L93" s="8"/>
      <c r="M93" s="1"/>
      <c r="N93" s="1"/>
    </row>
    <row r="94" spans="1:14">
      <c r="A94" s="1"/>
      <c r="B94" s="8"/>
      <c r="C94" s="1"/>
      <c r="D94" s="1"/>
      <c r="E94" s="1"/>
      <c r="F94" s="1"/>
      <c r="G94" s="1"/>
      <c r="H94" s="9"/>
      <c r="I94" s="1"/>
      <c r="J94" s="1"/>
      <c r="K94" s="1"/>
      <c r="L94" s="8"/>
      <c r="M94" s="1"/>
      <c r="N94" s="1"/>
    </row>
    <row r="95" spans="1:14">
      <c r="A95" s="1"/>
      <c r="B95" s="8"/>
      <c r="C95" s="1"/>
      <c r="D95" s="1"/>
      <c r="E95" s="1"/>
      <c r="F95" s="1"/>
      <c r="G95" s="1"/>
      <c r="H95" s="9"/>
      <c r="I95" s="1"/>
      <c r="J95" s="1"/>
      <c r="K95" s="1"/>
      <c r="L95" s="8"/>
      <c r="M95" s="1"/>
      <c r="N95" s="1"/>
    </row>
    <row r="96" spans="1:14">
      <c r="A96" s="1"/>
      <c r="B96" s="8"/>
      <c r="C96" s="1"/>
      <c r="D96" s="1"/>
      <c r="E96" s="1"/>
      <c r="F96" s="1"/>
      <c r="G96" s="1"/>
      <c r="H96" s="9"/>
      <c r="I96" s="1"/>
      <c r="J96" s="1"/>
      <c r="K96" s="1"/>
      <c r="L96" s="8"/>
      <c r="M96" s="1"/>
      <c r="N96" s="1"/>
    </row>
    <row r="97" spans="1:14">
      <c r="A97" s="1"/>
      <c r="B97" s="8"/>
      <c r="C97" s="1"/>
      <c r="D97" s="1"/>
      <c r="E97" s="1"/>
      <c r="F97" s="1"/>
      <c r="G97" s="1"/>
      <c r="H97" s="9"/>
      <c r="I97" s="1"/>
      <c r="J97" s="1"/>
      <c r="K97" s="1"/>
      <c r="L97" s="8"/>
      <c r="M97" s="1"/>
      <c r="N97" s="1"/>
    </row>
    <row r="98" spans="1:14">
      <c r="A98" s="1"/>
      <c r="B98" s="8"/>
      <c r="C98" s="1"/>
      <c r="D98" s="1"/>
      <c r="E98" s="1"/>
      <c r="F98" s="1"/>
      <c r="G98" s="1"/>
      <c r="H98" s="9"/>
      <c r="I98" s="1"/>
      <c r="J98" s="1"/>
      <c r="K98" s="1"/>
      <c r="L98" s="8"/>
      <c r="M98" s="1"/>
      <c r="N98" s="1"/>
    </row>
    <row r="99" spans="1:14">
      <c r="A99" s="1"/>
      <c r="B99" s="8"/>
      <c r="C99" s="1"/>
      <c r="D99" s="1"/>
      <c r="E99" s="1"/>
      <c r="F99" s="1"/>
      <c r="G99" s="1"/>
      <c r="H99" s="9"/>
      <c r="I99" s="1"/>
      <c r="J99" s="1"/>
      <c r="K99" s="1"/>
      <c r="L99" s="8"/>
      <c r="M99" s="1"/>
      <c r="N99" s="1"/>
    </row>
    <row r="100" spans="1:14">
      <c r="A100" s="1"/>
      <c r="B100" s="8"/>
      <c r="C100" s="1"/>
      <c r="D100" s="1"/>
      <c r="E100" s="1"/>
      <c r="F100" s="1"/>
      <c r="G100" s="1"/>
      <c r="H100" s="9"/>
      <c r="I100" s="1"/>
      <c r="J100" s="1"/>
      <c r="K100" s="1"/>
      <c r="L100" s="8"/>
      <c r="M100" s="1"/>
      <c r="N100" s="1"/>
    </row>
    <row r="101" spans="1:14">
      <c r="A101" s="1"/>
      <c r="B101" s="8"/>
      <c r="C101" s="1"/>
      <c r="D101" s="1"/>
      <c r="E101" s="1"/>
      <c r="F101" s="1"/>
      <c r="G101" s="1"/>
      <c r="H101" s="9"/>
      <c r="I101" s="1"/>
      <c r="J101" s="1"/>
      <c r="K101" s="1"/>
      <c r="L101" s="8"/>
      <c r="M101" s="1"/>
      <c r="N101" s="1"/>
    </row>
    <row r="102" spans="1:14">
      <c r="A102" s="1"/>
      <c r="B102" s="8"/>
      <c r="C102" s="1"/>
      <c r="D102" s="1"/>
      <c r="E102" s="1"/>
      <c r="F102" s="1"/>
      <c r="G102" s="1"/>
      <c r="H102" s="9"/>
      <c r="I102" s="1"/>
      <c r="J102" s="1"/>
      <c r="K102" s="1"/>
      <c r="L102" s="8"/>
      <c r="M102" s="1"/>
      <c r="N102" s="1"/>
    </row>
    <row r="103" spans="1:14">
      <c r="A103" s="1"/>
      <c r="B103" s="8"/>
      <c r="C103" s="1"/>
      <c r="D103" s="1"/>
      <c r="E103" s="1"/>
      <c r="F103" s="1"/>
      <c r="G103" s="1"/>
      <c r="H103" s="9"/>
      <c r="I103" s="1"/>
      <c r="J103" s="1"/>
      <c r="K103" s="1"/>
      <c r="L103" s="8"/>
      <c r="M103" s="1"/>
      <c r="N103" s="1"/>
    </row>
    <row r="104" spans="1:14">
      <c r="A104" s="1"/>
      <c r="B104" s="8"/>
      <c r="C104" s="1"/>
      <c r="D104" s="1"/>
      <c r="E104" s="1"/>
      <c r="F104" s="1"/>
      <c r="G104" s="1"/>
      <c r="H104" s="9"/>
      <c r="I104" s="1"/>
      <c r="J104" s="1"/>
      <c r="K104" s="1"/>
      <c r="L104" s="8"/>
      <c r="M104" s="1"/>
      <c r="N104" s="1"/>
    </row>
    <row r="105" spans="1:14">
      <c r="A105" s="1"/>
      <c r="B105" s="8"/>
      <c r="C105" s="1"/>
      <c r="D105" s="1"/>
      <c r="E105" s="1"/>
      <c r="F105" s="1"/>
      <c r="G105" s="1"/>
      <c r="H105" s="9"/>
      <c r="I105" s="1"/>
      <c r="J105" s="1"/>
      <c r="K105" s="1"/>
      <c r="L105" s="8"/>
      <c r="M105" s="1"/>
      <c r="N105" s="1"/>
    </row>
    <row r="106" spans="1:14">
      <c r="A106" s="1"/>
      <c r="B106" s="8"/>
      <c r="C106" s="1"/>
      <c r="D106" s="1"/>
      <c r="E106" s="1"/>
      <c r="F106" s="1"/>
      <c r="G106" s="1"/>
      <c r="H106" s="9"/>
      <c r="I106" s="1"/>
      <c r="J106" s="1"/>
      <c r="K106" s="1"/>
      <c r="L106" s="8"/>
      <c r="M106" s="1"/>
      <c r="N106" s="1"/>
    </row>
    <row r="107" spans="1:14">
      <c r="A107" s="1"/>
      <c r="B107" s="8"/>
      <c r="C107" s="1"/>
      <c r="D107" s="1"/>
      <c r="E107" s="1"/>
      <c r="F107" s="1"/>
      <c r="G107" s="1"/>
      <c r="H107" s="9"/>
      <c r="I107" s="1"/>
      <c r="J107" s="1"/>
      <c r="K107" s="1"/>
      <c r="L107" s="8"/>
      <c r="M107" s="1"/>
      <c r="N107" s="1"/>
    </row>
    <row r="108" spans="1:14">
      <c r="A108" s="1"/>
      <c r="B108" s="8"/>
      <c r="C108" s="1"/>
      <c r="D108" s="1"/>
      <c r="E108" s="1"/>
      <c r="F108" s="1"/>
      <c r="G108" s="1"/>
      <c r="H108" s="9"/>
      <c r="I108" s="1"/>
      <c r="J108" s="1"/>
      <c r="K108" s="1"/>
      <c r="L108" s="8"/>
      <c r="M108" s="1"/>
      <c r="N108" s="1"/>
    </row>
    <row r="109" spans="1:14">
      <c r="A109" s="1"/>
      <c r="B109" s="8"/>
      <c r="C109" s="1"/>
      <c r="D109" s="1"/>
      <c r="E109" s="1"/>
      <c r="F109" s="1"/>
      <c r="G109" s="1"/>
      <c r="H109" s="9"/>
      <c r="I109" s="1"/>
      <c r="J109" s="1"/>
      <c r="K109" s="1"/>
      <c r="L109" s="8"/>
      <c r="M109" s="1"/>
      <c r="N109" s="1"/>
    </row>
    <row r="110" spans="1:14">
      <c r="A110" s="1"/>
      <c r="B110" s="8"/>
      <c r="C110" s="1"/>
      <c r="D110" s="1"/>
      <c r="E110" s="1"/>
      <c r="F110" s="1"/>
      <c r="G110" s="1"/>
      <c r="H110" s="9"/>
      <c r="I110" s="1"/>
      <c r="J110" s="1"/>
      <c r="K110" s="1"/>
      <c r="L110" s="8"/>
      <c r="M110" s="1"/>
      <c r="N110" s="1"/>
    </row>
    <row r="111" spans="1:14">
      <c r="A111" s="1"/>
      <c r="B111" s="8"/>
      <c r="C111" s="1"/>
      <c r="D111" s="1"/>
      <c r="E111" s="1"/>
      <c r="F111" s="1"/>
      <c r="G111" s="1"/>
      <c r="H111" s="9"/>
      <c r="I111" s="1"/>
      <c r="J111" s="1"/>
      <c r="K111" s="1"/>
      <c r="L111" s="8"/>
      <c r="M111" s="1"/>
      <c r="N111" s="1"/>
    </row>
    <row r="112" spans="1:14">
      <c r="A112" s="1"/>
      <c r="B112" s="8"/>
      <c r="C112" s="1"/>
      <c r="D112" s="1"/>
      <c r="E112" s="1"/>
      <c r="F112" s="1"/>
      <c r="G112" s="1"/>
      <c r="H112" s="9"/>
      <c r="I112" s="1"/>
      <c r="J112" s="1"/>
      <c r="K112" s="1"/>
      <c r="L112" s="8"/>
      <c r="M112" s="1"/>
      <c r="N112" s="1"/>
    </row>
    <row r="113" spans="1:14">
      <c r="A113" s="1"/>
      <c r="B113" s="8"/>
      <c r="C113" s="1"/>
      <c r="D113" s="1"/>
      <c r="E113" s="1"/>
      <c r="F113" s="1"/>
      <c r="G113" s="1"/>
      <c r="H113" s="9"/>
      <c r="I113" s="1"/>
      <c r="J113" s="1"/>
      <c r="K113" s="1"/>
      <c r="L113" s="8"/>
      <c r="M113" s="1"/>
      <c r="N113" s="1"/>
    </row>
    <row r="114" spans="1:14">
      <c r="A114" s="1"/>
      <c r="B114" s="8"/>
      <c r="C114" s="1"/>
      <c r="D114" s="1"/>
      <c r="E114" s="1"/>
      <c r="F114" s="1"/>
      <c r="G114" s="1"/>
      <c r="H114" s="9"/>
      <c r="I114" s="1"/>
      <c r="J114" s="1"/>
      <c r="K114" s="1"/>
      <c r="L114" s="8"/>
      <c r="M114" s="1"/>
      <c r="N114" s="1"/>
    </row>
    <row r="115" spans="1:14">
      <c r="A115" s="1"/>
      <c r="B115" s="8"/>
      <c r="C115" s="1"/>
      <c r="D115" s="1"/>
      <c r="E115" s="1"/>
      <c r="F115" s="1"/>
      <c r="G115" s="1"/>
      <c r="H115" s="9"/>
      <c r="I115" s="1"/>
      <c r="J115" s="1"/>
      <c r="K115" s="1"/>
      <c r="L115" s="8"/>
      <c r="M115" s="1"/>
      <c r="N115" s="1"/>
    </row>
    <row r="116" spans="1:14">
      <c r="A116" s="1"/>
      <c r="B116" s="8"/>
      <c r="C116" s="1"/>
      <c r="D116" s="1"/>
      <c r="E116" s="1"/>
      <c r="F116" s="1"/>
      <c r="G116" s="1"/>
      <c r="H116" s="9"/>
      <c r="I116" s="1"/>
      <c r="J116" s="1"/>
      <c r="K116" s="1"/>
      <c r="L116" s="8"/>
      <c r="M116" s="1"/>
      <c r="N116" s="1"/>
    </row>
    <row r="117" spans="1:14">
      <c r="A117" s="1"/>
      <c r="B117" s="8"/>
      <c r="C117" s="1"/>
      <c r="D117" s="1"/>
      <c r="E117" s="1"/>
      <c r="F117" s="1"/>
      <c r="G117" s="1"/>
      <c r="H117" s="9"/>
      <c r="I117" s="1"/>
      <c r="J117" s="1"/>
      <c r="K117" s="1"/>
      <c r="L117" s="8"/>
      <c r="M117" s="1"/>
      <c r="N117" s="1"/>
    </row>
    <row r="118" spans="1:14">
      <c r="A118" s="1"/>
      <c r="B118" s="8"/>
      <c r="C118" s="1"/>
      <c r="D118" s="1"/>
      <c r="E118" s="1"/>
      <c r="F118" s="1"/>
      <c r="G118" s="1"/>
      <c r="H118" s="9"/>
      <c r="I118" s="1"/>
      <c r="J118" s="1"/>
      <c r="K118" s="1"/>
      <c r="L118" s="8"/>
      <c r="M118" s="1"/>
      <c r="N118" s="1"/>
    </row>
    <row r="119" spans="1:14">
      <c r="A119" s="1"/>
      <c r="B119" s="8"/>
      <c r="C119" s="1"/>
      <c r="D119" s="1"/>
      <c r="E119" s="1"/>
      <c r="F119" s="1"/>
      <c r="G119" s="1"/>
      <c r="H119" s="9"/>
      <c r="I119" s="1"/>
      <c r="J119" s="1"/>
      <c r="K119" s="1"/>
      <c r="L119" s="8"/>
      <c r="M119" s="1"/>
      <c r="N119" s="1"/>
    </row>
    <row r="120" spans="1:14">
      <c r="A120" s="1"/>
      <c r="B120" s="8"/>
      <c r="C120" s="1"/>
      <c r="D120" s="1"/>
      <c r="E120" s="1"/>
      <c r="F120" s="1"/>
      <c r="G120" s="1"/>
      <c r="H120" s="9"/>
      <c r="I120" s="1"/>
      <c r="J120" s="1"/>
      <c r="K120" s="1"/>
      <c r="L120" s="8"/>
      <c r="M120" s="1"/>
      <c r="N120" s="1"/>
    </row>
    <row r="121" spans="1:14">
      <c r="A121" s="1"/>
      <c r="B121" s="8"/>
      <c r="C121" s="1"/>
      <c r="D121" s="1"/>
      <c r="E121" s="1"/>
      <c r="F121" s="1"/>
      <c r="G121" s="1"/>
      <c r="H121" s="9"/>
      <c r="I121" s="1"/>
      <c r="J121" s="1"/>
      <c r="K121" s="1"/>
      <c r="L121" s="8"/>
      <c r="M121" s="1"/>
      <c r="N121" s="1"/>
    </row>
    <row r="122" spans="1:14">
      <c r="A122" s="1"/>
      <c r="B122" s="8"/>
      <c r="C122" s="1"/>
      <c r="D122" s="1"/>
      <c r="E122" s="1"/>
      <c r="F122" s="1"/>
      <c r="G122" s="1"/>
      <c r="H122" s="9"/>
      <c r="I122" s="1"/>
      <c r="J122" s="1"/>
      <c r="K122" s="1"/>
      <c r="L122" s="8"/>
      <c r="M122" s="1"/>
      <c r="N122" s="1"/>
    </row>
    <row r="123" spans="1:14">
      <c r="A123" s="1"/>
      <c r="B123" s="8"/>
      <c r="C123" s="1"/>
      <c r="D123" s="1"/>
      <c r="E123" s="1"/>
      <c r="F123" s="1"/>
      <c r="G123" s="1"/>
      <c r="H123" s="9"/>
      <c r="I123" s="1"/>
      <c r="J123" s="1"/>
      <c r="K123" s="1"/>
      <c r="L123" s="8"/>
      <c r="M123" s="1"/>
      <c r="N123" s="1"/>
    </row>
    <row r="124" spans="1:14">
      <c r="A124" s="1"/>
      <c r="B124" s="8"/>
      <c r="C124" s="1"/>
      <c r="D124" s="1"/>
      <c r="E124" s="1"/>
      <c r="F124" s="1"/>
      <c r="G124" s="1"/>
      <c r="H124" s="9"/>
      <c r="I124" s="1"/>
      <c r="J124" s="1"/>
      <c r="K124" s="1"/>
      <c r="L124" s="8"/>
      <c r="M124" s="1"/>
      <c r="N124" s="1"/>
    </row>
    <row r="125" spans="1:14">
      <c r="A125" s="1"/>
      <c r="B125" s="8"/>
      <c r="C125" s="1"/>
      <c r="D125" s="1"/>
      <c r="E125" s="1"/>
      <c r="F125" s="1"/>
      <c r="G125" s="1"/>
      <c r="H125" s="9"/>
      <c r="I125" s="1"/>
      <c r="J125" s="1"/>
      <c r="K125" s="1"/>
      <c r="L125" s="8"/>
      <c r="M125" s="1"/>
      <c r="N125" s="1"/>
    </row>
    <row r="126" spans="1:14">
      <c r="A126" s="1"/>
      <c r="B126" s="8"/>
      <c r="C126" s="1"/>
      <c r="D126" s="1"/>
      <c r="E126" s="1"/>
      <c r="F126" s="1"/>
      <c r="G126" s="1"/>
      <c r="H126" s="9"/>
      <c r="I126" s="1"/>
      <c r="J126" s="1"/>
      <c r="K126" s="1"/>
      <c r="L126" s="8"/>
      <c r="M126" s="1"/>
      <c r="N126" s="1"/>
    </row>
    <row r="127" spans="1:14">
      <c r="A127" s="1"/>
      <c r="B127" s="8"/>
      <c r="C127" s="1"/>
      <c r="D127" s="1"/>
      <c r="E127" s="1"/>
      <c r="F127" s="1"/>
      <c r="G127" s="1"/>
      <c r="H127" s="9"/>
      <c r="I127" s="1"/>
      <c r="J127" s="1"/>
      <c r="K127" s="1"/>
      <c r="L127" s="8"/>
      <c r="M127" s="1"/>
      <c r="N127" s="1"/>
    </row>
    <row r="128" spans="1:14">
      <c r="A128" s="1"/>
      <c r="B128" s="8"/>
      <c r="C128" s="1"/>
      <c r="D128" s="1"/>
      <c r="E128" s="1"/>
      <c r="F128" s="1"/>
      <c r="G128" s="1"/>
      <c r="H128" s="9"/>
      <c r="I128" s="1"/>
      <c r="J128" s="1"/>
      <c r="K128" s="1"/>
      <c r="L128" s="8"/>
      <c r="M128" s="1"/>
      <c r="N128" s="1"/>
    </row>
    <row r="129" spans="1:14">
      <c r="A129" s="1"/>
      <c r="B129" s="8"/>
      <c r="C129" s="1"/>
      <c r="D129" s="1"/>
      <c r="E129" s="1"/>
      <c r="F129" s="1"/>
      <c r="G129" s="1"/>
      <c r="H129" s="9"/>
      <c r="I129" s="1"/>
      <c r="J129" s="1"/>
      <c r="K129" s="1"/>
      <c r="L129" s="8"/>
      <c r="M129" s="1"/>
      <c r="N129" s="1"/>
    </row>
    <row r="130" spans="1:14">
      <c r="A130" s="1"/>
      <c r="B130" s="8"/>
      <c r="C130" s="1"/>
      <c r="D130" s="1"/>
      <c r="E130" s="1"/>
      <c r="F130" s="1"/>
      <c r="G130" s="1"/>
      <c r="H130" s="9"/>
      <c r="I130" s="1"/>
      <c r="J130" s="1"/>
      <c r="K130" s="1"/>
      <c r="L130" s="8"/>
      <c r="M130" s="1"/>
      <c r="N130" s="1"/>
    </row>
    <row r="131" spans="1:14">
      <c r="A131" s="1"/>
      <c r="B131" s="8"/>
      <c r="C131" s="1"/>
      <c r="D131" s="1"/>
      <c r="E131" s="1"/>
      <c r="F131" s="1"/>
      <c r="G131" s="1"/>
      <c r="H131" s="9"/>
      <c r="I131" s="1"/>
      <c r="J131" s="1"/>
      <c r="K131" s="1"/>
      <c r="L131" s="8"/>
      <c r="M131" s="1"/>
      <c r="N131" s="1"/>
    </row>
    <row r="132" spans="1:14">
      <c r="A132" s="1"/>
      <c r="B132" s="8"/>
      <c r="C132" s="1"/>
      <c r="D132" s="1"/>
      <c r="E132" s="1"/>
      <c r="F132" s="1"/>
      <c r="G132" s="1"/>
      <c r="H132" s="9"/>
      <c r="I132" s="1"/>
      <c r="J132" s="1"/>
      <c r="K132" s="1"/>
      <c r="L132" s="8"/>
      <c r="M132" s="1"/>
      <c r="N132" s="1"/>
    </row>
    <row r="133" spans="1:14">
      <c r="A133" s="1"/>
      <c r="B133" s="8"/>
      <c r="C133" s="1"/>
      <c r="D133" s="1"/>
      <c r="E133" s="1"/>
      <c r="F133" s="1"/>
      <c r="G133" s="1"/>
      <c r="H133" s="9"/>
      <c r="I133" s="1"/>
      <c r="J133" s="1"/>
      <c r="K133" s="1"/>
      <c r="L133" s="8"/>
      <c r="M133" s="1"/>
      <c r="N133" s="1"/>
    </row>
    <row r="134" spans="1:14">
      <c r="A134" s="1"/>
      <c r="B134" s="8"/>
      <c r="C134" s="1"/>
      <c r="D134" s="1"/>
      <c r="E134" s="1"/>
      <c r="F134" s="1"/>
      <c r="G134" s="1"/>
      <c r="H134" s="9"/>
      <c r="I134" s="1"/>
      <c r="J134" s="1"/>
      <c r="K134" s="1"/>
      <c r="L134" s="8"/>
      <c r="M134" s="1"/>
      <c r="N134" s="1"/>
    </row>
    <row r="135" spans="1:14">
      <c r="A135" s="1"/>
      <c r="B135" s="8"/>
      <c r="C135" s="1"/>
      <c r="D135" s="1"/>
      <c r="E135" s="1"/>
      <c r="F135" s="1"/>
      <c r="G135" s="1"/>
      <c r="H135" s="9"/>
      <c r="I135" s="1"/>
      <c r="J135" s="1"/>
      <c r="K135" s="1"/>
      <c r="L135" s="8"/>
      <c r="M135" s="1"/>
      <c r="N135" s="1"/>
    </row>
    <row r="136" spans="1:14">
      <c r="A136" s="1"/>
      <c r="B136" s="8"/>
      <c r="C136" s="1"/>
      <c r="D136" s="1"/>
      <c r="E136" s="1"/>
      <c r="F136" s="1"/>
      <c r="G136" s="1"/>
      <c r="H136" s="9"/>
      <c r="I136" s="1"/>
      <c r="J136" s="1"/>
      <c r="K136" s="1"/>
      <c r="L136" s="8"/>
      <c r="M136" s="1"/>
      <c r="N136" s="1"/>
    </row>
    <row r="137" spans="1:14">
      <c r="A137" s="1"/>
      <c r="B137" s="8"/>
      <c r="C137" s="1"/>
      <c r="D137" s="1"/>
      <c r="E137" s="1"/>
      <c r="F137" s="1"/>
      <c r="G137" s="1"/>
      <c r="H137" s="9"/>
      <c r="I137" s="1"/>
      <c r="J137" s="1"/>
      <c r="K137" s="1"/>
      <c r="L137" s="8"/>
      <c r="M137" s="1"/>
      <c r="N137" s="1"/>
    </row>
    <row r="138" spans="1:14">
      <c r="A138" s="1"/>
      <c r="B138" s="8"/>
      <c r="C138" s="1"/>
      <c r="D138" s="1"/>
      <c r="E138" s="1"/>
      <c r="F138" s="1"/>
      <c r="G138" s="1"/>
      <c r="H138" s="9"/>
      <c r="I138" s="1"/>
      <c r="J138" s="1"/>
      <c r="K138" s="1"/>
      <c r="L138" s="8"/>
      <c r="M138" s="1"/>
      <c r="N138" s="1"/>
    </row>
    <row r="139" spans="1:14">
      <c r="A139" s="1"/>
      <c r="B139" s="8"/>
      <c r="C139" s="1"/>
      <c r="D139" s="1"/>
      <c r="E139" s="1"/>
      <c r="F139" s="1"/>
      <c r="G139" s="1"/>
      <c r="H139" s="9"/>
      <c r="I139" s="1"/>
      <c r="J139" s="1"/>
      <c r="K139" s="1"/>
      <c r="L139" s="8"/>
      <c r="M139" s="1"/>
      <c r="N139" s="1"/>
    </row>
    <row r="140" spans="1:14">
      <c r="A140" s="1"/>
      <c r="B140" s="8"/>
      <c r="C140" s="1"/>
      <c r="D140" s="1"/>
      <c r="E140" s="1"/>
      <c r="F140" s="1"/>
      <c r="G140" s="1"/>
      <c r="H140" s="9"/>
      <c r="I140" s="1"/>
      <c r="J140" s="1"/>
      <c r="K140" s="1"/>
      <c r="L140" s="8"/>
      <c r="M140" s="1"/>
      <c r="N140" s="1"/>
    </row>
    <row r="141" spans="1:14">
      <c r="A141" s="1"/>
      <c r="B141" s="8"/>
      <c r="C141" s="1"/>
      <c r="D141" s="1"/>
      <c r="E141" s="1"/>
      <c r="F141" s="1"/>
      <c r="G141" s="1"/>
      <c r="H141" s="9"/>
      <c r="I141" s="1"/>
      <c r="J141" s="1"/>
      <c r="K141" s="1"/>
      <c r="L141" s="8"/>
      <c r="M141" s="1"/>
      <c r="N141" s="1"/>
    </row>
    <row r="142" spans="1:14">
      <c r="A142" s="1"/>
      <c r="B142" s="8"/>
      <c r="C142" s="1"/>
      <c r="D142" s="1"/>
      <c r="E142" s="1"/>
      <c r="F142" s="1"/>
      <c r="G142" s="1"/>
      <c r="H142" s="9"/>
      <c r="I142" s="1"/>
      <c r="J142" s="1"/>
      <c r="K142" s="1"/>
      <c r="L142" s="8"/>
      <c r="M142" s="1"/>
      <c r="N142" s="1"/>
    </row>
    <row r="143" spans="1:14">
      <c r="A143" s="1"/>
      <c r="B143" s="8"/>
      <c r="C143" s="1"/>
      <c r="D143" s="1"/>
      <c r="E143" s="1"/>
      <c r="F143" s="1"/>
      <c r="G143" s="1"/>
      <c r="H143" s="9"/>
      <c r="I143" s="1"/>
      <c r="J143" s="1"/>
      <c r="K143" s="1"/>
      <c r="L143" s="8"/>
      <c r="M143" s="1"/>
      <c r="N143" s="1"/>
    </row>
    <row r="144" spans="1:14">
      <c r="A144" s="1"/>
      <c r="B144" s="8"/>
      <c r="C144" s="1"/>
      <c r="D144" s="1"/>
      <c r="E144" s="1"/>
      <c r="F144" s="1"/>
      <c r="G144" s="1"/>
      <c r="H144" s="9"/>
      <c r="I144" s="1"/>
      <c r="J144" s="1"/>
      <c r="K144" s="1"/>
      <c r="L144" s="8"/>
      <c r="M144" s="1"/>
      <c r="N144" s="1"/>
    </row>
    <row r="145" spans="1:14">
      <c r="A145" s="1"/>
      <c r="B145" s="8"/>
      <c r="C145" s="1"/>
      <c r="D145" s="1"/>
      <c r="E145" s="1"/>
      <c r="F145" s="1"/>
      <c r="G145" s="1"/>
      <c r="H145" s="9"/>
      <c r="I145" s="1"/>
      <c r="J145" s="1"/>
      <c r="K145" s="1"/>
      <c r="L145" s="8"/>
      <c r="M145" s="1"/>
      <c r="N145" s="1"/>
    </row>
    <row r="146" spans="1:14">
      <c r="A146" s="1"/>
      <c r="B146" s="8"/>
      <c r="C146" s="1"/>
      <c r="D146" s="1"/>
      <c r="E146" s="1"/>
      <c r="F146" s="1"/>
      <c r="G146" s="1"/>
      <c r="H146" s="9"/>
      <c r="I146" s="1"/>
      <c r="J146" s="1"/>
      <c r="K146" s="1"/>
      <c r="L146" s="8"/>
      <c r="M146" s="1"/>
      <c r="N146" s="1"/>
    </row>
    <row r="147" spans="1:14">
      <c r="A147" s="1"/>
      <c r="B147" s="8"/>
      <c r="C147" s="1"/>
      <c r="D147" s="1"/>
      <c r="E147" s="1"/>
      <c r="F147" s="1"/>
      <c r="G147" s="1"/>
      <c r="H147" s="9"/>
      <c r="I147" s="1"/>
      <c r="J147" s="1"/>
      <c r="K147" s="1"/>
      <c r="L147" s="8"/>
      <c r="M147" s="1"/>
      <c r="N147" s="1"/>
    </row>
    <row r="148" spans="1:14">
      <c r="A148" s="1"/>
      <c r="B148" s="8"/>
      <c r="C148" s="1"/>
      <c r="D148" s="1"/>
      <c r="E148" s="1"/>
      <c r="F148" s="1"/>
      <c r="G148" s="1"/>
      <c r="H148" s="9"/>
      <c r="I148" s="1"/>
      <c r="J148" s="1"/>
      <c r="K148" s="1"/>
      <c r="L148" s="8"/>
      <c r="M148" s="1"/>
      <c r="N148" s="1"/>
    </row>
    <row r="149" spans="1:14">
      <c r="A149" s="1"/>
      <c r="B149" s="8"/>
      <c r="C149" s="1"/>
      <c r="D149" s="1"/>
      <c r="E149" s="1"/>
      <c r="F149" s="1"/>
      <c r="G149" s="1"/>
      <c r="H149" s="9"/>
      <c r="I149" s="1"/>
      <c r="J149" s="1"/>
      <c r="K149" s="1"/>
      <c r="L149" s="8"/>
      <c r="M149" s="1"/>
      <c r="N149" s="1"/>
    </row>
    <row r="150" spans="1:14">
      <c r="A150" s="1"/>
      <c r="B150" s="8"/>
      <c r="C150" s="1"/>
      <c r="D150" s="1"/>
      <c r="E150" s="1"/>
      <c r="F150" s="1"/>
      <c r="G150" s="1"/>
      <c r="H150" s="9"/>
      <c r="I150" s="1"/>
      <c r="J150" s="1"/>
      <c r="K150" s="1"/>
      <c r="L150" s="8"/>
      <c r="M150" s="1"/>
      <c r="N150" s="1"/>
    </row>
    <row r="151" spans="1:14">
      <c r="A151" s="1"/>
      <c r="B151" s="8"/>
      <c r="C151" s="1"/>
      <c r="D151" s="1"/>
      <c r="E151" s="1"/>
      <c r="F151" s="1"/>
      <c r="G151" s="1"/>
      <c r="H151" s="9"/>
      <c r="I151" s="1"/>
      <c r="J151" s="1"/>
      <c r="K151" s="1"/>
      <c r="L151" s="8"/>
      <c r="M151" s="1"/>
      <c r="N151" s="1"/>
    </row>
    <row r="152" spans="1:14">
      <c r="A152" s="1"/>
      <c r="B152" s="8"/>
      <c r="C152" s="1"/>
      <c r="D152" s="1"/>
      <c r="E152" s="1"/>
      <c r="F152" s="1"/>
      <c r="G152" s="1"/>
      <c r="H152" s="9"/>
      <c r="I152" s="1"/>
      <c r="J152" s="1"/>
      <c r="K152" s="1"/>
      <c r="L152" s="8"/>
      <c r="M152" s="1"/>
      <c r="N152" s="1"/>
    </row>
    <row r="153" spans="1:14">
      <c r="A153" s="1"/>
      <c r="B153" s="8"/>
      <c r="C153" s="1"/>
      <c r="D153" s="1"/>
      <c r="E153" s="1"/>
      <c r="F153" s="1"/>
      <c r="G153" s="1"/>
      <c r="H153" s="9"/>
      <c r="I153" s="1"/>
      <c r="J153" s="1"/>
      <c r="K153" s="1"/>
      <c r="L153" s="8"/>
      <c r="M153" s="1"/>
      <c r="N153" s="1"/>
    </row>
    <row r="154" spans="1:14">
      <c r="A154" s="1"/>
      <c r="B154" s="8"/>
      <c r="C154" s="1"/>
      <c r="D154" s="1"/>
      <c r="E154" s="1"/>
      <c r="F154" s="1"/>
      <c r="G154" s="1"/>
      <c r="H154" s="9"/>
      <c r="I154" s="1"/>
      <c r="J154" s="1"/>
      <c r="K154" s="1"/>
      <c r="L154" s="8"/>
      <c r="M154" s="1"/>
      <c r="N154" s="1"/>
    </row>
    <row r="155" spans="1:14">
      <c r="A155" s="1"/>
      <c r="B155" s="8"/>
      <c r="C155" s="1"/>
      <c r="D155" s="1"/>
      <c r="E155" s="1"/>
      <c r="F155" s="1"/>
      <c r="G155" s="1"/>
      <c r="H155" s="9"/>
      <c r="I155" s="1"/>
      <c r="J155" s="1"/>
      <c r="K155" s="1"/>
      <c r="L155" s="8"/>
      <c r="M155" s="1"/>
      <c r="N155" s="1"/>
    </row>
    <row r="156" spans="1:14">
      <c r="A156" s="1"/>
      <c r="B156" s="8"/>
      <c r="C156" s="1"/>
      <c r="D156" s="1"/>
      <c r="E156" s="1"/>
      <c r="F156" s="1"/>
      <c r="G156" s="1"/>
      <c r="H156" s="9"/>
      <c r="I156" s="1"/>
      <c r="J156" s="1"/>
      <c r="K156" s="1"/>
      <c r="L156" s="8"/>
      <c r="M156" s="1"/>
      <c r="N156" s="1"/>
    </row>
    <row r="157" spans="1:14">
      <c r="A157" s="1"/>
      <c r="B157" s="8"/>
      <c r="C157" s="1"/>
      <c r="D157" s="1"/>
      <c r="E157" s="1"/>
      <c r="F157" s="1"/>
      <c r="G157" s="1"/>
      <c r="H157" s="9"/>
      <c r="I157" s="1"/>
      <c r="J157" s="1"/>
      <c r="K157" s="1"/>
      <c r="L157" s="8"/>
      <c r="M157" s="1"/>
      <c r="N157" s="1"/>
    </row>
    <row r="158" spans="1:14">
      <c r="A158" s="1"/>
      <c r="B158" s="8"/>
      <c r="C158" s="1"/>
      <c r="D158" s="1"/>
      <c r="E158" s="1"/>
      <c r="F158" s="1"/>
      <c r="G158" s="1"/>
      <c r="H158" s="9"/>
      <c r="I158" s="1"/>
      <c r="J158" s="1"/>
      <c r="K158" s="1"/>
      <c r="L158" s="8"/>
      <c r="M158" s="1"/>
      <c r="N158" s="1"/>
    </row>
    <row r="159" spans="1:14">
      <c r="A159" s="1"/>
      <c r="B159" s="8"/>
      <c r="C159" s="1"/>
      <c r="D159" s="1"/>
      <c r="E159" s="1"/>
      <c r="F159" s="1"/>
      <c r="G159" s="1"/>
      <c r="H159" s="9"/>
      <c r="I159" s="1"/>
      <c r="J159" s="1"/>
      <c r="K159" s="1"/>
      <c r="L159" s="8"/>
      <c r="M159" s="1"/>
      <c r="N159" s="1"/>
    </row>
    <row r="160" spans="1:14">
      <c r="A160" s="1"/>
      <c r="B160" s="8"/>
      <c r="C160" s="1"/>
      <c r="D160" s="1"/>
      <c r="E160" s="1"/>
      <c r="F160" s="1"/>
      <c r="G160" s="1"/>
      <c r="H160" s="9"/>
      <c r="I160" s="1"/>
      <c r="J160" s="1"/>
      <c r="K160" s="1"/>
      <c r="L160" s="8"/>
      <c r="M160" s="1"/>
      <c r="N160" s="1"/>
    </row>
    <row r="161" spans="1:14">
      <c r="A161" s="1"/>
      <c r="B161" s="8"/>
      <c r="C161" s="1"/>
      <c r="D161" s="1"/>
      <c r="E161" s="1"/>
      <c r="F161" s="1"/>
      <c r="G161" s="1"/>
      <c r="H161" s="9"/>
      <c r="I161" s="1"/>
      <c r="J161" s="1"/>
      <c r="K161" s="1"/>
      <c r="L161" s="8"/>
      <c r="M161" s="1"/>
      <c r="N161" s="1"/>
    </row>
    <row r="162" spans="1:14">
      <c r="A162" s="1"/>
      <c r="B162" s="8"/>
      <c r="C162" s="1"/>
      <c r="D162" s="1"/>
      <c r="E162" s="1"/>
      <c r="F162" s="1"/>
      <c r="G162" s="1"/>
      <c r="H162" s="9"/>
      <c r="I162" s="1"/>
      <c r="J162" s="1"/>
      <c r="K162" s="1"/>
      <c r="L162" s="8"/>
      <c r="M162" s="1"/>
      <c r="N162" s="1"/>
    </row>
    <row r="163" spans="1:14">
      <c r="A163" s="1"/>
      <c r="B163" s="8"/>
      <c r="C163" s="1"/>
      <c r="D163" s="1"/>
      <c r="E163" s="1"/>
      <c r="F163" s="1"/>
      <c r="G163" s="1"/>
      <c r="H163" s="9"/>
      <c r="I163" s="1"/>
      <c r="J163" s="1"/>
      <c r="K163" s="1"/>
      <c r="L163" s="8"/>
      <c r="M163" s="1"/>
      <c r="N163" s="1"/>
    </row>
    <row r="164" spans="1:14">
      <c r="A164" s="1"/>
      <c r="B164" s="8"/>
      <c r="C164" s="1"/>
      <c r="D164" s="1"/>
      <c r="E164" s="1"/>
      <c r="F164" s="1"/>
      <c r="G164" s="1"/>
      <c r="H164" s="9"/>
      <c r="I164" s="1"/>
      <c r="J164" s="1"/>
      <c r="K164" s="1"/>
      <c r="L164" s="8"/>
      <c r="M164" s="1"/>
      <c r="N164" s="1"/>
    </row>
    <row r="165" spans="1:14">
      <c r="A165" s="1"/>
      <c r="B165" s="8"/>
      <c r="C165" s="1"/>
      <c r="D165" s="1"/>
      <c r="E165" s="1"/>
      <c r="F165" s="1"/>
      <c r="G165" s="1"/>
      <c r="H165" s="9"/>
      <c r="I165" s="1"/>
      <c r="J165" s="1"/>
      <c r="K165" s="1"/>
      <c r="L165" s="8"/>
      <c r="M165" s="1"/>
      <c r="N165" s="1"/>
    </row>
    <row r="166" spans="1:14">
      <c r="A166" s="1"/>
      <c r="B166" s="8"/>
      <c r="C166" s="1"/>
      <c r="D166" s="1"/>
      <c r="E166" s="1"/>
      <c r="F166" s="1"/>
      <c r="G166" s="1"/>
      <c r="H166" s="9"/>
      <c r="I166" s="1"/>
      <c r="J166" s="1"/>
      <c r="K166" s="1"/>
      <c r="L166" s="8"/>
      <c r="M166" s="1"/>
      <c r="N166" s="1"/>
    </row>
    <row r="167" spans="1:14">
      <c r="A167" s="1"/>
      <c r="B167" s="8"/>
      <c r="C167" s="1"/>
      <c r="D167" s="1"/>
      <c r="E167" s="1"/>
      <c r="F167" s="1"/>
      <c r="G167" s="1"/>
      <c r="H167" s="9"/>
      <c r="I167" s="1"/>
      <c r="J167" s="1"/>
      <c r="K167" s="1"/>
      <c r="L167" s="8"/>
      <c r="M167" s="1"/>
      <c r="N167" s="1"/>
    </row>
    <row r="168" spans="1:14">
      <c r="A168" s="1"/>
      <c r="B168" s="8"/>
      <c r="C168" s="1"/>
      <c r="D168" s="1"/>
      <c r="E168" s="1"/>
      <c r="F168" s="1"/>
      <c r="G168" s="1"/>
      <c r="H168" s="9"/>
      <c r="I168" s="1"/>
      <c r="J168" s="1"/>
      <c r="K168" s="1"/>
      <c r="L168" s="8"/>
      <c r="M168" s="1"/>
      <c r="N168" s="1"/>
    </row>
    <row r="169" spans="1:14">
      <c r="A169" s="1"/>
      <c r="B169" s="8"/>
      <c r="C169" s="1"/>
      <c r="D169" s="1"/>
      <c r="E169" s="1"/>
      <c r="F169" s="1"/>
      <c r="G169" s="1"/>
      <c r="H169" s="9"/>
      <c r="I169" s="1"/>
      <c r="J169" s="1"/>
      <c r="K169" s="1"/>
      <c r="L169" s="8"/>
      <c r="M169" s="1"/>
      <c r="N169" s="1"/>
    </row>
    <row r="170" spans="1:14">
      <c r="A170" s="1"/>
      <c r="B170" s="8"/>
      <c r="C170" s="1"/>
      <c r="D170" s="1"/>
      <c r="E170" s="1"/>
      <c r="F170" s="1"/>
      <c r="G170" s="1"/>
      <c r="H170" s="9"/>
      <c r="I170" s="1"/>
      <c r="J170" s="1"/>
      <c r="K170" s="1"/>
      <c r="L170" s="8"/>
      <c r="M170" s="1"/>
      <c r="N170" s="1"/>
    </row>
    <row r="171" spans="1:14">
      <c r="A171" s="1"/>
      <c r="B171" s="8"/>
      <c r="C171" s="1"/>
      <c r="D171" s="1"/>
      <c r="E171" s="1"/>
      <c r="F171" s="1"/>
      <c r="G171" s="1"/>
      <c r="H171" s="9"/>
      <c r="I171" s="1"/>
      <c r="J171" s="1"/>
      <c r="K171" s="1"/>
      <c r="L171" s="8"/>
      <c r="M171" s="1"/>
      <c r="N171" s="1"/>
    </row>
    <row r="172" spans="1:14">
      <c r="A172" s="1"/>
      <c r="B172" s="8"/>
      <c r="C172" s="1"/>
      <c r="D172" s="1"/>
      <c r="E172" s="1"/>
      <c r="F172" s="1"/>
      <c r="G172" s="1"/>
      <c r="H172" s="9"/>
      <c r="I172" s="1"/>
      <c r="J172" s="1"/>
      <c r="K172" s="1"/>
      <c r="L172" s="8"/>
      <c r="M172" s="1"/>
      <c r="N172" s="1"/>
    </row>
    <row r="173" spans="1:14">
      <c r="A173" s="1"/>
      <c r="B173" s="8"/>
      <c r="C173" s="1"/>
      <c r="D173" s="1"/>
      <c r="E173" s="1"/>
      <c r="F173" s="1"/>
      <c r="G173" s="1"/>
      <c r="H173" s="9"/>
      <c r="I173" s="1"/>
      <c r="J173" s="1"/>
      <c r="K173" s="1"/>
      <c r="L173" s="8"/>
      <c r="M173" s="1"/>
      <c r="N173" s="1"/>
    </row>
    <row r="174" spans="1:14">
      <c r="A174" s="1"/>
      <c r="B174" s="8"/>
      <c r="C174" s="1"/>
      <c r="D174" s="1"/>
      <c r="E174" s="1"/>
      <c r="F174" s="1"/>
      <c r="G174" s="1"/>
      <c r="H174" s="9"/>
      <c r="I174" s="1"/>
      <c r="J174" s="1"/>
      <c r="K174" s="1"/>
      <c r="L174" s="8"/>
      <c r="M174" s="1"/>
      <c r="N174" s="1"/>
    </row>
    <row r="175" spans="1:14">
      <c r="A175" s="1"/>
      <c r="B175" s="8"/>
      <c r="C175" s="1"/>
      <c r="D175" s="1"/>
      <c r="E175" s="1"/>
      <c r="F175" s="1"/>
      <c r="G175" s="1"/>
      <c r="H175" s="9"/>
      <c r="I175" s="1"/>
      <c r="J175" s="1"/>
      <c r="K175" s="1"/>
      <c r="L175" s="8"/>
      <c r="M175" s="1"/>
      <c r="N175" s="1"/>
    </row>
    <row r="176" spans="1:14">
      <c r="A176" s="1"/>
      <c r="B176" s="8"/>
      <c r="C176" s="1"/>
      <c r="D176" s="1"/>
      <c r="E176" s="1"/>
      <c r="F176" s="1"/>
      <c r="G176" s="1"/>
      <c r="H176" s="9"/>
      <c r="I176" s="1"/>
      <c r="J176" s="1"/>
      <c r="K176" s="1"/>
      <c r="L176" s="8"/>
      <c r="M176" s="1"/>
      <c r="N176" s="1"/>
    </row>
    <row r="177" spans="1:14">
      <c r="A177" s="1"/>
      <c r="B177" s="8"/>
      <c r="C177" s="1"/>
      <c r="D177" s="1"/>
      <c r="E177" s="1"/>
      <c r="F177" s="1"/>
      <c r="G177" s="1"/>
      <c r="H177" s="9"/>
      <c r="I177" s="1"/>
      <c r="J177" s="1"/>
      <c r="K177" s="1"/>
      <c r="L177" s="8"/>
      <c r="M177" s="1"/>
      <c r="N177" s="1"/>
    </row>
    <row r="178" spans="1:14">
      <c r="A178" s="1"/>
      <c r="B178" s="8"/>
      <c r="C178" s="1"/>
      <c r="D178" s="1"/>
      <c r="E178" s="1"/>
      <c r="F178" s="1"/>
      <c r="G178" s="1"/>
      <c r="H178" s="9"/>
      <c r="I178" s="1"/>
      <c r="J178" s="1"/>
      <c r="K178" s="1"/>
      <c r="L178" s="8"/>
      <c r="M178" s="1"/>
      <c r="N178" s="1"/>
    </row>
    <row r="179" spans="1:14">
      <c r="A179" s="1"/>
      <c r="B179" s="8"/>
      <c r="C179" s="1"/>
      <c r="D179" s="1"/>
      <c r="E179" s="1"/>
      <c r="F179" s="1"/>
      <c r="G179" s="1"/>
      <c r="H179" s="9"/>
      <c r="I179" s="1"/>
      <c r="J179" s="1"/>
      <c r="K179" s="1"/>
      <c r="L179" s="8"/>
      <c r="M179" s="1"/>
      <c r="N179" s="1"/>
    </row>
    <row r="180" spans="1:14">
      <c r="A180" s="1"/>
      <c r="B180" s="8"/>
      <c r="C180" s="1"/>
      <c r="D180" s="1"/>
      <c r="E180" s="1"/>
      <c r="F180" s="1"/>
      <c r="G180" s="1"/>
      <c r="H180" s="9"/>
      <c r="I180" s="1"/>
      <c r="J180" s="1"/>
      <c r="K180" s="1"/>
      <c r="L180" s="8"/>
      <c r="M180" s="1"/>
      <c r="N180" s="1"/>
    </row>
    <row r="181" spans="1:14">
      <c r="A181" s="1"/>
      <c r="B181" s="8"/>
      <c r="C181" s="1"/>
      <c r="D181" s="1"/>
      <c r="E181" s="1"/>
      <c r="F181" s="1"/>
      <c r="G181" s="1"/>
      <c r="H181" s="9"/>
      <c r="I181" s="1"/>
      <c r="J181" s="1"/>
      <c r="K181" s="1"/>
      <c r="L181" s="8"/>
      <c r="M181" s="1"/>
      <c r="N181" s="1"/>
    </row>
    <row r="182" spans="1:14">
      <c r="A182" s="1"/>
      <c r="B182" s="8"/>
      <c r="C182" s="1"/>
      <c r="D182" s="1"/>
      <c r="E182" s="1"/>
      <c r="F182" s="1"/>
      <c r="G182" s="1"/>
      <c r="H182" s="9"/>
      <c r="I182" s="1"/>
      <c r="J182" s="1"/>
      <c r="K182" s="1"/>
      <c r="L182" s="8"/>
      <c r="M182" s="1"/>
      <c r="N182" s="1"/>
    </row>
    <row r="183" spans="1:14">
      <c r="A183" s="1"/>
      <c r="B183" s="8"/>
      <c r="C183" s="1"/>
      <c r="D183" s="1"/>
      <c r="E183" s="1"/>
      <c r="F183" s="1"/>
      <c r="G183" s="1"/>
      <c r="H183" s="9"/>
      <c r="I183" s="1"/>
      <c r="J183" s="1"/>
      <c r="K183" s="1"/>
      <c r="L183" s="8"/>
      <c r="M183" s="1"/>
      <c r="N183" s="1"/>
    </row>
    <row r="184" spans="1:14">
      <c r="A184" s="1"/>
      <c r="B184" s="8"/>
      <c r="C184" s="1"/>
      <c r="D184" s="1"/>
      <c r="E184" s="1"/>
      <c r="F184" s="1"/>
      <c r="G184" s="1"/>
      <c r="H184" s="9"/>
      <c r="I184" s="1"/>
      <c r="J184" s="1"/>
      <c r="K184" s="1"/>
      <c r="L184" s="8"/>
      <c r="M184" s="1"/>
      <c r="N184" s="1"/>
    </row>
    <row r="185" spans="1:14">
      <c r="A185" s="1"/>
      <c r="B185" s="8"/>
      <c r="C185" s="1"/>
      <c r="D185" s="1"/>
      <c r="E185" s="1"/>
      <c r="F185" s="1"/>
      <c r="G185" s="1"/>
      <c r="H185" s="9"/>
      <c r="I185" s="1"/>
      <c r="J185" s="1"/>
      <c r="K185" s="1"/>
      <c r="L185" s="8"/>
      <c r="M185" s="1"/>
      <c r="N185" s="1"/>
    </row>
    <row r="186" spans="1:14">
      <c r="A186" s="1"/>
      <c r="B186" s="8"/>
      <c r="C186" s="1"/>
      <c r="D186" s="1"/>
      <c r="E186" s="1"/>
      <c r="F186" s="1"/>
      <c r="G186" s="1"/>
      <c r="H186" s="9"/>
      <c r="I186" s="1"/>
      <c r="J186" s="1"/>
      <c r="K186" s="1"/>
      <c r="L186" s="8"/>
      <c r="M186" s="1"/>
      <c r="N186" s="1"/>
    </row>
    <row r="187" spans="1:14">
      <c r="A187" s="1"/>
      <c r="B187" s="8"/>
      <c r="C187" s="1"/>
      <c r="D187" s="1"/>
      <c r="E187" s="1"/>
      <c r="F187" s="1"/>
      <c r="G187" s="1"/>
      <c r="H187" s="9"/>
      <c r="I187" s="1"/>
      <c r="J187" s="1"/>
      <c r="K187" s="1"/>
      <c r="L187" s="8"/>
      <c r="M187" s="1"/>
      <c r="N187" s="1"/>
    </row>
    <row r="188" spans="1:14">
      <c r="A188" s="1"/>
      <c r="B188" s="8"/>
      <c r="C188" s="1"/>
      <c r="D188" s="1"/>
      <c r="E188" s="1"/>
      <c r="F188" s="1"/>
      <c r="G188" s="1"/>
      <c r="H188" s="9"/>
      <c r="I188" s="1"/>
      <c r="J188" s="1"/>
      <c r="K188" s="1"/>
      <c r="L188" s="8"/>
      <c r="M188" s="1"/>
      <c r="N188" s="1"/>
    </row>
    <row r="189" spans="1:14">
      <c r="A189" s="1"/>
      <c r="B189" s="8"/>
      <c r="C189" s="1"/>
      <c r="D189" s="1"/>
      <c r="E189" s="1"/>
      <c r="F189" s="1"/>
      <c r="G189" s="1"/>
      <c r="H189" s="9"/>
      <c r="I189" s="1"/>
      <c r="J189" s="1"/>
      <c r="K189" s="1"/>
      <c r="L189" s="8"/>
      <c r="M189" s="1"/>
      <c r="N189" s="1"/>
    </row>
    <row r="190" spans="1:14">
      <c r="A190" s="1"/>
      <c r="B190" s="8"/>
      <c r="C190" s="1"/>
      <c r="D190" s="1"/>
      <c r="E190" s="1"/>
      <c r="F190" s="1"/>
      <c r="G190" s="1"/>
      <c r="H190" s="9"/>
      <c r="I190" s="1"/>
      <c r="J190" s="1"/>
      <c r="K190" s="1"/>
      <c r="L190" s="8"/>
      <c r="M190" s="1"/>
      <c r="N190" s="1"/>
    </row>
    <row r="191" spans="1:14">
      <c r="A191" s="1"/>
      <c r="B191" s="8"/>
      <c r="C191" s="1"/>
      <c r="D191" s="1"/>
      <c r="E191" s="1"/>
      <c r="F191" s="1"/>
      <c r="G191" s="1"/>
      <c r="H191" s="9"/>
      <c r="I191" s="1"/>
      <c r="J191" s="1"/>
      <c r="K191" s="1"/>
      <c r="L191" s="8"/>
      <c r="M191" s="1"/>
      <c r="N191" s="1"/>
    </row>
    <row r="192" spans="1:14">
      <c r="A192" s="1"/>
      <c r="B192" s="8"/>
      <c r="C192" s="1"/>
      <c r="D192" s="1"/>
      <c r="E192" s="1"/>
      <c r="F192" s="1"/>
      <c r="G192" s="1"/>
      <c r="H192" s="9"/>
      <c r="I192" s="1"/>
      <c r="J192" s="1"/>
      <c r="K192" s="1"/>
      <c r="L192" s="8"/>
      <c r="M192" s="1"/>
      <c r="N192" s="1"/>
    </row>
    <row r="193" spans="1:14">
      <c r="A193" s="1"/>
      <c r="B193" s="8"/>
      <c r="C193" s="1"/>
      <c r="D193" s="1"/>
      <c r="E193" s="1"/>
      <c r="F193" s="1"/>
      <c r="G193" s="1"/>
      <c r="H193" s="9"/>
      <c r="I193" s="1"/>
      <c r="J193" s="1"/>
      <c r="K193" s="1"/>
      <c r="L193" s="8"/>
      <c r="M193" s="1"/>
      <c r="N193" s="1"/>
    </row>
    <row r="194" spans="1:14">
      <c r="A194" s="1"/>
      <c r="B194" s="8"/>
      <c r="C194" s="1"/>
      <c r="D194" s="1"/>
      <c r="E194" s="1"/>
      <c r="F194" s="1"/>
      <c r="G194" s="1"/>
      <c r="H194" s="9"/>
      <c r="I194" s="1"/>
      <c r="J194" s="1"/>
      <c r="K194" s="1"/>
      <c r="L194" s="8"/>
      <c r="M194" s="1"/>
      <c r="N194" s="1"/>
    </row>
    <row r="195" spans="1:14">
      <c r="A195" s="1"/>
      <c r="B195" s="8"/>
      <c r="C195" s="1"/>
      <c r="D195" s="1"/>
      <c r="E195" s="1"/>
      <c r="F195" s="1"/>
      <c r="G195" s="1"/>
      <c r="H195" s="9"/>
      <c r="I195" s="1"/>
      <c r="J195" s="1"/>
      <c r="K195" s="1"/>
      <c r="L195" s="8"/>
      <c r="M195" s="1"/>
      <c r="N195" s="1"/>
    </row>
    <row r="196" spans="1:14">
      <c r="A196" s="1"/>
      <c r="B196" s="8"/>
      <c r="C196" s="1"/>
      <c r="D196" s="1"/>
      <c r="E196" s="1"/>
      <c r="F196" s="1"/>
      <c r="G196" s="1"/>
      <c r="H196" s="9"/>
      <c r="I196" s="1"/>
      <c r="J196" s="1"/>
      <c r="K196" s="1"/>
      <c r="L196" s="8"/>
      <c r="M196" s="1"/>
      <c r="N196" s="1"/>
    </row>
    <row r="197" spans="1:14">
      <c r="A197" s="1"/>
      <c r="B197" s="8"/>
      <c r="C197" s="1"/>
      <c r="D197" s="1"/>
      <c r="E197" s="1"/>
      <c r="F197" s="1"/>
      <c r="G197" s="1"/>
      <c r="H197" s="9"/>
      <c r="I197" s="1"/>
      <c r="J197" s="1"/>
      <c r="K197" s="1"/>
      <c r="L197" s="8"/>
      <c r="M197" s="1"/>
      <c r="N197" s="1"/>
    </row>
    <row r="198" spans="1:14">
      <c r="A198" s="1"/>
      <c r="B198" s="8"/>
      <c r="C198" s="1"/>
      <c r="D198" s="1"/>
      <c r="E198" s="1"/>
      <c r="F198" s="1"/>
      <c r="G198" s="1"/>
      <c r="H198" s="9"/>
      <c r="I198" s="1"/>
      <c r="J198" s="1"/>
      <c r="K198" s="1"/>
      <c r="L198" s="8"/>
      <c r="M198" s="1"/>
      <c r="N198" s="1"/>
    </row>
    <row r="199" spans="1:14">
      <c r="A199" s="1"/>
      <c r="B199" s="8"/>
      <c r="C199" s="1"/>
      <c r="D199" s="1"/>
      <c r="E199" s="1"/>
      <c r="F199" s="1"/>
      <c r="G199" s="1"/>
      <c r="H199" s="9"/>
      <c r="I199" s="1"/>
      <c r="J199" s="1"/>
      <c r="K199" s="1"/>
      <c r="L199" s="8"/>
      <c r="M199" s="1"/>
      <c r="N199" s="1"/>
    </row>
    <row r="200" spans="1:14">
      <c r="A200" s="1"/>
      <c r="B200" s="8"/>
      <c r="C200" s="1"/>
      <c r="D200" s="1"/>
      <c r="E200" s="1"/>
      <c r="F200" s="1"/>
      <c r="G200" s="1"/>
      <c r="H200" s="9"/>
      <c r="I200" s="1"/>
      <c r="J200" s="1"/>
      <c r="K200" s="1"/>
      <c r="L200" s="8"/>
      <c r="M200" s="1"/>
      <c r="N200" s="1"/>
    </row>
    <row r="201" spans="1:14">
      <c r="A201" s="1"/>
      <c r="B201" s="8"/>
      <c r="C201" s="1"/>
      <c r="D201" s="1"/>
      <c r="E201" s="1"/>
      <c r="F201" s="1"/>
      <c r="G201" s="1"/>
      <c r="H201" s="9"/>
      <c r="I201" s="1"/>
      <c r="J201" s="1"/>
      <c r="K201" s="1"/>
      <c r="L201" s="8"/>
      <c r="M201" s="1"/>
      <c r="N201" s="1"/>
    </row>
    <row r="202" spans="1:14">
      <c r="A202" s="1"/>
      <c r="B202" s="8"/>
      <c r="C202" s="1"/>
      <c r="D202" s="1"/>
      <c r="E202" s="1"/>
      <c r="F202" s="1"/>
      <c r="G202" s="1"/>
      <c r="H202" s="9"/>
      <c r="I202" s="1"/>
      <c r="J202" s="1"/>
      <c r="K202" s="1"/>
      <c r="L202" s="8"/>
      <c r="M202" s="1"/>
      <c r="N202" s="1"/>
    </row>
    <row r="203" spans="1:14">
      <c r="A203" s="1"/>
      <c r="B203" s="8"/>
      <c r="C203" s="1"/>
      <c r="D203" s="1"/>
      <c r="E203" s="1"/>
      <c r="F203" s="1"/>
      <c r="G203" s="1"/>
      <c r="H203" s="9"/>
      <c r="I203" s="1"/>
      <c r="J203" s="1"/>
      <c r="K203" s="1"/>
      <c r="L203" s="8"/>
      <c r="M203" s="1"/>
      <c r="N203" s="1"/>
    </row>
    <row r="204" spans="1:14">
      <c r="A204" s="1"/>
      <c r="B204" s="8"/>
      <c r="C204" s="1"/>
      <c r="D204" s="1"/>
      <c r="E204" s="1"/>
      <c r="F204" s="1"/>
      <c r="G204" s="1"/>
      <c r="H204" s="9"/>
      <c r="I204" s="1"/>
      <c r="J204" s="1"/>
      <c r="K204" s="1"/>
      <c r="L204" s="8"/>
      <c r="M204" s="1"/>
      <c r="N204" s="1"/>
    </row>
    <row r="205" spans="1:14">
      <c r="A205" s="1"/>
      <c r="B205" s="8"/>
      <c r="C205" s="1"/>
      <c r="D205" s="1"/>
      <c r="E205" s="1"/>
      <c r="F205" s="1"/>
      <c r="G205" s="1"/>
      <c r="H205" s="9"/>
      <c r="I205" s="1"/>
      <c r="J205" s="1"/>
      <c r="K205" s="1"/>
      <c r="L205" s="8"/>
      <c r="M205" s="1"/>
      <c r="N205" s="1"/>
    </row>
    <row r="206" spans="1:14">
      <c r="A206" s="1"/>
      <c r="B206" s="8"/>
      <c r="C206" s="1"/>
      <c r="D206" s="1"/>
      <c r="E206" s="1"/>
      <c r="F206" s="1"/>
      <c r="G206" s="1"/>
      <c r="H206" s="9"/>
      <c r="I206" s="1"/>
      <c r="J206" s="1"/>
      <c r="K206" s="1"/>
      <c r="L206" s="8"/>
      <c r="M206" s="1"/>
      <c r="N206" s="1"/>
    </row>
    <row r="207" spans="1:14">
      <c r="A207" s="1"/>
      <c r="B207" s="8"/>
      <c r="C207" s="1"/>
      <c r="D207" s="1"/>
      <c r="E207" s="1"/>
      <c r="F207" s="1"/>
      <c r="G207" s="1"/>
      <c r="H207" s="9"/>
      <c r="I207" s="1"/>
      <c r="J207" s="1"/>
      <c r="K207" s="1"/>
      <c r="L207" s="8"/>
      <c r="M207" s="1"/>
      <c r="N207" s="1"/>
    </row>
    <row r="208" spans="1:14">
      <c r="A208" s="1"/>
      <c r="B208" s="8"/>
      <c r="C208" s="1"/>
      <c r="D208" s="1"/>
      <c r="E208" s="1"/>
      <c r="F208" s="1"/>
      <c r="G208" s="1"/>
      <c r="H208" s="9"/>
      <c r="I208" s="1"/>
      <c r="J208" s="1"/>
      <c r="K208" s="1"/>
      <c r="L208" s="8"/>
      <c r="M208" s="1"/>
      <c r="N208" s="1"/>
    </row>
    <row r="209" spans="1:14">
      <c r="A209" s="1"/>
      <c r="B209" s="8"/>
      <c r="C209" s="1"/>
      <c r="D209" s="1"/>
      <c r="E209" s="1"/>
      <c r="F209" s="1"/>
      <c r="G209" s="1"/>
      <c r="H209" s="9"/>
      <c r="I209" s="1"/>
      <c r="J209" s="1"/>
      <c r="K209" s="1"/>
      <c r="L209" s="8"/>
      <c r="M209" s="1"/>
      <c r="N209" s="1"/>
    </row>
    <row r="210" spans="1:14">
      <c r="A210" s="1"/>
      <c r="B210" s="8"/>
      <c r="C210" s="1"/>
      <c r="D210" s="1"/>
      <c r="E210" s="1"/>
      <c r="F210" s="1"/>
      <c r="G210" s="1"/>
      <c r="H210" s="9"/>
      <c r="I210" s="1"/>
      <c r="J210" s="1"/>
      <c r="K210" s="1"/>
      <c r="L210" s="8"/>
      <c r="M210" s="1"/>
      <c r="N210" s="1"/>
    </row>
    <row r="211" spans="1:14">
      <c r="A211" s="1"/>
      <c r="B211" s="8"/>
      <c r="C211" s="1"/>
      <c r="D211" s="1"/>
      <c r="E211" s="1"/>
      <c r="F211" s="1"/>
      <c r="G211" s="1"/>
      <c r="H211" s="9"/>
      <c r="I211" s="1"/>
      <c r="J211" s="1"/>
      <c r="K211" s="1"/>
      <c r="L211" s="8"/>
      <c r="M211" s="1"/>
      <c r="N211" s="1"/>
    </row>
    <row r="212" spans="1:14">
      <c r="A212" s="1"/>
      <c r="B212" s="8"/>
      <c r="C212" s="1"/>
      <c r="D212" s="1"/>
      <c r="E212" s="1"/>
      <c r="F212" s="1"/>
      <c r="G212" s="1"/>
      <c r="H212" s="9"/>
      <c r="I212" s="1"/>
      <c r="J212" s="1"/>
      <c r="K212" s="1"/>
      <c r="L212" s="8"/>
      <c r="M212" s="1"/>
      <c r="N212" s="1"/>
    </row>
    <row r="213" spans="1:14">
      <c r="A213" s="1"/>
      <c r="B213" s="8"/>
      <c r="C213" s="1"/>
      <c r="D213" s="1"/>
      <c r="E213" s="1"/>
      <c r="F213" s="1"/>
      <c r="G213" s="1"/>
      <c r="H213" s="9"/>
      <c r="I213" s="1"/>
      <c r="J213" s="1"/>
      <c r="K213" s="1"/>
      <c r="L213" s="8"/>
      <c r="M213" s="1"/>
      <c r="N213" s="1"/>
    </row>
    <row r="214" spans="1:14">
      <c r="A214" s="1"/>
      <c r="B214" s="8"/>
      <c r="C214" s="1"/>
      <c r="D214" s="1"/>
      <c r="E214" s="1"/>
      <c r="F214" s="1"/>
      <c r="G214" s="1"/>
      <c r="H214" s="9"/>
      <c r="I214" s="1"/>
      <c r="J214" s="1"/>
      <c r="K214" s="1"/>
      <c r="L214" s="8"/>
      <c r="M214" s="1"/>
      <c r="N214" s="1"/>
    </row>
    <row r="215" spans="1:14">
      <c r="A215" s="1"/>
      <c r="B215" s="8"/>
      <c r="C215" s="1"/>
      <c r="D215" s="1"/>
      <c r="E215" s="1"/>
      <c r="F215" s="1"/>
      <c r="G215" s="1"/>
      <c r="H215" s="9"/>
      <c r="I215" s="1"/>
      <c r="J215" s="1"/>
      <c r="K215" s="1"/>
      <c r="L215" s="8"/>
      <c r="M215" s="1"/>
      <c r="N215" s="1"/>
    </row>
    <row r="216" spans="1:14">
      <c r="A216" s="1"/>
      <c r="B216" s="8"/>
      <c r="C216" s="1"/>
      <c r="D216" s="1"/>
      <c r="E216" s="1"/>
      <c r="F216" s="1"/>
      <c r="G216" s="1"/>
      <c r="H216" s="9"/>
      <c r="I216" s="1"/>
      <c r="J216" s="1"/>
      <c r="K216" s="1"/>
      <c r="L216" s="8"/>
      <c r="M216" s="1"/>
      <c r="N216" s="1"/>
    </row>
    <row r="217" spans="1:14">
      <c r="A217" s="1"/>
      <c r="B217" s="8"/>
      <c r="C217" s="1"/>
      <c r="D217" s="1"/>
      <c r="E217" s="1"/>
      <c r="F217" s="1"/>
      <c r="G217" s="1"/>
      <c r="H217" s="9"/>
      <c r="I217" s="1"/>
      <c r="J217" s="1"/>
      <c r="K217" s="1"/>
      <c r="L217" s="8"/>
      <c r="M217" s="1"/>
      <c r="N217" s="1"/>
    </row>
    <row r="218" spans="1:14">
      <c r="A218" s="1"/>
      <c r="B218" s="8"/>
      <c r="C218" s="1"/>
      <c r="D218" s="1"/>
      <c r="E218" s="1"/>
      <c r="F218" s="1"/>
      <c r="G218" s="1"/>
      <c r="H218" s="9"/>
      <c r="I218" s="1"/>
      <c r="J218" s="1"/>
      <c r="K218" s="1"/>
      <c r="L218" s="8"/>
      <c r="M218" s="1"/>
      <c r="N218" s="1"/>
    </row>
    <row r="219" spans="1:14">
      <c r="A219" s="1"/>
      <c r="B219" s="8"/>
      <c r="C219" s="1"/>
      <c r="D219" s="1"/>
      <c r="E219" s="1"/>
      <c r="F219" s="1"/>
      <c r="G219" s="1"/>
      <c r="H219" s="9"/>
      <c r="I219" s="1"/>
      <c r="J219" s="1"/>
      <c r="K219" s="1"/>
      <c r="L219" s="8"/>
      <c r="M219" s="1"/>
      <c r="N219" s="1"/>
    </row>
    <row r="220" spans="1:14">
      <c r="A220" s="1"/>
      <c r="B220" s="8"/>
      <c r="C220" s="1"/>
      <c r="D220" s="1"/>
      <c r="E220" s="1"/>
      <c r="F220" s="1"/>
      <c r="G220" s="1"/>
      <c r="H220" s="9"/>
      <c r="I220" s="1"/>
      <c r="J220" s="1"/>
      <c r="K220" s="1"/>
      <c r="L220" s="8"/>
      <c r="M220" s="1"/>
      <c r="N220" s="1"/>
    </row>
    <row r="221" spans="1:14">
      <c r="A221" s="1"/>
      <c r="B221" s="8"/>
      <c r="C221" s="1"/>
      <c r="D221" s="1"/>
      <c r="E221" s="1"/>
      <c r="F221" s="1"/>
      <c r="G221" s="1"/>
      <c r="H221" s="9"/>
      <c r="I221" s="1"/>
      <c r="J221" s="1"/>
      <c r="K221" s="1"/>
      <c r="L221" s="8"/>
      <c r="M221" s="1"/>
      <c r="N221" s="1"/>
    </row>
    <row r="222" spans="1:14">
      <c r="A222" s="1"/>
      <c r="B222" s="8"/>
      <c r="C222" s="1"/>
      <c r="D222" s="1"/>
      <c r="E222" s="1"/>
      <c r="F222" s="1"/>
      <c r="G222" s="1"/>
      <c r="H222" s="9"/>
      <c r="I222" s="1"/>
      <c r="J222" s="1"/>
      <c r="K222" s="1"/>
      <c r="L222" s="8"/>
      <c r="M222" s="1"/>
      <c r="N222" s="1"/>
    </row>
    <row r="223" spans="1:14">
      <c r="A223" s="1"/>
      <c r="B223" s="8"/>
      <c r="C223" s="1"/>
      <c r="D223" s="1"/>
      <c r="E223" s="1"/>
      <c r="F223" s="1"/>
      <c r="G223" s="1"/>
      <c r="H223" s="9"/>
      <c r="I223" s="1"/>
      <c r="J223" s="1"/>
      <c r="K223" s="1"/>
      <c r="L223" s="8"/>
      <c r="M223" s="1"/>
      <c r="N223" s="1"/>
    </row>
    <row r="224" spans="1:14">
      <c r="A224" s="1"/>
      <c r="B224" s="8"/>
      <c r="C224" s="1"/>
      <c r="D224" s="1"/>
      <c r="E224" s="1"/>
      <c r="F224" s="1"/>
      <c r="G224" s="1"/>
      <c r="H224" s="9"/>
      <c r="I224" s="1"/>
      <c r="J224" s="1"/>
      <c r="K224" s="1"/>
      <c r="L224" s="8"/>
      <c r="M224" s="1"/>
      <c r="N224" s="1"/>
    </row>
    <row r="225" spans="1:14">
      <c r="A225" s="1"/>
      <c r="B225" s="8"/>
      <c r="C225" s="1"/>
      <c r="D225" s="1"/>
      <c r="E225" s="1"/>
      <c r="F225" s="1"/>
      <c r="G225" s="1"/>
      <c r="H225" s="9"/>
      <c r="I225" s="1"/>
      <c r="J225" s="1"/>
      <c r="K225" s="1"/>
      <c r="L225" s="8"/>
      <c r="M225" s="1"/>
      <c r="N225" s="1"/>
    </row>
    <row r="226" spans="1:14">
      <c r="A226" s="1"/>
      <c r="B226" s="8"/>
      <c r="C226" s="1"/>
      <c r="D226" s="1"/>
      <c r="E226" s="1"/>
      <c r="F226" s="1"/>
      <c r="G226" s="1"/>
      <c r="H226" s="9"/>
      <c r="I226" s="1"/>
      <c r="J226" s="1"/>
      <c r="K226" s="1"/>
      <c r="L226" s="8"/>
      <c r="M226" s="1"/>
      <c r="N226" s="1"/>
    </row>
    <row r="227" spans="1:14">
      <c r="A227" s="1"/>
      <c r="B227" s="8"/>
      <c r="C227" s="1"/>
      <c r="D227" s="1"/>
      <c r="E227" s="1"/>
      <c r="F227" s="1"/>
      <c r="G227" s="1"/>
      <c r="H227" s="9"/>
      <c r="I227" s="1"/>
      <c r="J227" s="1"/>
      <c r="K227" s="1"/>
      <c r="L227" s="8"/>
      <c r="M227" s="1"/>
      <c r="N227" s="1"/>
    </row>
    <row r="228" spans="1:14">
      <c r="A228" s="1"/>
      <c r="B228" s="8"/>
      <c r="C228" s="1"/>
      <c r="D228" s="1"/>
      <c r="E228" s="1"/>
      <c r="F228" s="1"/>
      <c r="G228" s="1"/>
      <c r="H228" s="9"/>
      <c r="I228" s="1"/>
      <c r="J228" s="1"/>
      <c r="K228" s="1"/>
      <c r="L228" s="8"/>
      <c r="M228" s="1"/>
      <c r="N228" s="1"/>
    </row>
    <row r="229" spans="1:14">
      <c r="A229" s="1"/>
      <c r="B229" s="8"/>
      <c r="C229" s="1"/>
      <c r="D229" s="1"/>
      <c r="E229" s="1"/>
      <c r="F229" s="1"/>
      <c r="G229" s="1"/>
      <c r="H229" s="9"/>
      <c r="I229" s="1"/>
      <c r="J229" s="1"/>
      <c r="K229" s="1"/>
      <c r="L229" s="8"/>
      <c r="M229" s="1"/>
      <c r="N229" s="1"/>
    </row>
    <row r="230" spans="1:14">
      <c r="A230" s="1"/>
      <c r="B230" s="8"/>
      <c r="C230" s="1"/>
      <c r="D230" s="1"/>
      <c r="E230" s="1"/>
      <c r="F230" s="1"/>
      <c r="G230" s="1"/>
      <c r="H230" s="9"/>
      <c r="I230" s="1"/>
      <c r="J230" s="1"/>
      <c r="K230" s="1"/>
      <c r="L230" s="8"/>
      <c r="M230" s="1"/>
      <c r="N230" s="1"/>
    </row>
    <row r="231" spans="1:14">
      <c r="A231" s="1"/>
      <c r="B231" s="8"/>
      <c r="C231" s="1"/>
      <c r="D231" s="1"/>
      <c r="E231" s="1"/>
      <c r="F231" s="1"/>
      <c r="G231" s="1"/>
      <c r="H231" s="9"/>
      <c r="I231" s="1"/>
      <c r="J231" s="1"/>
      <c r="K231" s="1"/>
      <c r="L231" s="8"/>
      <c r="M231" s="1"/>
      <c r="N231" s="1"/>
    </row>
    <row r="232" spans="1:14">
      <c r="A232" s="1"/>
      <c r="B232" s="8"/>
      <c r="C232" s="1"/>
      <c r="D232" s="1"/>
      <c r="E232" s="1"/>
      <c r="F232" s="1"/>
      <c r="G232" s="1"/>
      <c r="H232" s="9"/>
      <c r="I232" s="1"/>
      <c r="J232" s="1"/>
      <c r="K232" s="1"/>
      <c r="L232" s="8"/>
      <c r="M232" s="1"/>
      <c r="N232" s="1"/>
    </row>
    <row r="233" spans="1:14">
      <c r="A233" s="1"/>
      <c r="B233" s="8"/>
      <c r="C233" s="1"/>
      <c r="D233" s="1"/>
      <c r="E233" s="1"/>
      <c r="F233" s="1"/>
      <c r="G233" s="1"/>
      <c r="H233" s="9"/>
      <c r="I233" s="1"/>
      <c r="J233" s="1"/>
      <c r="K233" s="1"/>
      <c r="L233" s="8"/>
      <c r="M233" s="1"/>
      <c r="N233" s="1"/>
    </row>
    <row r="234" spans="1:14">
      <c r="A234" s="1"/>
      <c r="B234" s="8"/>
      <c r="C234" s="1"/>
      <c r="D234" s="1"/>
      <c r="E234" s="1"/>
      <c r="F234" s="1"/>
      <c r="G234" s="1"/>
      <c r="H234" s="9"/>
      <c r="I234" s="1"/>
      <c r="J234" s="1"/>
      <c r="K234" s="1"/>
      <c r="L234" s="8"/>
      <c r="M234" s="1"/>
      <c r="N234" s="1"/>
    </row>
    <row r="235" spans="1:14">
      <c r="A235" s="1"/>
      <c r="B235" s="8"/>
      <c r="C235" s="1"/>
      <c r="D235" s="1"/>
      <c r="E235" s="1"/>
      <c r="F235" s="1"/>
      <c r="G235" s="1"/>
      <c r="H235" s="9"/>
      <c r="I235" s="1"/>
      <c r="J235" s="1"/>
      <c r="K235" s="1"/>
      <c r="L235" s="8"/>
      <c r="M235" s="1"/>
      <c r="N235" s="1"/>
    </row>
    <row r="236" spans="1:14">
      <c r="A236" s="1"/>
      <c r="B236" s="8"/>
      <c r="C236" s="1"/>
      <c r="D236" s="1"/>
      <c r="E236" s="1"/>
      <c r="F236" s="1"/>
      <c r="G236" s="1"/>
      <c r="H236" s="9"/>
      <c r="I236" s="1"/>
      <c r="J236" s="1"/>
      <c r="K236" s="1"/>
      <c r="L236" s="8"/>
      <c r="M236" s="1"/>
      <c r="N236" s="1"/>
    </row>
    <row r="237" spans="1:14">
      <c r="A237" s="1"/>
      <c r="B237" s="8"/>
      <c r="C237" s="1"/>
      <c r="D237" s="1"/>
      <c r="E237" s="1"/>
      <c r="F237" s="1"/>
      <c r="G237" s="1"/>
      <c r="H237" s="9"/>
      <c r="I237" s="1"/>
      <c r="J237" s="1"/>
      <c r="K237" s="1"/>
      <c r="L237" s="8"/>
      <c r="M237" s="1"/>
      <c r="N237" s="1"/>
    </row>
    <row r="238" spans="1:14">
      <c r="A238" s="1"/>
      <c r="B238" s="8"/>
      <c r="C238" s="1"/>
      <c r="D238" s="1"/>
      <c r="E238" s="1"/>
      <c r="F238" s="1"/>
      <c r="G238" s="1"/>
      <c r="H238" s="9"/>
      <c r="I238" s="1"/>
      <c r="J238" s="1"/>
      <c r="K238" s="1"/>
      <c r="L238" s="8"/>
      <c r="M238" s="1"/>
      <c r="N238" s="1"/>
    </row>
    <row r="239" spans="1:14">
      <c r="A239" s="1"/>
      <c r="B239" s="8"/>
      <c r="C239" s="1"/>
      <c r="D239" s="1"/>
      <c r="E239" s="1"/>
      <c r="F239" s="1"/>
      <c r="G239" s="1"/>
      <c r="H239" s="9"/>
      <c r="I239" s="1"/>
      <c r="J239" s="1"/>
      <c r="K239" s="1"/>
      <c r="L239" s="8"/>
      <c r="M239" s="1"/>
      <c r="N239" s="1"/>
    </row>
    <row r="240" spans="1:14">
      <c r="A240" s="1"/>
      <c r="B240" s="8"/>
      <c r="C240" s="1"/>
      <c r="D240" s="1"/>
      <c r="E240" s="1"/>
      <c r="F240" s="1"/>
      <c r="G240" s="1"/>
      <c r="H240" s="9"/>
      <c r="I240" s="1"/>
      <c r="J240" s="1"/>
      <c r="K240" s="1"/>
      <c r="L240" s="8"/>
      <c r="M240" s="1"/>
      <c r="N240" s="1"/>
    </row>
    <row r="241" spans="1:14">
      <c r="A241" s="1"/>
      <c r="B241" s="8"/>
      <c r="C241" s="1"/>
      <c r="D241" s="1"/>
      <c r="E241" s="1"/>
      <c r="F241" s="1"/>
      <c r="G241" s="1"/>
      <c r="H241" s="9"/>
      <c r="I241" s="1"/>
      <c r="J241" s="1"/>
      <c r="K241" s="1"/>
      <c r="L241" s="8"/>
      <c r="M241" s="1"/>
      <c r="N241" s="1"/>
    </row>
    <row r="242" spans="1:14">
      <c r="A242" s="1"/>
      <c r="B242" s="8"/>
      <c r="C242" s="1"/>
      <c r="D242" s="1"/>
      <c r="E242" s="1"/>
      <c r="F242" s="1"/>
      <c r="G242" s="1"/>
      <c r="H242" s="9"/>
      <c r="I242" s="1"/>
      <c r="J242" s="1"/>
      <c r="K242" s="1"/>
      <c r="L242" s="8"/>
      <c r="M242" s="1"/>
      <c r="N242" s="1"/>
    </row>
    <row r="243" spans="1:14">
      <c r="A243" s="1"/>
      <c r="B243" s="8"/>
      <c r="C243" s="1"/>
      <c r="D243" s="1"/>
      <c r="E243" s="1"/>
      <c r="F243" s="1"/>
      <c r="G243" s="1"/>
      <c r="H243" s="9"/>
      <c r="I243" s="1"/>
      <c r="J243" s="1"/>
      <c r="K243" s="1"/>
      <c r="L243" s="8"/>
      <c r="M243" s="1"/>
      <c r="N243" s="1"/>
    </row>
    <row r="244" spans="1:14">
      <c r="A244" s="1"/>
      <c r="B244" s="8"/>
      <c r="C244" s="1"/>
      <c r="D244" s="1"/>
      <c r="E244" s="1"/>
      <c r="F244" s="1"/>
      <c r="G244" s="1"/>
      <c r="H244" s="9"/>
      <c r="I244" s="1"/>
      <c r="J244" s="1"/>
      <c r="K244" s="1"/>
      <c r="L244" s="8"/>
      <c r="M244" s="1"/>
      <c r="N244" s="1"/>
    </row>
    <row r="245" spans="1:14">
      <c r="A245" s="1"/>
      <c r="B245" s="8"/>
      <c r="C245" s="1"/>
      <c r="D245" s="1"/>
      <c r="E245" s="1"/>
      <c r="F245" s="1"/>
      <c r="G245" s="1"/>
      <c r="H245" s="9"/>
      <c r="I245" s="1"/>
      <c r="J245" s="1"/>
      <c r="K245" s="1"/>
      <c r="L245" s="8"/>
      <c r="M245" s="1"/>
      <c r="N245" s="1"/>
    </row>
    <row r="246" spans="1:14">
      <c r="A246" s="1"/>
      <c r="B246" s="8"/>
      <c r="C246" s="1"/>
      <c r="D246" s="1"/>
      <c r="E246" s="1"/>
      <c r="F246" s="1"/>
      <c r="G246" s="1"/>
      <c r="H246" s="9"/>
      <c r="I246" s="1"/>
      <c r="J246" s="1"/>
      <c r="K246" s="1"/>
      <c r="L246" s="8"/>
      <c r="M246" s="1"/>
      <c r="N246" s="1"/>
    </row>
    <row r="247" spans="1:14">
      <c r="A247" s="1"/>
      <c r="B247" s="8"/>
      <c r="C247" s="1"/>
      <c r="D247" s="1"/>
      <c r="E247" s="1"/>
      <c r="F247" s="1"/>
      <c r="G247" s="1"/>
      <c r="H247" s="9"/>
      <c r="I247" s="1"/>
      <c r="J247" s="1"/>
      <c r="K247" s="1"/>
      <c r="L247" s="8"/>
      <c r="M247" s="1"/>
      <c r="N247" s="1"/>
    </row>
    <row r="248" spans="1:14">
      <c r="A248" s="1"/>
      <c r="B248" s="8"/>
      <c r="C248" s="1"/>
      <c r="D248" s="1"/>
      <c r="E248" s="1"/>
      <c r="F248" s="1"/>
      <c r="G248" s="1"/>
      <c r="H248" s="9"/>
      <c r="I248" s="1"/>
      <c r="J248" s="1"/>
      <c r="K248" s="1"/>
      <c r="L248" s="8"/>
      <c r="M248" s="1"/>
      <c r="N248" s="1"/>
    </row>
    <row r="249" spans="1:14">
      <c r="A249" s="1"/>
      <c r="B249" s="8"/>
      <c r="C249" s="1"/>
      <c r="D249" s="1"/>
      <c r="E249" s="1"/>
      <c r="F249" s="1"/>
      <c r="G249" s="1"/>
      <c r="H249" s="9"/>
      <c r="I249" s="1"/>
      <c r="J249" s="1"/>
      <c r="K249" s="1"/>
      <c r="L249" s="8"/>
      <c r="M249" s="1"/>
      <c r="N249" s="1"/>
    </row>
    <row r="250" spans="1:14">
      <c r="A250" s="1"/>
      <c r="B250" s="8"/>
      <c r="C250" s="1"/>
      <c r="D250" s="1"/>
      <c r="E250" s="1"/>
      <c r="F250" s="1"/>
      <c r="G250" s="1"/>
      <c r="H250" s="9"/>
      <c r="I250" s="1"/>
      <c r="J250" s="1"/>
      <c r="K250" s="1"/>
      <c r="L250" s="8"/>
      <c r="M250" s="1"/>
      <c r="N250" s="1"/>
    </row>
    <row r="251" spans="1:14">
      <c r="A251" s="1"/>
      <c r="B251" s="8"/>
      <c r="C251" s="1"/>
      <c r="D251" s="1"/>
      <c r="E251" s="1"/>
      <c r="F251" s="1"/>
      <c r="G251" s="1"/>
      <c r="H251" s="9"/>
      <c r="I251" s="1"/>
      <c r="J251" s="1"/>
      <c r="K251" s="1"/>
      <c r="L251" s="8"/>
      <c r="M251" s="1"/>
      <c r="N251" s="1"/>
    </row>
    <row r="252" spans="1:14">
      <c r="A252" s="1"/>
      <c r="B252" s="8"/>
      <c r="C252" s="1"/>
      <c r="D252" s="1"/>
      <c r="E252" s="1"/>
      <c r="F252" s="1"/>
      <c r="G252" s="1"/>
      <c r="H252" s="9"/>
      <c r="I252" s="1"/>
      <c r="J252" s="1"/>
      <c r="K252" s="1"/>
      <c r="L252" s="8"/>
      <c r="M252" s="1"/>
      <c r="N252" s="1"/>
    </row>
    <row r="253" spans="1:14">
      <c r="A253" s="1"/>
      <c r="B253" s="8"/>
      <c r="C253" s="1"/>
      <c r="D253" s="1"/>
      <c r="E253" s="1"/>
      <c r="F253" s="1"/>
      <c r="G253" s="1"/>
      <c r="H253" s="9"/>
      <c r="I253" s="1"/>
      <c r="J253" s="1"/>
      <c r="K253" s="1"/>
      <c r="L253" s="8"/>
      <c r="M253" s="1"/>
      <c r="N253" s="1"/>
    </row>
    <row r="254" spans="1:14">
      <c r="A254" s="1"/>
      <c r="B254" s="8"/>
      <c r="C254" s="1"/>
      <c r="D254" s="1"/>
      <c r="E254" s="1"/>
      <c r="F254" s="1"/>
      <c r="G254" s="1"/>
      <c r="H254" s="9"/>
      <c r="I254" s="1"/>
      <c r="J254" s="1"/>
      <c r="K254" s="1"/>
      <c r="L254" s="8"/>
      <c r="M254" s="1"/>
      <c r="N254" s="1"/>
    </row>
    <row r="255" spans="1:14">
      <c r="A255" s="1"/>
      <c r="B255" s="8"/>
      <c r="C255" s="1"/>
      <c r="D255" s="1"/>
      <c r="E255" s="1"/>
      <c r="F255" s="1"/>
      <c r="G255" s="1"/>
      <c r="H255" s="9"/>
      <c r="I255" s="1"/>
      <c r="J255" s="1"/>
      <c r="K255" s="1"/>
      <c r="L255" s="8"/>
      <c r="M255" s="1"/>
      <c r="N255" s="1"/>
    </row>
    <row r="256" spans="1:14">
      <c r="A256" s="1"/>
      <c r="B256" s="8"/>
      <c r="C256" s="1"/>
      <c r="D256" s="1"/>
      <c r="E256" s="1"/>
      <c r="F256" s="1"/>
      <c r="G256" s="1"/>
      <c r="H256" s="9"/>
      <c r="I256" s="1"/>
      <c r="J256" s="1"/>
      <c r="K256" s="1"/>
      <c r="L256" s="8"/>
      <c r="M256" s="1"/>
      <c r="N256" s="1"/>
    </row>
    <row r="257" spans="1:14">
      <c r="A257" s="1"/>
      <c r="B257" s="8"/>
      <c r="C257" s="1"/>
      <c r="D257" s="1"/>
      <c r="E257" s="1"/>
      <c r="F257" s="1"/>
      <c r="G257" s="1"/>
      <c r="H257" s="9"/>
      <c r="I257" s="1"/>
      <c r="J257" s="1"/>
      <c r="K257" s="1"/>
      <c r="L257" s="8"/>
      <c r="M257" s="1"/>
      <c r="N257" s="1"/>
    </row>
    <row r="258" spans="1:14">
      <c r="A258" s="1"/>
      <c r="B258" s="8"/>
      <c r="C258" s="1"/>
      <c r="D258" s="1"/>
      <c r="E258" s="1"/>
      <c r="F258" s="1"/>
      <c r="G258" s="1"/>
      <c r="H258" s="9"/>
      <c r="I258" s="1"/>
      <c r="J258" s="1"/>
      <c r="K258" s="1"/>
      <c r="L258" s="8"/>
      <c r="M258" s="1"/>
      <c r="N258" s="1"/>
    </row>
    <row r="259" spans="1:14">
      <c r="A259" s="1"/>
      <c r="B259" s="8"/>
      <c r="C259" s="1"/>
      <c r="D259" s="1"/>
      <c r="E259" s="1"/>
      <c r="F259" s="1"/>
      <c r="G259" s="1"/>
      <c r="H259" s="9"/>
      <c r="I259" s="1"/>
      <c r="J259" s="1"/>
      <c r="K259" s="1"/>
      <c r="L259" s="8"/>
      <c r="M259" s="1"/>
      <c r="N259" s="1"/>
    </row>
    <row r="260" spans="1:14">
      <c r="A260" s="1"/>
      <c r="B260" s="8"/>
      <c r="C260" s="1"/>
      <c r="D260" s="1"/>
      <c r="E260" s="1"/>
      <c r="F260" s="1"/>
      <c r="G260" s="1"/>
      <c r="H260" s="9"/>
      <c r="I260" s="1"/>
      <c r="J260" s="1"/>
      <c r="K260" s="1"/>
      <c r="L260" s="8"/>
      <c r="M260" s="1"/>
      <c r="N260" s="1"/>
    </row>
    <row r="261" spans="1:14">
      <c r="A261" s="1"/>
      <c r="B261" s="8"/>
      <c r="C261" s="1"/>
      <c r="D261" s="1"/>
      <c r="E261" s="1"/>
      <c r="F261" s="1"/>
      <c r="G261" s="1"/>
      <c r="H261" s="9"/>
      <c r="I261" s="1"/>
      <c r="J261" s="1"/>
      <c r="K261" s="1"/>
      <c r="L261" s="8"/>
      <c r="M261" s="1"/>
      <c r="N261" s="1"/>
    </row>
    <row r="262" spans="1:14">
      <c r="A262" s="1"/>
      <c r="B262" s="8"/>
      <c r="C262" s="1"/>
      <c r="D262" s="1"/>
      <c r="E262" s="1"/>
      <c r="F262" s="1"/>
      <c r="G262" s="1"/>
      <c r="H262" s="9"/>
      <c r="I262" s="1"/>
      <c r="J262" s="1"/>
      <c r="K262" s="1"/>
      <c r="L262" s="8"/>
      <c r="M262" s="1"/>
      <c r="N262" s="1"/>
    </row>
    <row r="263" spans="1:14">
      <c r="A263" s="1"/>
      <c r="B263" s="8"/>
      <c r="C263" s="1"/>
      <c r="D263" s="1"/>
      <c r="E263" s="1"/>
      <c r="F263" s="1"/>
      <c r="G263" s="1"/>
      <c r="H263" s="9"/>
      <c r="I263" s="1"/>
      <c r="J263" s="1"/>
      <c r="K263" s="1"/>
      <c r="L263" s="8"/>
      <c r="M263" s="1"/>
      <c r="N263" s="1"/>
    </row>
    <row r="264" spans="1:14">
      <c r="A264" s="1"/>
      <c r="B264" s="8"/>
      <c r="C264" s="1"/>
      <c r="D264" s="1"/>
      <c r="E264" s="1"/>
      <c r="F264" s="1"/>
      <c r="G264" s="1"/>
      <c r="H264" s="9"/>
      <c r="I264" s="1"/>
      <c r="J264" s="1"/>
      <c r="K264" s="1"/>
      <c r="L264" s="8"/>
      <c r="M264" s="1"/>
      <c r="N264" s="1"/>
    </row>
    <row r="265" spans="1:14">
      <c r="A265" s="1"/>
      <c r="B265" s="8"/>
      <c r="C265" s="1"/>
      <c r="D265" s="1"/>
      <c r="E265" s="1"/>
      <c r="F265" s="1"/>
      <c r="G265" s="1"/>
      <c r="H265" s="9"/>
      <c r="I265" s="1"/>
      <c r="J265" s="1"/>
      <c r="K265" s="1"/>
      <c r="L265" s="8"/>
      <c r="M265" s="1"/>
      <c r="N265" s="1"/>
    </row>
    <row r="266" spans="1:14">
      <c r="A266" s="1"/>
      <c r="B266" s="8"/>
      <c r="C266" s="1"/>
      <c r="D266" s="1"/>
      <c r="E266" s="1"/>
      <c r="F266" s="1"/>
      <c r="G266" s="1"/>
      <c r="H266" s="9"/>
      <c r="I266" s="1"/>
      <c r="J266" s="1"/>
      <c r="K266" s="1"/>
      <c r="L266" s="8"/>
      <c r="M266" s="1"/>
      <c r="N266" s="1"/>
    </row>
    <row r="267" spans="1:14">
      <c r="A267" s="1"/>
      <c r="B267" s="8"/>
      <c r="C267" s="1"/>
      <c r="D267" s="1"/>
      <c r="E267" s="1"/>
      <c r="F267" s="1"/>
      <c r="G267" s="1"/>
      <c r="H267" s="9"/>
      <c r="I267" s="1"/>
      <c r="J267" s="1"/>
      <c r="K267" s="1"/>
      <c r="L267" s="8"/>
      <c r="M267" s="1"/>
      <c r="N267" s="1"/>
    </row>
    <row r="268" spans="1:14">
      <c r="A268" s="1"/>
      <c r="B268" s="8"/>
      <c r="C268" s="1"/>
      <c r="D268" s="1"/>
      <c r="E268" s="1"/>
      <c r="F268" s="1"/>
      <c r="G268" s="1"/>
      <c r="H268" s="9"/>
      <c r="I268" s="1"/>
      <c r="J268" s="1"/>
      <c r="K268" s="1"/>
      <c r="L268" s="8"/>
      <c r="M268" s="1"/>
      <c r="N268" s="1"/>
    </row>
    <row r="269" spans="1:14">
      <c r="A269" s="1"/>
      <c r="B269" s="8"/>
      <c r="C269" s="1"/>
      <c r="D269" s="1"/>
      <c r="E269" s="1"/>
      <c r="F269" s="1"/>
      <c r="G269" s="1"/>
      <c r="H269" s="9"/>
      <c r="I269" s="1"/>
      <c r="J269" s="1"/>
      <c r="K269" s="1"/>
      <c r="L269" s="8"/>
      <c r="M269" s="1"/>
      <c r="N269" s="1"/>
    </row>
    <row r="270" spans="1:14">
      <c r="A270" s="1"/>
      <c r="B270" s="8"/>
      <c r="C270" s="1"/>
      <c r="D270" s="1"/>
      <c r="E270" s="1"/>
      <c r="F270" s="1"/>
      <c r="G270" s="1"/>
      <c r="H270" s="9"/>
      <c r="I270" s="1"/>
      <c r="J270" s="1"/>
      <c r="K270" s="1"/>
      <c r="L270" s="8"/>
      <c r="M270" s="1"/>
      <c r="N270" s="1"/>
    </row>
    <row r="271" spans="1:14">
      <c r="A271" s="1"/>
      <c r="B271" s="8"/>
      <c r="C271" s="1"/>
      <c r="D271" s="1"/>
      <c r="E271" s="1"/>
      <c r="F271" s="1"/>
      <c r="G271" s="1"/>
      <c r="H271" s="9"/>
      <c r="I271" s="1"/>
      <c r="J271" s="1"/>
      <c r="K271" s="1"/>
      <c r="L271" s="8"/>
      <c r="M271" s="1"/>
      <c r="N271" s="1"/>
    </row>
    <row r="272" spans="1:14">
      <c r="A272" s="1"/>
      <c r="B272" s="8"/>
      <c r="C272" s="1"/>
      <c r="D272" s="1"/>
      <c r="E272" s="1"/>
      <c r="F272" s="1"/>
      <c r="G272" s="1"/>
      <c r="H272" s="9"/>
      <c r="I272" s="1"/>
      <c r="J272" s="1"/>
      <c r="K272" s="1"/>
      <c r="L272" s="8"/>
      <c r="M272" s="1"/>
      <c r="N272" s="1"/>
    </row>
    <row r="273" spans="1:14">
      <c r="A273" s="1"/>
      <c r="B273" s="8"/>
      <c r="C273" s="1"/>
      <c r="D273" s="1"/>
      <c r="E273" s="1"/>
      <c r="F273" s="1"/>
      <c r="G273" s="1"/>
      <c r="H273" s="9"/>
      <c r="I273" s="1"/>
      <c r="J273" s="1"/>
      <c r="K273" s="1"/>
      <c r="L273" s="8"/>
      <c r="M273" s="1"/>
      <c r="N273" s="1"/>
    </row>
    <row r="274" spans="1:14">
      <c r="A274" s="1"/>
      <c r="B274" s="8"/>
      <c r="C274" s="1"/>
      <c r="D274" s="1"/>
      <c r="E274" s="1"/>
      <c r="F274" s="1"/>
      <c r="G274" s="1"/>
      <c r="H274" s="9"/>
      <c r="I274" s="1"/>
      <c r="J274" s="1"/>
      <c r="K274" s="1"/>
      <c r="L274" s="8"/>
      <c r="M274" s="1"/>
      <c r="N274" s="1"/>
    </row>
    <row r="275" spans="1:14">
      <c r="A275" s="1"/>
      <c r="B275" s="8"/>
      <c r="C275" s="1"/>
      <c r="D275" s="1"/>
      <c r="E275" s="1"/>
      <c r="F275" s="1"/>
      <c r="G275" s="1"/>
      <c r="H275" s="9"/>
      <c r="I275" s="1"/>
      <c r="J275" s="1"/>
      <c r="K275" s="1"/>
      <c r="L275" s="8"/>
      <c r="M275" s="1"/>
      <c r="N275" s="1"/>
    </row>
    <row r="276" spans="1:14">
      <c r="A276" s="1"/>
      <c r="B276" s="8"/>
      <c r="C276" s="1"/>
      <c r="D276" s="1"/>
      <c r="E276" s="1"/>
      <c r="F276" s="1"/>
      <c r="G276" s="1"/>
      <c r="H276" s="9"/>
      <c r="I276" s="1"/>
      <c r="J276" s="1"/>
      <c r="K276" s="1"/>
      <c r="L276" s="8"/>
      <c r="M276" s="1"/>
      <c r="N276" s="1"/>
    </row>
    <row r="277" spans="1:14">
      <c r="A277" s="1"/>
      <c r="B277" s="8"/>
      <c r="C277" s="1"/>
      <c r="D277" s="1"/>
      <c r="E277" s="1"/>
      <c r="F277" s="1"/>
      <c r="G277" s="1"/>
      <c r="H277" s="9"/>
      <c r="I277" s="1"/>
      <c r="J277" s="1"/>
      <c r="K277" s="1"/>
      <c r="L277" s="8"/>
      <c r="M277" s="1"/>
      <c r="N277" s="1"/>
    </row>
    <row r="278" spans="1:14">
      <c r="A278" s="1"/>
      <c r="B278" s="8"/>
      <c r="C278" s="1"/>
      <c r="D278" s="1"/>
      <c r="E278" s="1"/>
      <c r="F278" s="1"/>
      <c r="G278" s="1"/>
      <c r="H278" s="9"/>
      <c r="I278" s="1"/>
      <c r="J278" s="1"/>
      <c r="K278" s="1"/>
      <c r="L278" s="8"/>
      <c r="M278" s="1"/>
      <c r="N278" s="1"/>
    </row>
    <row r="279" spans="1:14">
      <c r="A279" s="1"/>
      <c r="B279" s="8"/>
      <c r="C279" s="1"/>
      <c r="D279" s="1"/>
      <c r="E279" s="1"/>
      <c r="F279" s="1"/>
      <c r="G279" s="1"/>
      <c r="H279" s="9"/>
      <c r="I279" s="1"/>
      <c r="J279" s="1"/>
      <c r="K279" s="1"/>
      <c r="L279" s="8"/>
      <c r="M279" s="1"/>
      <c r="N279" s="1"/>
    </row>
    <row r="280" spans="1:14">
      <c r="A280" s="1"/>
      <c r="B280" s="8"/>
      <c r="C280" s="1"/>
      <c r="D280" s="1"/>
      <c r="E280" s="1"/>
      <c r="F280" s="1"/>
      <c r="G280" s="1"/>
      <c r="H280" s="9"/>
      <c r="I280" s="1"/>
      <c r="J280" s="1"/>
      <c r="K280" s="1"/>
      <c r="L280" s="8"/>
      <c r="M280" s="1"/>
      <c r="N280" s="1"/>
    </row>
    <row r="281" spans="1:14">
      <c r="A281" s="1"/>
      <c r="B281" s="8"/>
      <c r="C281" s="1"/>
      <c r="D281" s="1"/>
      <c r="E281" s="1"/>
      <c r="F281" s="1"/>
      <c r="G281" s="1"/>
      <c r="H281" s="9"/>
      <c r="I281" s="1"/>
      <c r="J281" s="1"/>
      <c r="K281" s="1"/>
      <c r="L281" s="8"/>
      <c r="M281" s="1"/>
      <c r="N281" s="1"/>
    </row>
    <row r="282" spans="1:14">
      <c r="A282" s="1"/>
      <c r="B282" s="8"/>
      <c r="C282" s="1"/>
      <c r="D282" s="1"/>
      <c r="E282" s="1"/>
      <c r="F282" s="1"/>
      <c r="G282" s="1"/>
      <c r="H282" s="9"/>
      <c r="I282" s="1"/>
      <c r="J282" s="1"/>
      <c r="K282" s="1"/>
      <c r="L282" s="8"/>
      <c r="M282" s="1"/>
      <c r="N282" s="1"/>
    </row>
    <row r="283" spans="1:14">
      <c r="A283" s="1"/>
      <c r="B283" s="8"/>
      <c r="C283" s="1"/>
      <c r="D283" s="1"/>
      <c r="E283" s="1"/>
      <c r="F283" s="1"/>
      <c r="G283" s="1"/>
      <c r="H283" s="9"/>
      <c r="I283" s="1"/>
      <c r="J283" s="1"/>
      <c r="K283" s="1"/>
      <c r="L283" s="8"/>
      <c r="M283" s="1"/>
      <c r="N283" s="1"/>
    </row>
    <row r="284" spans="1:14">
      <c r="A284" s="1"/>
      <c r="B284" s="8"/>
      <c r="C284" s="1"/>
      <c r="D284" s="1"/>
      <c r="E284" s="1"/>
      <c r="F284" s="1"/>
      <c r="G284" s="1"/>
      <c r="H284" s="9"/>
      <c r="I284" s="1"/>
      <c r="J284" s="1"/>
      <c r="K284" s="1"/>
      <c r="L284" s="8"/>
      <c r="M284" s="1"/>
      <c r="N284" s="1"/>
    </row>
    <row r="285" spans="1:14">
      <c r="A285" s="1"/>
      <c r="B285" s="8"/>
      <c r="C285" s="1"/>
      <c r="D285" s="1"/>
      <c r="E285" s="1"/>
      <c r="F285" s="1"/>
      <c r="G285" s="1"/>
      <c r="H285" s="9"/>
      <c r="I285" s="1"/>
      <c r="J285" s="1"/>
      <c r="K285" s="1"/>
      <c r="L285" s="8"/>
      <c r="M285" s="1"/>
      <c r="N285" s="1"/>
    </row>
    <row r="286" spans="1:14">
      <c r="A286" s="1"/>
      <c r="B286" s="8"/>
      <c r="C286" s="1"/>
      <c r="D286" s="1"/>
      <c r="E286" s="1"/>
      <c r="F286" s="1"/>
      <c r="G286" s="1"/>
      <c r="H286" s="9"/>
      <c r="I286" s="1"/>
      <c r="J286" s="1"/>
      <c r="K286" s="1"/>
      <c r="L286" s="8"/>
      <c r="M286" s="1"/>
      <c r="N286" s="1"/>
    </row>
    <row r="287" spans="1:14">
      <c r="A287" s="1"/>
      <c r="B287" s="8"/>
      <c r="C287" s="1"/>
      <c r="D287" s="1"/>
      <c r="E287" s="1"/>
      <c r="F287" s="1"/>
      <c r="G287" s="1"/>
      <c r="H287" s="9"/>
      <c r="I287" s="1"/>
      <c r="J287" s="1"/>
      <c r="K287" s="1"/>
      <c r="L287" s="8"/>
      <c r="M287" s="1"/>
      <c r="N287" s="1"/>
    </row>
    <row r="288" spans="1:14">
      <c r="A288" s="1"/>
      <c r="B288" s="8"/>
      <c r="C288" s="1"/>
      <c r="D288" s="1"/>
      <c r="E288" s="1"/>
      <c r="F288" s="1"/>
      <c r="G288" s="1"/>
      <c r="H288" s="9"/>
      <c r="I288" s="1"/>
      <c r="J288" s="1"/>
      <c r="K288" s="1"/>
      <c r="L288" s="8"/>
      <c r="M288" s="1"/>
      <c r="N288" s="1"/>
    </row>
    <row r="289" spans="1:14">
      <c r="A289" s="1"/>
      <c r="B289" s="8"/>
      <c r="C289" s="1"/>
      <c r="D289" s="1"/>
      <c r="E289" s="1"/>
      <c r="F289" s="1"/>
      <c r="G289" s="1"/>
      <c r="H289" s="9"/>
      <c r="I289" s="1"/>
      <c r="J289" s="1"/>
      <c r="K289" s="1"/>
      <c r="L289" s="8"/>
      <c r="M289" s="1"/>
      <c r="N289" s="1"/>
    </row>
    <row r="290" spans="1:14">
      <c r="A290" s="1"/>
      <c r="B290" s="8"/>
      <c r="C290" s="1"/>
      <c r="D290" s="1"/>
      <c r="E290" s="1"/>
      <c r="F290" s="1"/>
      <c r="G290" s="1"/>
      <c r="H290" s="9"/>
      <c r="I290" s="1"/>
      <c r="J290" s="1"/>
      <c r="K290" s="1"/>
      <c r="L290" s="8"/>
      <c r="M290" s="1"/>
      <c r="N290" s="1"/>
    </row>
    <row r="291" spans="1:14">
      <c r="A291" s="1"/>
      <c r="B291" s="8"/>
      <c r="C291" s="1"/>
      <c r="D291" s="1"/>
      <c r="E291" s="1"/>
      <c r="F291" s="1"/>
      <c r="G291" s="1"/>
      <c r="H291" s="9"/>
      <c r="I291" s="1"/>
      <c r="J291" s="1"/>
      <c r="K291" s="1"/>
      <c r="L291" s="8"/>
      <c r="M291" s="1"/>
      <c r="N291" s="1"/>
    </row>
    <row r="292" spans="1:14">
      <c r="A292" s="1"/>
      <c r="B292" s="8"/>
      <c r="C292" s="1"/>
      <c r="D292" s="1"/>
      <c r="E292" s="1"/>
      <c r="F292" s="1"/>
      <c r="G292" s="1"/>
      <c r="H292" s="9"/>
      <c r="I292" s="1"/>
      <c r="J292" s="1"/>
      <c r="K292" s="1"/>
      <c r="L292" s="8"/>
      <c r="M292" s="1"/>
      <c r="N292" s="1"/>
    </row>
    <row r="293" spans="1:14">
      <c r="A293" s="1"/>
      <c r="B293" s="8"/>
      <c r="C293" s="1"/>
      <c r="D293" s="1"/>
      <c r="E293" s="1"/>
      <c r="F293" s="1"/>
      <c r="G293" s="1"/>
      <c r="H293" s="9"/>
      <c r="I293" s="1"/>
      <c r="J293" s="1"/>
      <c r="K293" s="1"/>
      <c r="L293" s="8"/>
      <c r="M293" s="1"/>
      <c r="N293" s="1"/>
    </row>
    <row r="294" spans="1:14">
      <c r="A294" s="1"/>
      <c r="B294" s="8"/>
      <c r="C294" s="1"/>
      <c r="D294" s="1"/>
      <c r="E294" s="1"/>
      <c r="F294" s="1"/>
      <c r="G294" s="1"/>
      <c r="H294" s="9"/>
      <c r="I294" s="1"/>
      <c r="J294" s="1"/>
      <c r="K294" s="1"/>
      <c r="L294" s="8"/>
      <c r="M294" s="1"/>
      <c r="N294" s="1"/>
    </row>
    <row r="295" spans="1:14">
      <c r="A295" s="1"/>
      <c r="B295" s="8"/>
      <c r="C295" s="1"/>
      <c r="D295" s="1"/>
      <c r="E295" s="1"/>
      <c r="F295" s="1"/>
      <c r="G295" s="1"/>
      <c r="H295" s="9"/>
      <c r="I295" s="1"/>
      <c r="J295" s="1"/>
      <c r="K295" s="1"/>
      <c r="L295" s="8"/>
      <c r="M295" s="1"/>
      <c r="N295" s="1"/>
    </row>
    <row r="296" spans="1:14">
      <c r="A296" s="1"/>
      <c r="B296" s="8"/>
      <c r="C296" s="1"/>
      <c r="D296" s="1"/>
      <c r="E296" s="1"/>
      <c r="F296" s="1"/>
      <c r="G296" s="1"/>
      <c r="H296" s="9"/>
      <c r="I296" s="1"/>
      <c r="J296" s="1"/>
      <c r="K296" s="1"/>
      <c r="L296" s="8"/>
      <c r="M296" s="1"/>
      <c r="N296" s="1"/>
    </row>
    <row r="297" spans="1:14">
      <c r="A297" s="1"/>
      <c r="B297" s="8"/>
      <c r="C297" s="1"/>
      <c r="D297" s="1"/>
      <c r="E297" s="1"/>
      <c r="F297" s="1"/>
      <c r="G297" s="1"/>
      <c r="H297" s="9"/>
      <c r="I297" s="1"/>
      <c r="J297" s="1"/>
      <c r="K297" s="1"/>
      <c r="L297" s="8"/>
      <c r="M297" s="1"/>
      <c r="N297" s="1"/>
    </row>
    <row r="298" spans="1:14">
      <c r="A298" s="1"/>
      <c r="B298" s="8"/>
      <c r="C298" s="1"/>
      <c r="D298" s="1"/>
      <c r="E298" s="1"/>
      <c r="F298" s="1"/>
      <c r="G298" s="1"/>
      <c r="H298" s="9"/>
      <c r="I298" s="1"/>
      <c r="J298" s="1"/>
      <c r="K298" s="1"/>
      <c r="L298" s="8"/>
      <c r="M298" s="1"/>
      <c r="N298" s="1"/>
    </row>
    <row r="299" spans="1:14">
      <c r="A299" s="1"/>
      <c r="B299" s="8"/>
      <c r="C299" s="1"/>
      <c r="D299" s="1"/>
      <c r="E299" s="1"/>
      <c r="F299" s="1"/>
      <c r="G299" s="1"/>
      <c r="H299" s="9"/>
      <c r="I299" s="1"/>
      <c r="J299" s="1"/>
      <c r="K299" s="1"/>
      <c r="L299" s="8"/>
      <c r="M299" s="1"/>
      <c r="N299" s="1"/>
    </row>
    <row r="300" spans="1:14">
      <c r="A300" s="1"/>
      <c r="B300" s="8"/>
      <c r="C300" s="1"/>
      <c r="D300" s="1"/>
      <c r="E300" s="1"/>
      <c r="F300" s="1"/>
      <c r="G300" s="1"/>
      <c r="H300" s="9"/>
      <c r="I300" s="1"/>
      <c r="J300" s="1"/>
      <c r="K300" s="1"/>
      <c r="L300" s="8"/>
      <c r="M300" s="1"/>
      <c r="N300" s="1"/>
    </row>
    <row r="301" spans="1:14">
      <c r="A301" s="1"/>
      <c r="B301" s="8"/>
      <c r="C301" s="1"/>
      <c r="D301" s="1"/>
      <c r="E301" s="1"/>
      <c r="F301" s="1"/>
      <c r="G301" s="1"/>
      <c r="H301" s="9"/>
      <c r="I301" s="1"/>
      <c r="J301" s="1"/>
      <c r="K301" s="1"/>
      <c r="L301" s="8"/>
      <c r="M301" s="1"/>
      <c r="N301" s="1"/>
    </row>
    <row r="302" spans="1:14">
      <c r="A302" s="1"/>
      <c r="B302" s="8"/>
      <c r="C302" s="1"/>
      <c r="D302" s="1"/>
      <c r="E302" s="1"/>
      <c r="F302" s="1"/>
      <c r="G302" s="1"/>
      <c r="H302" s="9"/>
      <c r="I302" s="1"/>
      <c r="J302" s="1"/>
      <c r="K302" s="1"/>
      <c r="L302" s="8"/>
      <c r="M302" s="1"/>
      <c r="N302" s="1"/>
    </row>
    <row r="303" spans="1:14">
      <c r="A303" s="1"/>
      <c r="B303" s="8"/>
      <c r="C303" s="1"/>
      <c r="D303" s="1"/>
      <c r="E303" s="1"/>
      <c r="F303" s="1"/>
      <c r="G303" s="1"/>
      <c r="H303" s="9"/>
      <c r="I303" s="1"/>
      <c r="J303" s="1"/>
      <c r="K303" s="1"/>
      <c r="L303" s="8"/>
      <c r="M303" s="1"/>
      <c r="N303" s="1"/>
    </row>
    <row r="304" spans="1:14">
      <c r="A304" s="1"/>
      <c r="B304" s="8"/>
      <c r="C304" s="1"/>
      <c r="D304" s="1"/>
      <c r="E304" s="1"/>
      <c r="F304" s="1"/>
      <c r="G304" s="1"/>
      <c r="H304" s="9"/>
      <c r="I304" s="1"/>
      <c r="J304" s="1"/>
      <c r="K304" s="1"/>
      <c r="L304" s="8"/>
      <c r="M304" s="1"/>
      <c r="N304" s="1"/>
    </row>
    <row r="305" spans="1:14">
      <c r="A305" s="1"/>
      <c r="B305" s="8"/>
      <c r="C305" s="1"/>
      <c r="D305" s="1"/>
      <c r="E305" s="1"/>
      <c r="F305" s="1"/>
      <c r="G305" s="1"/>
      <c r="H305" s="9"/>
      <c r="I305" s="1"/>
      <c r="J305" s="1"/>
      <c r="K305" s="1"/>
      <c r="L305" s="8"/>
      <c r="M305" s="1"/>
      <c r="N305" s="1"/>
    </row>
    <row r="306" spans="1:14">
      <c r="A306" s="1"/>
      <c r="B306" s="8"/>
      <c r="C306" s="1"/>
      <c r="D306" s="1"/>
      <c r="E306" s="1"/>
      <c r="F306" s="1"/>
      <c r="G306" s="1"/>
      <c r="H306" s="9"/>
      <c r="I306" s="1"/>
      <c r="J306" s="1"/>
      <c r="K306" s="1"/>
      <c r="L306" s="8"/>
      <c r="M306" s="1"/>
      <c r="N306" s="1"/>
    </row>
    <row r="307" spans="1:14">
      <c r="A307" s="1"/>
      <c r="B307" s="8"/>
      <c r="C307" s="1"/>
      <c r="D307" s="1"/>
      <c r="E307" s="1"/>
      <c r="F307" s="1"/>
      <c r="G307" s="1"/>
      <c r="H307" s="9"/>
      <c r="I307" s="1"/>
      <c r="J307" s="1"/>
      <c r="K307" s="1"/>
      <c r="L307" s="8"/>
      <c r="M307" s="1"/>
      <c r="N307" s="1"/>
    </row>
    <row r="308" spans="1:14">
      <c r="A308" s="1"/>
      <c r="B308" s="8"/>
      <c r="C308" s="1"/>
      <c r="D308" s="1"/>
      <c r="E308" s="1"/>
      <c r="F308" s="1"/>
      <c r="G308" s="1"/>
      <c r="H308" s="9"/>
      <c r="I308" s="1"/>
      <c r="J308" s="1"/>
      <c r="K308" s="1"/>
      <c r="L308" s="8"/>
      <c r="M308" s="1"/>
      <c r="N308" s="1"/>
    </row>
    <row r="309" spans="1:14">
      <c r="A309" s="1"/>
      <c r="B309" s="8"/>
      <c r="C309" s="1"/>
      <c r="D309" s="1"/>
      <c r="E309" s="1"/>
      <c r="F309" s="1"/>
      <c r="G309" s="1"/>
      <c r="H309" s="9"/>
      <c r="I309" s="1"/>
      <c r="J309" s="1"/>
      <c r="K309" s="1"/>
      <c r="L309" s="8"/>
      <c r="M309" s="1"/>
      <c r="N309" s="1"/>
    </row>
    <row r="310" spans="1:14">
      <c r="A310" s="1"/>
      <c r="B310" s="8"/>
      <c r="C310" s="1"/>
      <c r="D310" s="1"/>
      <c r="E310" s="1"/>
      <c r="F310" s="1"/>
      <c r="G310" s="1"/>
      <c r="H310" s="9"/>
      <c r="I310" s="1"/>
      <c r="J310" s="1"/>
      <c r="K310" s="1"/>
      <c r="L310" s="8"/>
      <c r="M310" s="1"/>
      <c r="N310" s="1"/>
    </row>
    <row r="311" spans="1:14">
      <c r="A311" s="1"/>
      <c r="B311" s="8"/>
      <c r="C311" s="1"/>
      <c r="D311" s="1"/>
      <c r="E311" s="1"/>
      <c r="F311" s="1"/>
      <c r="G311" s="1"/>
      <c r="H311" s="9"/>
      <c r="I311" s="1"/>
      <c r="J311" s="1"/>
      <c r="K311" s="1"/>
      <c r="L311" s="8"/>
      <c r="M311" s="1"/>
      <c r="N311" s="1"/>
    </row>
    <row r="312" spans="1:14">
      <c r="A312" s="1"/>
      <c r="B312" s="8"/>
      <c r="C312" s="1"/>
      <c r="D312" s="1"/>
      <c r="E312" s="1"/>
      <c r="F312" s="1"/>
      <c r="G312" s="1"/>
      <c r="H312" s="9"/>
      <c r="I312" s="1"/>
      <c r="J312" s="1"/>
      <c r="K312" s="1"/>
      <c r="L312" s="8"/>
      <c r="M312" s="1"/>
      <c r="N312" s="1"/>
    </row>
    <row r="313" spans="1:14">
      <c r="A313" s="1"/>
      <c r="B313" s="8"/>
      <c r="C313" s="1"/>
      <c r="D313" s="1"/>
      <c r="E313" s="1"/>
      <c r="F313" s="1"/>
      <c r="G313" s="1"/>
      <c r="H313" s="9"/>
      <c r="I313" s="1"/>
      <c r="J313" s="1"/>
      <c r="K313" s="1"/>
      <c r="L313" s="8"/>
      <c r="M313" s="1"/>
      <c r="N313" s="1"/>
    </row>
    <row r="314" spans="1:14">
      <c r="A314" s="1"/>
      <c r="B314" s="8"/>
      <c r="C314" s="1"/>
      <c r="D314" s="1"/>
      <c r="E314" s="1"/>
      <c r="F314" s="1"/>
      <c r="G314" s="1"/>
      <c r="H314" s="9"/>
      <c r="I314" s="1"/>
      <c r="J314" s="1"/>
      <c r="K314" s="1"/>
      <c r="L314" s="8"/>
      <c r="M314" s="1"/>
      <c r="N314" s="1"/>
    </row>
    <row r="315" spans="1:14">
      <c r="A315" s="1"/>
      <c r="B315" s="8"/>
      <c r="C315" s="1"/>
      <c r="D315" s="1"/>
      <c r="E315" s="1"/>
      <c r="F315" s="1"/>
      <c r="G315" s="1"/>
      <c r="H315" s="9"/>
      <c r="I315" s="1"/>
      <c r="J315" s="1"/>
      <c r="K315" s="1"/>
      <c r="L315" s="8"/>
      <c r="M315" s="1"/>
      <c r="N315" s="1"/>
    </row>
    <row r="316" spans="1:14">
      <c r="A316" s="1"/>
      <c r="B316" s="8"/>
      <c r="C316" s="1"/>
      <c r="D316" s="1"/>
      <c r="E316" s="1"/>
      <c r="F316" s="1"/>
      <c r="G316" s="1"/>
      <c r="H316" s="9"/>
      <c r="I316" s="1"/>
      <c r="J316" s="1"/>
      <c r="K316" s="1"/>
      <c r="L316" s="8"/>
      <c r="M316" s="1"/>
      <c r="N316" s="1"/>
    </row>
    <row r="317" spans="1:14">
      <c r="A317" s="1"/>
      <c r="B317" s="8"/>
      <c r="C317" s="1"/>
      <c r="D317" s="1"/>
      <c r="E317" s="1"/>
      <c r="F317" s="1"/>
      <c r="G317" s="1"/>
      <c r="H317" s="9"/>
      <c r="I317" s="1"/>
      <c r="J317" s="1"/>
      <c r="K317" s="1"/>
      <c r="L317" s="8"/>
      <c r="M317" s="1"/>
      <c r="N317" s="1"/>
    </row>
    <row r="318" spans="1:14">
      <c r="A318" s="1"/>
      <c r="B318" s="8"/>
      <c r="C318" s="1"/>
      <c r="D318" s="1"/>
      <c r="E318" s="1"/>
      <c r="F318" s="1"/>
      <c r="G318" s="1"/>
      <c r="H318" s="9"/>
      <c r="I318" s="1"/>
      <c r="J318" s="1"/>
      <c r="K318" s="1"/>
      <c r="L318" s="8"/>
      <c r="M318" s="1"/>
      <c r="N318" s="1"/>
    </row>
    <row r="319" spans="1:14">
      <c r="A319" s="1"/>
      <c r="B319" s="8"/>
      <c r="C319" s="1"/>
      <c r="D319" s="1"/>
      <c r="E319" s="1"/>
      <c r="F319" s="1"/>
      <c r="G319" s="1"/>
      <c r="H319" s="9"/>
      <c r="I319" s="1"/>
      <c r="J319" s="1"/>
      <c r="K319" s="1"/>
      <c r="L319" s="8"/>
      <c r="M319" s="1"/>
      <c r="N319" s="1"/>
    </row>
    <row r="320" spans="1:14">
      <c r="A320" s="1"/>
      <c r="B320" s="8"/>
      <c r="C320" s="1"/>
      <c r="D320" s="1"/>
      <c r="E320" s="1"/>
      <c r="F320" s="1"/>
      <c r="G320" s="1"/>
      <c r="H320" s="9"/>
      <c r="I320" s="1"/>
      <c r="J320" s="1"/>
      <c r="K320" s="1"/>
      <c r="L320" s="8"/>
      <c r="M320" s="1"/>
      <c r="N320" s="1"/>
    </row>
    <row r="321" spans="1:14">
      <c r="A321" s="1"/>
      <c r="B321" s="8"/>
      <c r="C321" s="1"/>
      <c r="D321" s="1"/>
      <c r="E321" s="1"/>
      <c r="F321" s="1"/>
      <c r="G321" s="1"/>
      <c r="H321" s="9"/>
      <c r="I321" s="1"/>
      <c r="J321" s="1"/>
      <c r="K321" s="1"/>
      <c r="L321" s="8"/>
      <c r="M321" s="1"/>
      <c r="N321" s="1"/>
    </row>
    <row r="322" spans="1:14">
      <c r="A322" s="1"/>
      <c r="B322" s="8"/>
      <c r="C322" s="1"/>
      <c r="D322" s="1"/>
      <c r="E322" s="1"/>
      <c r="F322" s="1"/>
      <c r="G322" s="1"/>
      <c r="H322" s="9"/>
      <c r="I322" s="1"/>
      <c r="J322" s="1"/>
      <c r="K322" s="1"/>
      <c r="L322" s="8"/>
      <c r="M322" s="1"/>
      <c r="N322" s="1"/>
    </row>
    <row r="323" spans="1:14">
      <c r="A323" s="1"/>
      <c r="B323" s="8"/>
      <c r="C323" s="1"/>
      <c r="D323" s="1"/>
      <c r="E323" s="1"/>
      <c r="F323" s="1"/>
      <c r="G323" s="1"/>
      <c r="H323" s="9"/>
      <c r="I323" s="1"/>
      <c r="J323" s="1"/>
      <c r="K323" s="1"/>
      <c r="L323" s="8"/>
      <c r="M323" s="1"/>
      <c r="N323" s="1"/>
    </row>
    <row r="324" spans="1:14">
      <c r="A324" s="1"/>
      <c r="B324" s="8"/>
      <c r="C324" s="1"/>
      <c r="D324" s="1"/>
      <c r="E324" s="1"/>
      <c r="F324" s="1"/>
      <c r="G324" s="1"/>
      <c r="H324" s="9"/>
      <c r="I324" s="1"/>
      <c r="J324" s="1"/>
      <c r="K324" s="1"/>
      <c r="L324" s="8"/>
      <c r="M324" s="1"/>
      <c r="N324" s="1"/>
    </row>
    <row r="325" spans="1:14">
      <c r="A325" s="1"/>
      <c r="B325" s="8"/>
      <c r="C325" s="1"/>
      <c r="D325" s="1"/>
      <c r="E325" s="1"/>
      <c r="F325" s="1"/>
      <c r="G325" s="1"/>
      <c r="H325" s="9"/>
      <c r="I325" s="1"/>
      <c r="J325" s="1"/>
      <c r="K325" s="1"/>
      <c r="L325" s="8"/>
      <c r="M325" s="1"/>
      <c r="N325" s="1"/>
    </row>
    <row r="326" spans="1:14">
      <c r="A326" s="1"/>
      <c r="B326" s="8"/>
      <c r="C326" s="1"/>
      <c r="D326" s="1"/>
      <c r="E326" s="1"/>
      <c r="F326" s="1"/>
      <c r="G326" s="1"/>
      <c r="H326" s="9"/>
      <c r="I326" s="1"/>
      <c r="J326" s="1"/>
      <c r="K326" s="1"/>
      <c r="L326" s="8"/>
      <c r="M326" s="1"/>
      <c r="N326" s="1"/>
    </row>
    <row r="327" spans="1:14">
      <c r="A327" s="1"/>
      <c r="B327" s="8"/>
      <c r="C327" s="1"/>
      <c r="D327" s="1"/>
      <c r="E327" s="1"/>
      <c r="F327" s="1"/>
      <c r="G327" s="1"/>
      <c r="H327" s="9"/>
      <c r="I327" s="1"/>
      <c r="J327" s="1"/>
      <c r="K327" s="1"/>
      <c r="L327" s="8"/>
      <c r="M327" s="1"/>
      <c r="N327" s="1"/>
    </row>
    <row r="328" spans="1:14">
      <c r="A328" s="1"/>
      <c r="B328" s="8"/>
      <c r="C328" s="1"/>
      <c r="D328" s="1"/>
      <c r="E328" s="1"/>
      <c r="F328" s="1"/>
      <c r="G328" s="1"/>
      <c r="H328" s="9"/>
      <c r="I328" s="1"/>
      <c r="J328" s="1"/>
      <c r="K328" s="1"/>
      <c r="L328" s="8"/>
      <c r="M328" s="1"/>
      <c r="N328" s="1"/>
    </row>
    <row r="329" spans="1:14">
      <c r="A329" s="1"/>
      <c r="B329" s="8"/>
      <c r="C329" s="1"/>
      <c r="D329" s="1"/>
      <c r="E329" s="1"/>
      <c r="F329" s="1"/>
      <c r="G329" s="1"/>
      <c r="H329" s="9"/>
      <c r="I329" s="1"/>
      <c r="J329" s="1"/>
      <c r="K329" s="1"/>
      <c r="L329" s="8"/>
      <c r="M329" s="1"/>
      <c r="N329" s="1"/>
    </row>
    <row r="330" spans="1:14">
      <c r="A330" s="1"/>
      <c r="B330" s="8"/>
      <c r="C330" s="1"/>
      <c r="D330" s="1"/>
      <c r="E330" s="1"/>
      <c r="F330" s="1"/>
      <c r="G330" s="1"/>
      <c r="H330" s="9"/>
      <c r="I330" s="1"/>
      <c r="J330" s="1"/>
      <c r="K330" s="1"/>
      <c r="L330" s="8"/>
      <c r="M330" s="1"/>
      <c r="N330" s="1"/>
    </row>
    <row r="331" spans="1:14">
      <c r="A331" s="1"/>
      <c r="B331" s="8"/>
      <c r="C331" s="1"/>
      <c r="D331" s="1"/>
      <c r="E331" s="1"/>
      <c r="F331" s="1"/>
      <c r="G331" s="1"/>
      <c r="H331" s="9"/>
      <c r="I331" s="1"/>
      <c r="J331" s="1"/>
      <c r="K331" s="1"/>
      <c r="L331" s="8"/>
      <c r="M331" s="1"/>
      <c r="N331" s="1"/>
    </row>
    <row r="332" spans="1:14">
      <c r="A332" s="1"/>
      <c r="B332" s="8"/>
      <c r="C332" s="1"/>
      <c r="D332" s="1"/>
      <c r="E332" s="1"/>
      <c r="F332" s="1"/>
      <c r="G332" s="1"/>
      <c r="H332" s="9"/>
      <c r="I332" s="1"/>
      <c r="J332" s="1"/>
      <c r="K332" s="1"/>
      <c r="L332" s="8"/>
      <c r="M332" s="1"/>
      <c r="N332" s="1"/>
    </row>
    <row r="333" spans="1:14">
      <c r="A333" s="1"/>
      <c r="B333" s="8"/>
      <c r="C333" s="1"/>
      <c r="D333" s="1"/>
      <c r="E333" s="1"/>
      <c r="F333" s="1"/>
      <c r="G333" s="1"/>
      <c r="H333" s="9"/>
      <c r="I333" s="1"/>
      <c r="J333" s="1"/>
      <c r="K333" s="1"/>
      <c r="L333" s="8"/>
      <c r="M333" s="1"/>
      <c r="N333" s="1"/>
    </row>
    <row r="334" spans="1:14">
      <c r="A334" s="1"/>
      <c r="B334" s="8"/>
      <c r="C334" s="1"/>
      <c r="D334" s="1"/>
      <c r="E334" s="1"/>
      <c r="F334" s="1"/>
      <c r="G334" s="1"/>
      <c r="H334" s="9"/>
      <c r="I334" s="1"/>
      <c r="J334" s="1"/>
      <c r="K334" s="1"/>
      <c r="L334" s="8"/>
      <c r="M334" s="1"/>
      <c r="N334" s="1"/>
    </row>
    <row r="335" spans="1:14">
      <c r="A335" s="1"/>
      <c r="B335" s="8"/>
      <c r="C335" s="1"/>
      <c r="D335" s="1"/>
      <c r="E335" s="1"/>
      <c r="F335" s="1"/>
      <c r="G335" s="1"/>
      <c r="H335" s="9"/>
      <c r="I335" s="1"/>
      <c r="J335" s="1"/>
      <c r="K335" s="1"/>
      <c r="L335" s="8"/>
      <c r="M335" s="1"/>
      <c r="N335" s="1"/>
    </row>
    <row r="336" spans="1:14">
      <c r="A336" s="1"/>
      <c r="B336" s="8"/>
      <c r="C336" s="1"/>
      <c r="D336" s="1"/>
      <c r="E336" s="1"/>
      <c r="F336" s="1"/>
      <c r="G336" s="1"/>
      <c r="H336" s="9"/>
      <c r="I336" s="1"/>
      <c r="J336" s="1"/>
      <c r="K336" s="1"/>
      <c r="L336" s="8"/>
      <c r="M336" s="1"/>
      <c r="N336" s="1"/>
    </row>
    <row r="337" spans="1:14">
      <c r="A337" s="1"/>
      <c r="B337" s="8"/>
      <c r="C337" s="1"/>
      <c r="D337" s="1"/>
      <c r="E337" s="1"/>
      <c r="F337" s="1"/>
      <c r="G337" s="1"/>
      <c r="H337" s="9"/>
      <c r="I337" s="1"/>
      <c r="J337" s="1"/>
      <c r="K337" s="1"/>
      <c r="L337" s="8"/>
      <c r="M337" s="1"/>
      <c r="N337" s="1"/>
    </row>
    <row r="338" spans="1:14">
      <c r="A338" s="1"/>
      <c r="B338" s="8"/>
      <c r="C338" s="1"/>
      <c r="D338" s="1"/>
      <c r="E338" s="1"/>
      <c r="F338" s="1"/>
      <c r="G338" s="1"/>
      <c r="H338" s="9"/>
      <c r="I338" s="1"/>
      <c r="J338" s="1"/>
      <c r="K338" s="1"/>
      <c r="L338" s="8"/>
      <c r="M338" s="1"/>
      <c r="N338" s="1"/>
    </row>
    <row r="339" spans="1:14">
      <c r="A339" s="1"/>
      <c r="B339" s="8"/>
      <c r="C339" s="1"/>
      <c r="D339" s="1"/>
      <c r="E339" s="1"/>
      <c r="F339" s="1"/>
      <c r="G339" s="1"/>
      <c r="H339" s="9"/>
      <c r="I339" s="1"/>
      <c r="J339" s="1"/>
      <c r="K339" s="1"/>
      <c r="L339" s="8"/>
      <c r="M339" s="1"/>
      <c r="N339" s="1"/>
    </row>
    <row r="340" spans="1:14">
      <c r="A340" s="1"/>
      <c r="B340" s="8"/>
      <c r="C340" s="1"/>
      <c r="D340" s="1"/>
      <c r="E340" s="1"/>
      <c r="F340" s="1"/>
      <c r="G340" s="1"/>
      <c r="H340" s="9"/>
      <c r="I340" s="1"/>
      <c r="J340" s="1"/>
      <c r="K340" s="1"/>
      <c r="L340" s="8"/>
      <c r="M340" s="1"/>
      <c r="N340" s="1"/>
    </row>
    <row r="341" spans="1:14">
      <c r="A341" s="1"/>
      <c r="B341" s="8"/>
      <c r="C341" s="1"/>
      <c r="D341" s="1"/>
      <c r="E341" s="1"/>
      <c r="F341" s="1"/>
      <c r="G341" s="1"/>
      <c r="H341" s="9"/>
      <c r="I341" s="1"/>
      <c r="J341" s="1"/>
      <c r="K341" s="1"/>
      <c r="L341" s="8"/>
      <c r="M341" s="1"/>
      <c r="N341" s="1"/>
    </row>
    <row r="342" spans="1:14">
      <c r="A342" s="1"/>
      <c r="B342" s="8"/>
      <c r="C342" s="1"/>
      <c r="D342" s="1"/>
      <c r="E342" s="1"/>
      <c r="F342" s="1"/>
      <c r="G342" s="1"/>
      <c r="H342" s="9"/>
      <c r="I342" s="1"/>
      <c r="J342" s="1"/>
      <c r="K342" s="1"/>
      <c r="L342" s="8"/>
      <c r="M342" s="1"/>
      <c r="N342" s="1"/>
    </row>
    <row r="343" spans="1:14">
      <c r="A343" s="1"/>
      <c r="B343" s="8"/>
      <c r="C343" s="1"/>
      <c r="D343" s="1"/>
      <c r="E343" s="1"/>
      <c r="F343" s="1"/>
      <c r="G343" s="1"/>
      <c r="H343" s="9"/>
      <c r="I343" s="1"/>
      <c r="J343" s="1"/>
      <c r="K343" s="1"/>
      <c r="L343" s="8"/>
      <c r="M343" s="1"/>
      <c r="N343" s="1"/>
    </row>
    <row r="344" spans="1:14">
      <c r="A344" s="1"/>
      <c r="B344" s="8"/>
      <c r="C344" s="1"/>
      <c r="D344" s="1"/>
      <c r="E344" s="1"/>
      <c r="F344" s="1"/>
      <c r="G344" s="1"/>
      <c r="H344" s="9"/>
      <c r="I344" s="1"/>
      <c r="J344" s="1"/>
      <c r="K344" s="1"/>
      <c r="L344" s="8"/>
      <c r="M344" s="1"/>
      <c r="N344" s="1"/>
    </row>
    <row r="345" spans="1:14">
      <c r="A345" s="1"/>
      <c r="B345" s="8"/>
      <c r="C345" s="1"/>
      <c r="D345" s="1"/>
      <c r="E345" s="1"/>
      <c r="F345" s="1"/>
      <c r="G345" s="1"/>
      <c r="H345" s="9"/>
      <c r="I345" s="1"/>
      <c r="J345" s="1"/>
      <c r="K345" s="1"/>
      <c r="L345" s="8"/>
      <c r="M345" s="1"/>
      <c r="N345" s="1"/>
    </row>
    <row r="346" spans="1:14">
      <c r="A346" s="1"/>
      <c r="B346" s="8"/>
      <c r="C346" s="1"/>
      <c r="D346" s="1"/>
      <c r="E346" s="1"/>
      <c r="F346" s="1"/>
      <c r="G346" s="1"/>
      <c r="H346" s="9"/>
      <c r="I346" s="1"/>
      <c r="J346" s="1"/>
      <c r="K346" s="1"/>
      <c r="L346" s="8"/>
      <c r="M346" s="1"/>
      <c r="N346" s="1"/>
    </row>
    <row r="347" spans="1:14">
      <c r="A347" s="1"/>
      <c r="B347" s="8"/>
      <c r="C347" s="1"/>
      <c r="D347" s="1"/>
      <c r="E347" s="1"/>
      <c r="F347" s="1"/>
      <c r="G347" s="1"/>
      <c r="H347" s="9"/>
      <c r="I347" s="1"/>
      <c r="J347" s="1"/>
      <c r="K347" s="1"/>
      <c r="L347" s="8"/>
      <c r="M347" s="1"/>
      <c r="N347" s="1"/>
    </row>
    <row r="348" spans="1:14">
      <c r="A348" s="1"/>
      <c r="B348" s="8"/>
      <c r="C348" s="1"/>
      <c r="D348" s="1"/>
      <c r="E348" s="1"/>
      <c r="F348" s="1"/>
      <c r="G348" s="1"/>
      <c r="H348" s="9"/>
      <c r="I348" s="1"/>
      <c r="J348" s="1"/>
      <c r="K348" s="1"/>
      <c r="L348" s="8"/>
      <c r="M348" s="1"/>
      <c r="N348" s="1"/>
    </row>
    <row r="349" spans="1:14">
      <c r="A349" s="1"/>
      <c r="B349" s="8"/>
      <c r="C349" s="1"/>
      <c r="D349" s="1"/>
      <c r="E349" s="1"/>
      <c r="F349" s="1"/>
      <c r="G349" s="1"/>
      <c r="H349" s="9"/>
      <c r="I349" s="1"/>
      <c r="J349" s="1"/>
      <c r="K349" s="1"/>
      <c r="L349" s="8"/>
      <c r="M349" s="1"/>
      <c r="N349" s="1"/>
    </row>
    <row r="350" spans="1:14">
      <c r="A350" s="1"/>
      <c r="B350" s="8"/>
      <c r="C350" s="1"/>
      <c r="D350" s="1"/>
      <c r="E350" s="1"/>
      <c r="F350" s="1"/>
      <c r="G350" s="1"/>
      <c r="H350" s="9"/>
      <c r="I350" s="1"/>
      <c r="J350" s="1"/>
      <c r="K350" s="1"/>
      <c r="L350" s="8"/>
      <c r="M350" s="1"/>
      <c r="N350" s="1"/>
    </row>
    <row r="351" spans="1:14">
      <c r="A351" s="1"/>
      <c r="B351" s="8"/>
      <c r="C351" s="1"/>
      <c r="D351" s="1"/>
      <c r="E351" s="1"/>
      <c r="F351" s="1"/>
      <c r="G351" s="1"/>
      <c r="H351" s="9"/>
      <c r="I351" s="1"/>
      <c r="J351" s="1"/>
      <c r="K351" s="1"/>
      <c r="L351" s="8"/>
      <c r="M351" s="1"/>
      <c r="N351" s="1"/>
    </row>
    <row r="352" spans="1:14">
      <c r="A352" s="1"/>
      <c r="B352" s="8"/>
      <c r="C352" s="1"/>
      <c r="D352" s="1"/>
      <c r="E352" s="1"/>
      <c r="F352" s="1"/>
      <c r="G352" s="1"/>
      <c r="H352" s="9"/>
      <c r="I352" s="1"/>
      <c r="J352" s="1"/>
      <c r="K352" s="1"/>
      <c r="L352" s="8"/>
      <c r="M352" s="1"/>
      <c r="N352" s="1"/>
    </row>
    <row r="353" spans="1:14">
      <c r="A353" s="1"/>
      <c r="B353" s="8"/>
      <c r="C353" s="1"/>
      <c r="D353" s="1"/>
      <c r="E353" s="1"/>
      <c r="F353" s="1"/>
      <c r="G353" s="1"/>
      <c r="H353" s="9"/>
      <c r="I353" s="1"/>
      <c r="J353" s="1"/>
      <c r="K353" s="1"/>
      <c r="L353" s="8"/>
      <c r="M353" s="1"/>
      <c r="N353" s="1"/>
    </row>
    <row r="354" spans="1:14">
      <c r="A354" s="1"/>
      <c r="B354" s="8"/>
      <c r="C354" s="1"/>
      <c r="D354" s="1"/>
      <c r="E354" s="1"/>
      <c r="F354" s="1"/>
      <c r="G354" s="1"/>
      <c r="H354" s="9"/>
      <c r="I354" s="1"/>
      <c r="J354" s="1"/>
      <c r="K354" s="1"/>
      <c r="L354" s="8"/>
      <c r="M354" s="1"/>
      <c r="N354" s="1"/>
    </row>
    <row r="355" spans="1:14">
      <c r="A355" s="1"/>
      <c r="B355" s="8"/>
      <c r="C355" s="1"/>
      <c r="D355" s="1"/>
      <c r="E355" s="1"/>
      <c r="F355" s="1"/>
      <c r="G355" s="1"/>
      <c r="H355" s="9"/>
      <c r="I355" s="1"/>
      <c r="J355" s="1"/>
      <c r="K355" s="1"/>
      <c r="L355" s="8"/>
      <c r="M355" s="1"/>
      <c r="N355" s="1"/>
    </row>
    <row r="356" spans="1:14">
      <c r="A356" s="1"/>
      <c r="B356" s="8"/>
      <c r="C356" s="1"/>
      <c r="D356" s="1"/>
      <c r="E356" s="1"/>
      <c r="F356" s="1"/>
      <c r="G356" s="1"/>
      <c r="H356" s="9"/>
      <c r="I356" s="1"/>
      <c r="J356" s="1"/>
      <c r="K356" s="1"/>
      <c r="L356" s="8"/>
      <c r="M356" s="1"/>
      <c r="N356" s="1"/>
    </row>
    <row r="357" spans="1:14">
      <c r="A357" s="1"/>
      <c r="B357" s="8"/>
      <c r="C357" s="1"/>
      <c r="D357" s="1"/>
      <c r="E357" s="1"/>
      <c r="F357" s="1"/>
      <c r="G357" s="1"/>
      <c r="H357" s="9"/>
      <c r="I357" s="1"/>
      <c r="J357" s="1"/>
      <c r="K357" s="1"/>
      <c r="L357" s="8"/>
      <c r="M357" s="1"/>
      <c r="N357" s="1"/>
    </row>
    <row r="358" spans="1:14">
      <c r="A358" s="1"/>
      <c r="B358" s="8"/>
      <c r="C358" s="1"/>
      <c r="D358" s="1"/>
      <c r="E358" s="1"/>
      <c r="F358" s="1"/>
      <c r="G358" s="1"/>
      <c r="H358" s="9"/>
      <c r="I358" s="1"/>
      <c r="J358" s="1"/>
      <c r="K358" s="1"/>
      <c r="L358" s="8"/>
      <c r="M358" s="1"/>
      <c r="N358" s="1"/>
    </row>
    <row r="359" spans="1:14">
      <c r="A359" s="1"/>
      <c r="B359" s="8"/>
      <c r="C359" s="1"/>
      <c r="D359" s="1"/>
      <c r="E359" s="1"/>
      <c r="F359" s="1"/>
      <c r="G359" s="1"/>
      <c r="H359" s="9"/>
      <c r="I359" s="1"/>
      <c r="J359" s="1"/>
      <c r="K359" s="1"/>
      <c r="L359" s="8"/>
      <c r="M359" s="1"/>
      <c r="N359" s="1"/>
    </row>
    <row r="360" spans="1:14">
      <c r="A360" s="1"/>
      <c r="B360" s="8"/>
      <c r="C360" s="1"/>
      <c r="D360" s="1"/>
      <c r="E360" s="1"/>
      <c r="F360" s="1"/>
      <c r="G360" s="1"/>
      <c r="H360" s="9"/>
      <c r="I360" s="1"/>
      <c r="J360" s="1"/>
      <c r="K360" s="1"/>
      <c r="L360" s="8"/>
      <c r="M360" s="1"/>
      <c r="N360" s="1"/>
    </row>
    <row r="361" spans="1:14">
      <c r="A361" s="1"/>
      <c r="B361" s="8"/>
      <c r="C361" s="1"/>
      <c r="D361" s="1"/>
      <c r="E361" s="1"/>
      <c r="F361" s="1"/>
      <c r="G361" s="1"/>
      <c r="H361" s="9"/>
      <c r="I361" s="1"/>
      <c r="J361" s="1"/>
      <c r="K361" s="1"/>
      <c r="L361" s="8"/>
      <c r="M361" s="1"/>
      <c r="N361" s="1"/>
    </row>
    <row r="362" spans="1:14">
      <c r="A362" s="1"/>
      <c r="B362" s="8"/>
      <c r="C362" s="1"/>
      <c r="D362" s="1"/>
      <c r="E362" s="1"/>
      <c r="F362" s="1"/>
      <c r="G362" s="1"/>
      <c r="H362" s="9"/>
      <c r="I362" s="1"/>
      <c r="J362" s="1"/>
      <c r="K362" s="1"/>
      <c r="L362" s="8"/>
      <c r="M362" s="1"/>
      <c r="N362" s="1"/>
    </row>
    <row r="363" spans="1:14">
      <c r="A363" s="1"/>
      <c r="B363" s="8"/>
      <c r="C363" s="1"/>
      <c r="D363" s="1"/>
      <c r="E363" s="1"/>
      <c r="F363" s="1"/>
      <c r="G363" s="1"/>
      <c r="H363" s="9"/>
      <c r="I363" s="1"/>
      <c r="J363" s="1"/>
      <c r="K363" s="1"/>
      <c r="L363" s="8"/>
      <c r="M363" s="1"/>
      <c r="N363" s="1"/>
    </row>
    <row r="364" spans="1:14">
      <c r="A364" s="1"/>
      <c r="B364" s="8"/>
      <c r="C364" s="1"/>
      <c r="D364" s="1"/>
      <c r="E364" s="1"/>
      <c r="F364" s="1"/>
      <c r="G364" s="1"/>
      <c r="H364" s="9"/>
      <c r="I364" s="1"/>
      <c r="J364" s="1"/>
      <c r="K364" s="1"/>
      <c r="L364" s="8"/>
      <c r="M364" s="1"/>
      <c r="N364" s="1"/>
    </row>
    <row r="365" spans="1:14">
      <c r="A365" s="1"/>
      <c r="B365" s="8"/>
      <c r="C365" s="1"/>
      <c r="D365" s="1"/>
      <c r="E365" s="1"/>
      <c r="F365" s="1"/>
      <c r="G365" s="1"/>
      <c r="H365" s="9"/>
      <c r="I365" s="1"/>
      <c r="J365" s="1"/>
      <c r="K365" s="1"/>
      <c r="L365" s="8"/>
      <c r="M365" s="1"/>
      <c r="N365" s="1"/>
    </row>
    <row r="366" spans="1:14">
      <c r="A366" s="1"/>
      <c r="B366" s="8"/>
      <c r="C366" s="1"/>
      <c r="D366" s="1"/>
      <c r="E366" s="1"/>
      <c r="F366" s="1"/>
      <c r="G366" s="1"/>
      <c r="H366" s="9"/>
      <c r="I366" s="1"/>
      <c r="J366" s="1"/>
      <c r="K366" s="1"/>
      <c r="L366" s="8"/>
      <c r="M366" s="1"/>
      <c r="N366" s="1"/>
    </row>
    <row r="367" spans="1:14">
      <c r="A367" s="1"/>
      <c r="B367" s="8"/>
      <c r="C367" s="1"/>
      <c r="D367" s="1"/>
      <c r="E367" s="1"/>
      <c r="F367" s="1"/>
      <c r="G367" s="1"/>
      <c r="H367" s="9"/>
      <c r="I367" s="1"/>
      <c r="J367" s="1"/>
      <c r="K367" s="1"/>
      <c r="L367" s="8"/>
      <c r="M367" s="1"/>
      <c r="N367" s="1"/>
    </row>
    <row r="368" spans="1:14">
      <c r="A368" s="1"/>
      <c r="B368" s="8"/>
      <c r="C368" s="1"/>
      <c r="D368" s="1"/>
      <c r="E368" s="1"/>
      <c r="F368" s="1"/>
      <c r="G368" s="1"/>
      <c r="H368" s="9"/>
      <c r="I368" s="1"/>
      <c r="J368" s="1"/>
      <c r="K368" s="1"/>
      <c r="L368" s="8"/>
      <c r="M368" s="1"/>
      <c r="N368" s="1"/>
    </row>
    <row r="369" spans="1:14">
      <c r="A369" s="1"/>
      <c r="B369" s="8"/>
      <c r="C369" s="1"/>
      <c r="D369" s="1"/>
      <c r="E369" s="1"/>
      <c r="F369" s="1"/>
      <c r="G369" s="1"/>
      <c r="H369" s="9"/>
      <c r="I369" s="1"/>
      <c r="J369" s="1"/>
      <c r="K369" s="1"/>
      <c r="L369" s="8"/>
      <c r="M369" s="1"/>
      <c r="N369" s="1"/>
    </row>
    <row r="370" spans="1:14">
      <c r="A370" s="1"/>
      <c r="B370" s="8"/>
      <c r="C370" s="1"/>
      <c r="D370" s="1"/>
      <c r="E370" s="1"/>
      <c r="F370" s="1"/>
      <c r="G370" s="1"/>
      <c r="H370" s="9"/>
      <c r="I370" s="1"/>
      <c r="J370" s="1"/>
      <c r="K370" s="1"/>
      <c r="L370" s="8"/>
      <c r="M370" s="1"/>
      <c r="N370" s="1"/>
    </row>
    <row r="371" spans="1:14">
      <c r="A371" s="1"/>
      <c r="B371" s="8"/>
      <c r="C371" s="1"/>
      <c r="D371" s="1"/>
      <c r="E371" s="1"/>
      <c r="F371" s="1"/>
      <c r="G371" s="1"/>
      <c r="H371" s="9"/>
      <c r="I371" s="1"/>
      <c r="J371" s="1"/>
      <c r="K371" s="1"/>
      <c r="L371" s="8"/>
      <c r="M371" s="1"/>
      <c r="N371" s="1"/>
    </row>
    <row r="372" spans="1:14">
      <c r="A372" s="1"/>
      <c r="B372" s="8"/>
      <c r="C372" s="1"/>
      <c r="D372" s="1"/>
      <c r="E372" s="1"/>
      <c r="F372" s="1"/>
      <c r="G372" s="1"/>
      <c r="H372" s="9"/>
      <c r="I372" s="1"/>
      <c r="J372" s="1"/>
      <c r="K372" s="1"/>
      <c r="L372" s="8"/>
      <c r="M372" s="1"/>
      <c r="N372" s="1"/>
    </row>
    <row r="373" spans="1:14">
      <c r="A373" s="1"/>
      <c r="B373" s="8"/>
      <c r="C373" s="1"/>
      <c r="D373" s="1"/>
      <c r="E373" s="1"/>
      <c r="F373" s="1"/>
      <c r="G373" s="1"/>
      <c r="H373" s="9"/>
      <c r="I373" s="1"/>
      <c r="J373" s="1"/>
      <c r="K373" s="1"/>
      <c r="L373" s="8"/>
      <c r="M373" s="1"/>
      <c r="N373" s="1"/>
    </row>
    <row r="374" spans="1:14">
      <c r="A374" s="1"/>
      <c r="B374" s="8"/>
      <c r="C374" s="1"/>
      <c r="D374" s="1"/>
      <c r="E374" s="1"/>
      <c r="F374" s="1"/>
      <c r="G374" s="1"/>
      <c r="H374" s="9"/>
      <c r="I374" s="1"/>
      <c r="J374" s="1"/>
      <c r="K374" s="1"/>
      <c r="L374" s="8"/>
      <c r="M374" s="1"/>
      <c r="N374" s="1"/>
    </row>
    <row r="375" spans="1:14">
      <c r="A375" s="1"/>
      <c r="B375" s="8"/>
      <c r="C375" s="1"/>
      <c r="D375" s="1"/>
      <c r="E375" s="1"/>
      <c r="F375" s="1"/>
      <c r="G375" s="1"/>
      <c r="H375" s="9"/>
      <c r="I375" s="1"/>
      <c r="J375" s="1"/>
      <c r="K375" s="1"/>
      <c r="L375" s="8"/>
      <c r="M375" s="1"/>
      <c r="N375" s="1"/>
    </row>
    <row r="376" spans="1:14">
      <c r="A376" s="1"/>
      <c r="B376" s="8"/>
      <c r="C376" s="1"/>
      <c r="D376" s="1"/>
      <c r="E376" s="1"/>
      <c r="F376" s="1"/>
      <c r="G376" s="1"/>
      <c r="H376" s="9"/>
      <c r="I376" s="1"/>
      <c r="J376" s="1"/>
      <c r="K376" s="1"/>
      <c r="L376" s="8"/>
      <c r="M376" s="1"/>
      <c r="N376" s="1"/>
    </row>
    <row r="377" spans="1:14">
      <c r="A377" s="1"/>
      <c r="B377" s="8"/>
      <c r="C377" s="1"/>
      <c r="D377" s="1"/>
      <c r="E377" s="1"/>
      <c r="F377" s="1"/>
      <c r="G377" s="1"/>
      <c r="H377" s="9"/>
      <c r="I377" s="1"/>
      <c r="J377" s="1"/>
      <c r="K377" s="1"/>
      <c r="L377" s="8"/>
      <c r="M377" s="1"/>
      <c r="N377" s="1"/>
    </row>
    <row r="378" spans="1:14">
      <c r="A378" s="1"/>
      <c r="B378" s="8"/>
      <c r="C378" s="1"/>
      <c r="D378" s="1"/>
      <c r="E378" s="1"/>
      <c r="F378" s="1"/>
      <c r="G378" s="1"/>
      <c r="H378" s="9"/>
      <c r="I378" s="1"/>
      <c r="J378" s="1"/>
      <c r="K378" s="1"/>
      <c r="L378" s="8"/>
      <c r="M378" s="1"/>
      <c r="N378" s="1"/>
    </row>
    <row r="379" spans="1:14">
      <c r="A379" s="1"/>
      <c r="B379" s="8"/>
      <c r="C379" s="1"/>
      <c r="D379" s="1"/>
      <c r="E379" s="1"/>
      <c r="F379" s="1"/>
      <c r="G379" s="1"/>
      <c r="H379" s="9"/>
      <c r="I379" s="1"/>
      <c r="J379" s="1"/>
      <c r="K379" s="1"/>
      <c r="L379" s="8"/>
      <c r="M379" s="1"/>
      <c r="N379" s="1"/>
    </row>
    <row r="380" spans="1:14">
      <c r="A380" s="1"/>
      <c r="B380" s="8"/>
      <c r="C380" s="1"/>
      <c r="D380" s="1"/>
      <c r="E380" s="1"/>
      <c r="F380" s="1"/>
      <c r="G380" s="1"/>
      <c r="H380" s="9"/>
      <c r="I380" s="1"/>
      <c r="J380" s="1"/>
      <c r="K380" s="1"/>
      <c r="L380" s="8"/>
      <c r="M380" s="1"/>
      <c r="N380" s="1"/>
    </row>
    <row r="381" spans="1:14">
      <c r="A381" s="1"/>
      <c r="B381" s="8"/>
      <c r="C381" s="1"/>
      <c r="D381" s="1"/>
      <c r="E381" s="1"/>
      <c r="F381" s="1"/>
      <c r="G381" s="1"/>
      <c r="H381" s="9"/>
      <c r="I381" s="1"/>
      <c r="J381" s="1"/>
      <c r="K381" s="1"/>
      <c r="L381" s="8"/>
      <c r="M381" s="1"/>
      <c r="N381" s="1"/>
    </row>
    <row r="382" spans="1:14">
      <c r="A382" s="1"/>
      <c r="B382" s="8"/>
      <c r="C382" s="1"/>
      <c r="D382" s="1"/>
      <c r="E382" s="1"/>
      <c r="F382" s="1"/>
      <c r="G382" s="1"/>
      <c r="H382" s="9"/>
      <c r="I382" s="1"/>
      <c r="J382" s="1"/>
      <c r="K382" s="1"/>
      <c r="L382" s="8"/>
      <c r="M382" s="1"/>
      <c r="N382" s="1"/>
    </row>
    <row r="383" spans="1:14">
      <c r="A383" s="1"/>
      <c r="B383" s="8"/>
      <c r="C383" s="1"/>
      <c r="D383" s="1"/>
      <c r="E383" s="1"/>
      <c r="F383" s="1"/>
      <c r="G383" s="1"/>
      <c r="H383" s="9"/>
      <c r="I383" s="1"/>
      <c r="J383" s="1"/>
      <c r="K383" s="1"/>
      <c r="L383" s="8"/>
      <c r="M383" s="1"/>
      <c r="N383" s="1"/>
    </row>
    <row r="384" spans="1:14">
      <c r="A384" s="1"/>
      <c r="B384" s="8"/>
      <c r="C384" s="1"/>
      <c r="D384" s="1"/>
      <c r="E384" s="1"/>
      <c r="F384" s="1"/>
      <c r="G384" s="1"/>
      <c r="H384" s="9"/>
      <c r="I384" s="1"/>
      <c r="J384" s="1"/>
      <c r="K384" s="1"/>
      <c r="L384" s="8"/>
      <c r="M384" s="1"/>
      <c r="N384" s="1"/>
    </row>
    <row r="385" spans="1:14">
      <c r="A385" s="1"/>
      <c r="B385" s="8"/>
      <c r="C385" s="1"/>
      <c r="D385" s="1"/>
      <c r="E385" s="1"/>
      <c r="F385" s="1"/>
      <c r="G385" s="1"/>
      <c r="H385" s="9"/>
      <c r="I385" s="1"/>
      <c r="J385" s="1"/>
      <c r="K385" s="1"/>
      <c r="L385" s="8"/>
      <c r="M385" s="1"/>
      <c r="N385" s="1"/>
    </row>
    <row r="386" spans="1:14">
      <c r="A386" s="1"/>
      <c r="B386" s="8"/>
      <c r="C386" s="1"/>
      <c r="D386" s="1"/>
      <c r="E386" s="1"/>
      <c r="F386" s="1"/>
      <c r="G386" s="1"/>
      <c r="H386" s="9"/>
      <c r="I386" s="1"/>
      <c r="J386" s="1"/>
      <c r="K386" s="1"/>
      <c r="L386" s="8"/>
      <c r="M386" s="1"/>
      <c r="N386" s="1"/>
    </row>
    <row r="387" spans="1:14">
      <c r="A387" s="1"/>
      <c r="B387" s="8"/>
      <c r="C387" s="1"/>
      <c r="D387" s="1"/>
      <c r="E387" s="1"/>
      <c r="F387" s="1"/>
      <c r="G387" s="1"/>
      <c r="H387" s="9"/>
      <c r="I387" s="1"/>
      <c r="J387" s="1"/>
      <c r="K387" s="1"/>
      <c r="L387" s="8"/>
      <c r="M387" s="1"/>
      <c r="N387" s="1"/>
    </row>
    <row r="388" spans="1:14">
      <c r="A388" s="1"/>
      <c r="B388" s="8"/>
      <c r="C388" s="1"/>
      <c r="D388" s="1"/>
      <c r="E388" s="1"/>
      <c r="F388" s="1"/>
      <c r="G388" s="1"/>
      <c r="H388" s="9"/>
      <c r="I388" s="1"/>
      <c r="J388" s="1"/>
      <c r="K388" s="1"/>
      <c r="L388" s="8"/>
      <c r="M388" s="1"/>
      <c r="N388" s="1"/>
    </row>
    <row r="389" spans="1:14">
      <c r="A389" s="1"/>
      <c r="B389" s="8"/>
      <c r="C389" s="1"/>
      <c r="D389" s="1"/>
      <c r="E389" s="1"/>
      <c r="F389" s="1"/>
      <c r="G389" s="1"/>
      <c r="H389" s="9"/>
      <c r="I389" s="1"/>
      <c r="J389" s="1"/>
      <c r="K389" s="1"/>
      <c r="L389" s="8"/>
      <c r="M389" s="1"/>
      <c r="N389" s="1"/>
    </row>
    <row r="390" spans="1:14">
      <c r="A390" s="1"/>
      <c r="B390" s="8"/>
      <c r="C390" s="1"/>
      <c r="D390" s="1"/>
      <c r="E390" s="1"/>
      <c r="F390" s="1"/>
      <c r="G390" s="1"/>
      <c r="H390" s="9"/>
      <c r="I390" s="1"/>
      <c r="J390" s="1"/>
      <c r="K390" s="1"/>
      <c r="L390" s="8"/>
      <c r="M390" s="1"/>
      <c r="N390" s="1"/>
    </row>
    <row r="391" spans="1:14">
      <c r="A391" s="1"/>
      <c r="B391" s="8"/>
      <c r="C391" s="1"/>
      <c r="D391" s="1"/>
      <c r="E391" s="1"/>
      <c r="F391" s="1"/>
      <c r="G391" s="1"/>
      <c r="H391" s="9"/>
      <c r="I391" s="1"/>
      <c r="J391" s="1"/>
      <c r="K391" s="1"/>
      <c r="L391" s="8"/>
      <c r="M391" s="1"/>
      <c r="N391" s="1"/>
    </row>
    <row r="392" spans="1:14">
      <c r="A392" s="1"/>
      <c r="B392" s="8"/>
      <c r="C392" s="1"/>
      <c r="D392" s="1"/>
      <c r="E392" s="1"/>
      <c r="F392" s="1"/>
      <c r="G392" s="1"/>
      <c r="H392" s="9"/>
      <c r="I392" s="1"/>
      <c r="J392" s="1"/>
      <c r="K392" s="1"/>
      <c r="L392" s="8"/>
      <c r="M392" s="1"/>
      <c r="N392" s="1"/>
    </row>
    <row r="393" spans="1:14">
      <c r="A393" s="1"/>
      <c r="B393" s="8"/>
      <c r="C393" s="1"/>
      <c r="D393" s="1"/>
      <c r="E393" s="1"/>
      <c r="F393" s="1"/>
      <c r="G393" s="1"/>
      <c r="H393" s="9"/>
      <c r="I393" s="1"/>
      <c r="J393" s="1"/>
      <c r="K393" s="1"/>
      <c r="L393" s="8"/>
      <c r="M393" s="1"/>
      <c r="N393" s="1"/>
    </row>
    <row r="394" spans="1:14">
      <c r="A394" s="1"/>
      <c r="B394" s="8"/>
      <c r="C394" s="1"/>
      <c r="D394" s="1"/>
      <c r="E394" s="1"/>
      <c r="F394" s="1"/>
      <c r="G394" s="1"/>
      <c r="H394" s="9"/>
      <c r="I394" s="1"/>
      <c r="J394" s="1"/>
      <c r="K394" s="1"/>
      <c r="L394" s="8"/>
      <c r="M394" s="1"/>
      <c r="N394" s="1"/>
    </row>
    <row r="395" spans="1:14">
      <c r="A395" s="1"/>
      <c r="B395" s="8"/>
      <c r="C395" s="1"/>
      <c r="D395" s="1"/>
      <c r="E395" s="1"/>
      <c r="F395" s="1"/>
      <c r="G395" s="1"/>
      <c r="H395" s="9"/>
      <c r="I395" s="1"/>
      <c r="J395" s="1"/>
      <c r="K395" s="1"/>
      <c r="L395" s="8"/>
      <c r="M395" s="1"/>
      <c r="N395" s="1"/>
    </row>
    <row r="396" spans="1:14">
      <c r="A396" s="1"/>
      <c r="B396" s="8"/>
      <c r="C396" s="1"/>
      <c r="D396" s="1"/>
      <c r="E396" s="1"/>
      <c r="F396" s="1"/>
      <c r="G396" s="1"/>
      <c r="H396" s="9"/>
      <c r="I396" s="1"/>
      <c r="J396" s="1"/>
      <c r="K396" s="1"/>
      <c r="L396" s="8"/>
      <c r="M396" s="1"/>
      <c r="N396" s="1"/>
    </row>
    <row r="397" spans="1:14">
      <c r="A397" s="1"/>
      <c r="B397" s="8"/>
      <c r="C397" s="1"/>
      <c r="D397" s="1"/>
      <c r="E397" s="1"/>
      <c r="F397" s="1"/>
      <c r="G397" s="1"/>
      <c r="H397" s="9"/>
      <c r="I397" s="1"/>
      <c r="J397" s="1"/>
      <c r="K397" s="1"/>
      <c r="L397" s="8"/>
      <c r="M397" s="1"/>
      <c r="N397" s="1"/>
    </row>
    <row r="398" spans="1:14">
      <c r="A398" s="1"/>
      <c r="B398" s="8"/>
      <c r="C398" s="1"/>
      <c r="D398" s="1"/>
      <c r="E398" s="1"/>
      <c r="F398" s="1"/>
      <c r="G398" s="1"/>
      <c r="H398" s="9"/>
      <c r="I398" s="1"/>
      <c r="J398" s="1"/>
      <c r="K398" s="1"/>
      <c r="L398" s="8"/>
      <c r="M398" s="1"/>
      <c r="N398" s="1"/>
    </row>
    <row r="399" spans="1:14">
      <c r="A399" s="1"/>
      <c r="B399" s="8"/>
      <c r="C399" s="1"/>
      <c r="D399" s="1"/>
      <c r="E399" s="1"/>
      <c r="F399" s="1"/>
      <c r="G399" s="1"/>
      <c r="H399" s="9"/>
      <c r="I399" s="1"/>
      <c r="J399" s="1"/>
      <c r="K399" s="1"/>
      <c r="L399" s="8"/>
      <c r="M399" s="1"/>
      <c r="N399" s="1"/>
    </row>
    <row r="400" spans="1:14">
      <c r="A400" s="1"/>
      <c r="B400" s="8"/>
      <c r="C400" s="1"/>
      <c r="D400" s="1"/>
      <c r="E400" s="1"/>
      <c r="F400" s="1"/>
      <c r="G400" s="1"/>
      <c r="H400" s="9"/>
      <c r="I400" s="1"/>
      <c r="J400" s="1"/>
      <c r="K400" s="1"/>
      <c r="L400" s="8"/>
      <c r="M400" s="1"/>
      <c r="N400" s="1"/>
    </row>
    <row r="401" spans="1:14">
      <c r="A401" s="1"/>
      <c r="B401" s="8"/>
      <c r="C401" s="1"/>
      <c r="D401" s="1"/>
      <c r="E401" s="1"/>
      <c r="F401" s="1"/>
      <c r="G401" s="1"/>
      <c r="H401" s="9"/>
      <c r="I401" s="1"/>
      <c r="J401" s="1"/>
      <c r="K401" s="1"/>
      <c r="L401" s="8"/>
      <c r="M401" s="1"/>
      <c r="N401" s="1"/>
    </row>
    <row r="402" spans="1:14">
      <c r="A402" s="1"/>
      <c r="B402" s="8"/>
      <c r="C402" s="1"/>
      <c r="D402" s="1"/>
      <c r="E402" s="1"/>
      <c r="F402" s="1"/>
      <c r="G402" s="1"/>
      <c r="H402" s="9"/>
      <c r="I402" s="1"/>
      <c r="J402" s="1"/>
      <c r="K402" s="1"/>
      <c r="L402" s="8"/>
      <c r="M402" s="1"/>
      <c r="N402" s="1"/>
    </row>
    <row r="403" spans="1:14">
      <c r="A403" s="1"/>
      <c r="B403" s="8"/>
      <c r="C403" s="1"/>
      <c r="D403" s="1"/>
      <c r="E403" s="1"/>
      <c r="F403" s="1"/>
      <c r="G403" s="1"/>
      <c r="H403" s="9"/>
      <c r="I403" s="1"/>
      <c r="J403" s="1"/>
      <c r="K403" s="1"/>
      <c r="L403" s="8"/>
      <c r="M403" s="1"/>
      <c r="N403" s="1"/>
    </row>
    <row r="404" spans="1:14">
      <c r="A404" s="1"/>
      <c r="B404" s="8"/>
      <c r="C404" s="1"/>
      <c r="D404" s="1"/>
      <c r="E404" s="1"/>
      <c r="F404" s="1"/>
      <c r="G404" s="1"/>
      <c r="H404" s="9"/>
      <c r="I404" s="1"/>
      <c r="J404" s="1"/>
      <c r="K404" s="1"/>
      <c r="L404" s="8"/>
      <c r="M404" s="1"/>
      <c r="N404" s="1"/>
    </row>
    <row r="405" spans="1:14">
      <c r="A405" s="1"/>
      <c r="B405" s="8"/>
      <c r="C405" s="1"/>
      <c r="D405" s="1"/>
      <c r="E405" s="1"/>
      <c r="F405" s="1"/>
      <c r="G405" s="1"/>
      <c r="H405" s="9"/>
      <c r="I405" s="1"/>
      <c r="J405" s="1"/>
      <c r="K405" s="1"/>
      <c r="L405" s="8"/>
      <c r="M405" s="1"/>
      <c r="N405" s="1"/>
    </row>
    <row r="406" spans="1:14">
      <c r="A406" s="1"/>
      <c r="B406" s="8"/>
      <c r="C406" s="1"/>
      <c r="D406" s="1"/>
      <c r="E406" s="1"/>
      <c r="F406" s="1"/>
      <c r="G406" s="1"/>
      <c r="H406" s="9"/>
      <c r="I406" s="1"/>
      <c r="J406" s="1"/>
      <c r="K406" s="1"/>
      <c r="L406" s="8"/>
      <c r="M406" s="1"/>
      <c r="N406" s="1"/>
    </row>
    <row r="407" spans="1:14">
      <c r="A407" s="1"/>
      <c r="B407" s="8"/>
      <c r="C407" s="1"/>
      <c r="D407" s="1"/>
      <c r="E407" s="1"/>
      <c r="F407" s="1"/>
      <c r="G407" s="1"/>
      <c r="H407" s="9"/>
      <c r="I407" s="1"/>
      <c r="J407" s="1"/>
      <c r="K407" s="1"/>
      <c r="L407" s="8"/>
      <c r="M407" s="1"/>
      <c r="N407" s="1"/>
    </row>
    <row r="408" spans="1:14">
      <c r="A408" s="1"/>
      <c r="B408" s="8"/>
      <c r="C408" s="1"/>
      <c r="D408" s="1"/>
      <c r="E408" s="1"/>
      <c r="F408" s="1"/>
      <c r="G408" s="1"/>
      <c r="H408" s="9"/>
      <c r="I408" s="1"/>
      <c r="J408" s="1"/>
      <c r="K408" s="1"/>
      <c r="L408" s="8"/>
      <c r="M408" s="1"/>
      <c r="N408" s="1"/>
    </row>
    <row r="409" spans="1:14">
      <c r="A409" s="1"/>
      <c r="B409" s="8"/>
      <c r="C409" s="1"/>
      <c r="D409" s="1"/>
      <c r="E409" s="1"/>
      <c r="F409" s="1"/>
      <c r="G409" s="1"/>
      <c r="H409" s="9"/>
      <c r="I409" s="1"/>
      <c r="J409" s="1"/>
      <c r="K409" s="1"/>
      <c r="L409" s="8"/>
      <c r="M409" s="1"/>
      <c r="N409" s="1"/>
    </row>
    <row r="410" spans="1:14">
      <c r="A410" s="1"/>
      <c r="B410" s="8"/>
      <c r="C410" s="1"/>
      <c r="D410" s="1"/>
      <c r="E410" s="1"/>
      <c r="F410" s="1"/>
      <c r="G410" s="1"/>
      <c r="H410" s="9"/>
      <c r="I410" s="1"/>
      <c r="J410" s="1"/>
      <c r="K410" s="1"/>
      <c r="L410" s="8"/>
      <c r="M410" s="1"/>
      <c r="N410" s="1"/>
    </row>
    <row r="411" spans="1:14">
      <c r="A411" s="1"/>
      <c r="B411" s="8"/>
      <c r="C411" s="1"/>
      <c r="D411" s="1"/>
      <c r="E411" s="1"/>
      <c r="F411" s="1"/>
      <c r="G411" s="1"/>
      <c r="H411" s="9"/>
      <c r="I411" s="1"/>
      <c r="J411" s="1"/>
      <c r="K411" s="1"/>
      <c r="L411" s="8"/>
      <c r="M411" s="1"/>
      <c r="N411" s="1"/>
    </row>
    <row r="412" spans="1:14">
      <c r="A412" s="1"/>
      <c r="B412" s="8"/>
      <c r="C412" s="1"/>
      <c r="D412" s="1"/>
      <c r="E412" s="1"/>
      <c r="F412" s="1"/>
      <c r="G412" s="1"/>
      <c r="H412" s="9"/>
      <c r="I412" s="1"/>
      <c r="J412" s="1"/>
      <c r="K412" s="1"/>
      <c r="L412" s="8"/>
      <c r="M412" s="1"/>
      <c r="N412" s="1"/>
    </row>
    <row r="413" spans="1:14">
      <c r="A413" s="1"/>
      <c r="B413" s="8"/>
      <c r="C413" s="1"/>
      <c r="D413" s="1"/>
      <c r="E413" s="1"/>
      <c r="F413" s="1"/>
      <c r="G413" s="1"/>
      <c r="H413" s="9"/>
      <c r="I413" s="1"/>
      <c r="J413" s="1"/>
      <c r="K413" s="1"/>
      <c r="L413" s="8"/>
      <c r="M413" s="1"/>
      <c r="N413" s="1"/>
    </row>
    <row r="414" spans="1:14">
      <c r="A414" s="1"/>
      <c r="B414" s="8"/>
      <c r="C414" s="1"/>
      <c r="D414" s="1"/>
      <c r="E414" s="1"/>
      <c r="F414" s="1"/>
      <c r="G414" s="1"/>
      <c r="H414" s="9"/>
      <c r="I414" s="1"/>
      <c r="J414" s="1"/>
      <c r="K414" s="1"/>
      <c r="L414" s="8"/>
      <c r="M414" s="1"/>
      <c r="N414" s="1"/>
    </row>
    <row r="415" spans="1:14">
      <c r="A415" s="1"/>
      <c r="B415" s="8"/>
      <c r="C415" s="1"/>
      <c r="D415" s="1"/>
      <c r="E415" s="1"/>
      <c r="F415" s="1"/>
      <c r="G415" s="1"/>
      <c r="H415" s="9"/>
      <c r="I415" s="1"/>
      <c r="J415" s="1"/>
      <c r="K415" s="1"/>
      <c r="L415" s="8"/>
      <c r="M415" s="1"/>
      <c r="N415" s="1"/>
    </row>
    <row r="416" spans="1:14">
      <c r="A416" s="1"/>
      <c r="B416" s="8"/>
      <c r="C416" s="1"/>
      <c r="D416" s="1"/>
      <c r="E416" s="1"/>
      <c r="F416" s="1"/>
      <c r="G416" s="1"/>
      <c r="H416" s="9"/>
      <c r="I416" s="1"/>
      <c r="J416" s="1"/>
      <c r="K416" s="1"/>
      <c r="L416" s="8"/>
      <c r="M416" s="1"/>
      <c r="N416" s="1"/>
    </row>
    <row r="417" spans="1:14">
      <c r="A417" s="1"/>
      <c r="B417" s="8"/>
      <c r="C417" s="1"/>
      <c r="D417" s="1"/>
      <c r="E417" s="1"/>
      <c r="F417" s="1"/>
      <c r="G417" s="1"/>
      <c r="H417" s="9"/>
      <c r="I417" s="1"/>
      <c r="J417" s="1"/>
      <c r="K417" s="1"/>
      <c r="L417" s="8"/>
      <c r="M417" s="1"/>
      <c r="N417" s="1"/>
    </row>
    <row r="418" spans="1:14">
      <c r="A418" s="1"/>
      <c r="B418" s="8"/>
      <c r="C418" s="1"/>
      <c r="D418" s="1"/>
      <c r="E418" s="1"/>
      <c r="F418" s="1"/>
      <c r="G418" s="1"/>
      <c r="H418" s="9"/>
      <c r="I418" s="1"/>
      <c r="J418" s="1"/>
      <c r="K418" s="1"/>
      <c r="L418" s="8"/>
      <c r="M418" s="1"/>
      <c r="N418" s="1"/>
    </row>
    <row r="419" spans="1:14">
      <c r="A419" s="1"/>
      <c r="B419" s="8"/>
      <c r="C419" s="1"/>
      <c r="D419" s="1"/>
      <c r="E419" s="1"/>
      <c r="F419" s="1"/>
      <c r="G419" s="1"/>
      <c r="H419" s="9"/>
      <c r="I419" s="1"/>
      <c r="J419" s="1"/>
      <c r="K419" s="1"/>
      <c r="L419" s="8"/>
      <c r="M419" s="1"/>
      <c r="N419" s="1"/>
    </row>
    <row r="420" spans="1:14">
      <c r="A420" s="1"/>
      <c r="B420" s="8"/>
      <c r="C420" s="1"/>
      <c r="D420" s="1"/>
      <c r="E420" s="1"/>
      <c r="F420" s="1"/>
      <c r="G420" s="1"/>
      <c r="H420" s="9"/>
      <c r="I420" s="1"/>
      <c r="J420" s="1"/>
      <c r="K420" s="1"/>
      <c r="L420" s="8"/>
      <c r="M420" s="1"/>
      <c r="N420" s="1"/>
    </row>
    <row r="421" spans="1:14">
      <c r="A421" s="1"/>
      <c r="B421" s="8"/>
      <c r="C421" s="1"/>
      <c r="D421" s="1"/>
      <c r="E421" s="1"/>
      <c r="F421" s="1"/>
      <c r="G421" s="1"/>
      <c r="H421" s="9"/>
      <c r="I421" s="1"/>
      <c r="J421" s="1"/>
      <c r="K421" s="1"/>
      <c r="L421" s="8"/>
      <c r="M421" s="1"/>
      <c r="N421" s="1"/>
    </row>
    <row r="422" spans="1:14">
      <c r="A422" s="1"/>
      <c r="B422" s="8"/>
      <c r="C422" s="1"/>
      <c r="D422" s="1"/>
      <c r="E422" s="1"/>
      <c r="F422" s="1"/>
      <c r="G422" s="1"/>
      <c r="H422" s="9"/>
      <c r="I422" s="1"/>
      <c r="J422" s="1"/>
      <c r="K422" s="1"/>
      <c r="L422" s="8"/>
      <c r="M422" s="1"/>
      <c r="N422" s="1"/>
    </row>
    <row r="423" spans="1:14">
      <c r="A423" s="1"/>
      <c r="B423" s="8"/>
      <c r="C423" s="1"/>
      <c r="D423" s="1"/>
      <c r="E423" s="1"/>
      <c r="F423" s="1"/>
      <c r="G423" s="1"/>
      <c r="H423" s="9"/>
      <c r="I423" s="1"/>
      <c r="J423" s="1"/>
      <c r="K423" s="1"/>
      <c r="L423" s="8"/>
      <c r="M423" s="1"/>
      <c r="N423" s="1"/>
    </row>
    <row r="424" spans="1:14">
      <c r="A424" s="1"/>
      <c r="B424" s="8"/>
      <c r="C424" s="1"/>
      <c r="D424" s="1"/>
      <c r="E424" s="1"/>
      <c r="F424" s="1"/>
      <c r="G424" s="1"/>
      <c r="H424" s="9"/>
      <c r="I424" s="1"/>
      <c r="J424" s="1"/>
      <c r="K424" s="1"/>
      <c r="L424" s="8"/>
      <c r="M424" s="1"/>
      <c r="N424" s="1"/>
    </row>
    <row r="425" spans="1:14">
      <c r="A425" s="1"/>
      <c r="B425" s="8"/>
      <c r="C425" s="1"/>
      <c r="D425" s="1"/>
      <c r="E425" s="1"/>
      <c r="F425" s="1"/>
      <c r="G425" s="1"/>
      <c r="H425" s="9"/>
      <c r="I425" s="1"/>
      <c r="J425" s="1"/>
      <c r="K425" s="1"/>
      <c r="L425" s="8"/>
      <c r="M425" s="1"/>
      <c r="N425" s="1"/>
    </row>
    <row r="426" spans="1:14">
      <c r="A426" s="1"/>
      <c r="B426" s="8"/>
      <c r="C426" s="1"/>
      <c r="D426" s="1"/>
      <c r="E426" s="1"/>
      <c r="F426" s="1"/>
      <c r="G426" s="1"/>
      <c r="H426" s="9"/>
      <c r="I426" s="1"/>
      <c r="J426" s="1"/>
      <c r="K426" s="1"/>
      <c r="L426" s="8"/>
      <c r="M426" s="1"/>
      <c r="N426" s="1"/>
    </row>
    <row r="427" spans="1:14">
      <c r="A427" s="1"/>
      <c r="B427" s="8"/>
      <c r="C427" s="1"/>
      <c r="D427" s="1"/>
      <c r="E427" s="1"/>
      <c r="F427" s="1"/>
      <c r="G427" s="1"/>
      <c r="H427" s="9"/>
      <c r="I427" s="1"/>
      <c r="J427" s="1"/>
      <c r="K427" s="1"/>
      <c r="L427" s="8"/>
      <c r="M427" s="1"/>
      <c r="N427" s="1"/>
    </row>
    <row r="428" spans="1:14">
      <c r="A428" s="1"/>
      <c r="B428" s="8"/>
      <c r="C428" s="1"/>
      <c r="D428" s="1"/>
      <c r="E428" s="1"/>
      <c r="F428" s="1"/>
      <c r="G428" s="1"/>
      <c r="H428" s="9"/>
      <c r="I428" s="1"/>
      <c r="J428" s="1"/>
      <c r="K428" s="1"/>
      <c r="L428" s="8"/>
      <c r="M428" s="1"/>
      <c r="N428" s="1"/>
    </row>
    <row r="429" spans="1:14">
      <c r="A429" s="1"/>
      <c r="B429" s="8"/>
      <c r="C429" s="1"/>
      <c r="D429" s="1"/>
      <c r="E429" s="1"/>
      <c r="F429" s="1"/>
      <c r="G429" s="1"/>
      <c r="H429" s="9"/>
      <c r="I429" s="1"/>
      <c r="J429" s="1"/>
      <c r="K429" s="1"/>
      <c r="L429" s="8"/>
      <c r="M429" s="1"/>
      <c r="N429" s="1"/>
    </row>
    <row r="430" spans="1:14">
      <c r="A430" s="1"/>
      <c r="B430" s="8"/>
      <c r="C430" s="1"/>
      <c r="D430" s="1"/>
      <c r="E430" s="1"/>
      <c r="F430" s="1"/>
      <c r="G430" s="1"/>
      <c r="H430" s="9"/>
      <c r="I430" s="1"/>
      <c r="J430" s="1"/>
      <c r="K430" s="1"/>
      <c r="L430" s="8"/>
      <c r="M430" s="1"/>
      <c r="N430" s="1"/>
    </row>
    <row r="431" spans="1:14">
      <c r="A431" s="1"/>
      <c r="B431" s="8"/>
      <c r="C431" s="1"/>
      <c r="D431" s="1"/>
      <c r="E431" s="1"/>
      <c r="F431" s="1"/>
      <c r="G431" s="1"/>
      <c r="H431" s="9"/>
      <c r="I431" s="1"/>
      <c r="J431" s="1"/>
      <c r="K431" s="1"/>
      <c r="L431" s="8"/>
      <c r="M431" s="1"/>
      <c r="N431" s="1"/>
    </row>
    <row r="432" spans="1:14">
      <c r="A432" s="1"/>
      <c r="B432" s="8"/>
      <c r="C432" s="1"/>
      <c r="D432" s="1"/>
      <c r="E432" s="1"/>
      <c r="F432" s="1"/>
      <c r="G432" s="1"/>
      <c r="H432" s="9"/>
      <c r="I432" s="1"/>
      <c r="J432" s="1"/>
      <c r="K432" s="1"/>
      <c r="L432" s="8"/>
      <c r="M432" s="1"/>
      <c r="N432" s="1"/>
    </row>
    <row r="433" spans="1:14">
      <c r="A433" s="1"/>
      <c r="B433" s="8"/>
      <c r="C433" s="1"/>
      <c r="D433" s="1"/>
      <c r="E433" s="1"/>
      <c r="F433" s="1"/>
      <c r="G433" s="1"/>
      <c r="H433" s="9"/>
      <c r="I433" s="1"/>
      <c r="J433" s="1"/>
      <c r="K433" s="1"/>
      <c r="L433" s="8"/>
      <c r="M433" s="1"/>
      <c r="N433" s="1"/>
    </row>
    <row r="434" spans="1:14">
      <c r="A434" s="1"/>
      <c r="B434" s="8"/>
      <c r="C434" s="1"/>
      <c r="D434" s="1"/>
      <c r="E434" s="1"/>
      <c r="F434" s="1"/>
      <c r="G434" s="1"/>
      <c r="H434" s="9"/>
      <c r="I434" s="1"/>
      <c r="J434" s="1"/>
      <c r="K434" s="1"/>
      <c r="L434" s="8"/>
      <c r="M434" s="1"/>
      <c r="N434" s="1"/>
    </row>
    <row r="435" spans="1:14">
      <c r="A435" s="1"/>
      <c r="B435" s="8"/>
      <c r="C435" s="1"/>
      <c r="D435" s="1"/>
      <c r="E435" s="1"/>
      <c r="F435" s="1"/>
      <c r="G435" s="1"/>
      <c r="H435" s="9"/>
      <c r="I435" s="1"/>
      <c r="J435" s="1"/>
      <c r="K435" s="1"/>
      <c r="L435" s="8"/>
      <c r="M435" s="1"/>
      <c r="N435" s="1"/>
    </row>
    <row r="436" spans="1:14">
      <c r="A436" s="1"/>
      <c r="B436" s="8"/>
      <c r="C436" s="1"/>
      <c r="D436" s="1"/>
      <c r="E436" s="1"/>
      <c r="F436" s="1"/>
      <c r="G436" s="1"/>
      <c r="H436" s="9"/>
      <c r="I436" s="1"/>
      <c r="J436" s="1"/>
      <c r="K436" s="1"/>
      <c r="L436" s="8"/>
      <c r="M436" s="1"/>
      <c r="N436" s="1"/>
    </row>
    <row r="437" spans="1:14">
      <c r="A437" s="1"/>
      <c r="B437" s="8"/>
      <c r="C437" s="1"/>
      <c r="D437" s="1"/>
      <c r="E437" s="1"/>
      <c r="F437" s="1"/>
      <c r="G437" s="1"/>
      <c r="H437" s="9"/>
      <c r="I437" s="1"/>
      <c r="J437" s="1"/>
      <c r="K437" s="1"/>
      <c r="L437" s="8"/>
      <c r="M437" s="1"/>
      <c r="N437" s="1"/>
    </row>
    <row r="438" spans="1:14">
      <c r="A438" s="1"/>
      <c r="B438" s="8"/>
      <c r="C438" s="1"/>
      <c r="D438" s="1"/>
      <c r="E438" s="1"/>
      <c r="F438" s="1"/>
      <c r="G438" s="1"/>
      <c r="H438" s="9"/>
      <c r="I438" s="1"/>
      <c r="J438" s="1"/>
      <c r="K438" s="1"/>
      <c r="L438" s="8"/>
      <c r="M438" s="1"/>
      <c r="N438" s="1"/>
    </row>
    <row r="439" spans="1:14">
      <c r="A439" s="1"/>
      <c r="B439" s="8"/>
      <c r="C439" s="1"/>
      <c r="D439" s="1"/>
      <c r="E439" s="1"/>
      <c r="F439" s="1"/>
      <c r="G439" s="1"/>
      <c r="H439" s="9"/>
      <c r="I439" s="1"/>
      <c r="J439" s="1"/>
      <c r="K439" s="1"/>
      <c r="L439" s="8"/>
      <c r="M439" s="1"/>
      <c r="N439" s="1"/>
    </row>
    <row r="440" spans="1:14">
      <c r="A440" s="1"/>
      <c r="B440" s="8"/>
      <c r="C440" s="1"/>
      <c r="D440" s="1"/>
      <c r="E440" s="1"/>
      <c r="F440" s="1"/>
      <c r="G440" s="1"/>
      <c r="H440" s="9"/>
      <c r="I440" s="1"/>
      <c r="J440" s="1"/>
      <c r="K440" s="1"/>
      <c r="L440" s="8"/>
      <c r="M440" s="1"/>
      <c r="N440" s="1"/>
    </row>
    <row r="441" spans="1:14">
      <c r="A441" s="1"/>
      <c r="B441" s="8"/>
      <c r="C441" s="1"/>
      <c r="D441" s="1"/>
      <c r="E441" s="1"/>
      <c r="F441" s="1"/>
      <c r="G441" s="1"/>
      <c r="H441" s="9"/>
      <c r="I441" s="1"/>
      <c r="J441" s="1"/>
      <c r="K441" s="1"/>
      <c r="L441" s="8"/>
      <c r="M441" s="1"/>
      <c r="N441" s="1"/>
    </row>
    <row r="442" spans="1:14">
      <c r="A442" s="1"/>
      <c r="B442" s="8"/>
      <c r="C442" s="1"/>
      <c r="D442" s="1"/>
      <c r="E442" s="1"/>
      <c r="F442" s="1"/>
      <c r="G442" s="1"/>
      <c r="H442" s="9"/>
      <c r="I442" s="1"/>
      <c r="J442" s="1"/>
      <c r="K442" s="1"/>
      <c r="L442" s="8"/>
      <c r="M442" s="1"/>
      <c r="N442" s="1"/>
    </row>
    <row r="443" spans="1:14">
      <c r="A443" s="1"/>
      <c r="B443" s="8"/>
      <c r="C443" s="1"/>
      <c r="D443" s="1"/>
      <c r="E443" s="1"/>
      <c r="F443" s="1"/>
      <c r="G443" s="1"/>
      <c r="H443" s="9"/>
      <c r="I443" s="1"/>
      <c r="J443" s="1"/>
      <c r="K443" s="1"/>
      <c r="L443" s="8"/>
      <c r="M443" s="1"/>
      <c r="N443" s="1"/>
    </row>
    <row r="444" spans="1:14">
      <c r="A444" s="1"/>
      <c r="B444" s="8"/>
      <c r="C444" s="1"/>
      <c r="D444" s="1"/>
      <c r="E444" s="1"/>
      <c r="F444" s="1"/>
      <c r="G444" s="1"/>
      <c r="H444" s="9"/>
      <c r="I444" s="1"/>
      <c r="J444" s="1"/>
      <c r="K444" s="1"/>
      <c r="L444" s="8"/>
      <c r="M444" s="1"/>
      <c r="N444" s="1"/>
    </row>
    <row r="445" spans="1:14">
      <c r="A445" s="1"/>
      <c r="B445" s="8"/>
      <c r="C445" s="1"/>
      <c r="D445" s="1"/>
      <c r="E445" s="1"/>
      <c r="F445" s="1"/>
      <c r="G445" s="1"/>
      <c r="H445" s="9"/>
      <c r="I445" s="1"/>
      <c r="J445" s="1"/>
      <c r="K445" s="1"/>
      <c r="L445" s="8"/>
      <c r="M445" s="1"/>
      <c r="N445" s="1"/>
    </row>
    <row r="446" spans="1:14">
      <c r="A446" s="1"/>
      <c r="B446" s="8"/>
      <c r="C446" s="1"/>
      <c r="D446" s="1"/>
      <c r="E446" s="1"/>
      <c r="F446" s="1"/>
      <c r="G446" s="1"/>
      <c r="H446" s="9"/>
      <c r="I446" s="1"/>
      <c r="J446" s="1"/>
      <c r="K446" s="1"/>
      <c r="L446" s="8"/>
      <c r="M446" s="1"/>
      <c r="N446" s="1"/>
    </row>
    <row r="447" spans="1:14">
      <c r="A447" s="1"/>
      <c r="B447" s="8"/>
      <c r="C447" s="1"/>
      <c r="D447" s="1"/>
      <c r="E447" s="1"/>
      <c r="F447" s="1"/>
      <c r="G447" s="1"/>
      <c r="H447" s="9"/>
      <c r="I447" s="1"/>
      <c r="J447" s="1"/>
      <c r="K447" s="1"/>
      <c r="L447" s="8"/>
      <c r="M447" s="1"/>
      <c r="N447" s="1"/>
    </row>
    <row r="448" spans="1:14">
      <c r="A448" s="1"/>
      <c r="B448" s="8"/>
      <c r="C448" s="1"/>
      <c r="D448" s="1"/>
      <c r="E448" s="1"/>
      <c r="F448" s="1"/>
      <c r="G448" s="1"/>
      <c r="H448" s="9"/>
      <c r="I448" s="1"/>
      <c r="J448" s="1"/>
      <c r="K448" s="1"/>
      <c r="L448" s="8"/>
      <c r="M448" s="1"/>
      <c r="N448" s="1"/>
    </row>
    <row r="449" spans="1:14">
      <c r="A449" s="1"/>
      <c r="B449" s="8"/>
      <c r="C449" s="1"/>
      <c r="D449" s="1"/>
      <c r="E449" s="1"/>
      <c r="F449" s="1"/>
      <c r="G449" s="1"/>
      <c r="H449" s="9"/>
      <c r="I449" s="1"/>
      <c r="J449" s="1"/>
      <c r="K449" s="1"/>
      <c r="L449" s="8"/>
      <c r="M449" s="1"/>
      <c r="N449" s="1"/>
    </row>
    <row r="450" spans="1:14">
      <c r="A450" s="1"/>
      <c r="B450" s="8"/>
      <c r="C450" s="1"/>
      <c r="D450" s="1"/>
      <c r="E450" s="1"/>
      <c r="F450" s="1"/>
      <c r="G450" s="1"/>
      <c r="H450" s="9"/>
      <c r="I450" s="1"/>
      <c r="J450" s="1"/>
      <c r="K450" s="1"/>
      <c r="L450" s="8"/>
      <c r="M450" s="1"/>
      <c r="N450" s="1"/>
    </row>
    <row r="451" spans="1:14">
      <c r="A451" s="1"/>
      <c r="B451" s="8"/>
      <c r="C451" s="1"/>
      <c r="D451" s="1"/>
      <c r="E451" s="1"/>
      <c r="F451" s="1"/>
      <c r="G451" s="1"/>
      <c r="H451" s="9"/>
      <c r="I451" s="1"/>
      <c r="J451" s="1"/>
      <c r="K451" s="1"/>
      <c r="L451" s="8"/>
      <c r="M451" s="1"/>
      <c r="N451" s="1"/>
    </row>
    <row r="452" spans="1:14">
      <c r="A452" s="1"/>
      <c r="B452" s="8"/>
      <c r="C452" s="1"/>
      <c r="D452" s="1"/>
      <c r="E452" s="1"/>
      <c r="F452" s="1"/>
      <c r="G452" s="1"/>
      <c r="H452" s="9"/>
      <c r="I452" s="1"/>
      <c r="J452" s="1"/>
      <c r="K452" s="1"/>
      <c r="L452" s="8"/>
      <c r="M452" s="1"/>
      <c r="N452" s="1"/>
    </row>
    <row r="453" spans="1:14">
      <c r="A453" s="1"/>
      <c r="B453" s="8"/>
      <c r="C453" s="1"/>
      <c r="D453" s="1"/>
      <c r="E453" s="1"/>
      <c r="F453" s="1"/>
      <c r="G453" s="1"/>
      <c r="H453" s="9"/>
      <c r="I453" s="1"/>
      <c r="J453" s="1"/>
      <c r="K453" s="1"/>
      <c r="L453" s="8"/>
      <c r="M453" s="1"/>
      <c r="N453" s="1"/>
    </row>
    <row r="454" spans="1:14">
      <c r="A454" s="1"/>
      <c r="B454" s="8"/>
      <c r="C454" s="1"/>
      <c r="D454" s="1"/>
      <c r="E454" s="1"/>
      <c r="F454" s="1"/>
      <c r="G454" s="1"/>
      <c r="H454" s="9"/>
      <c r="I454" s="1"/>
      <c r="J454" s="1"/>
      <c r="K454" s="1"/>
      <c r="L454" s="8"/>
      <c r="M454" s="1"/>
      <c r="N454" s="1"/>
    </row>
    <row r="455" spans="1:14">
      <c r="A455" s="1"/>
      <c r="B455" s="8"/>
      <c r="C455" s="1"/>
      <c r="D455" s="1"/>
      <c r="E455" s="1"/>
      <c r="F455" s="1"/>
      <c r="G455" s="1"/>
      <c r="H455" s="9"/>
      <c r="I455" s="1"/>
      <c r="J455" s="1"/>
      <c r="K455" s="1"/>
      <c r="L455" s="8"/>
      <c r="M455" s="1"/>
      <c r="N455" s="1"/>
    </row>
    <row r="456" spans="1:14">
      <c r="A456" s="1"/>
      <c r="B456" s="8"/>
      <c r="C456" s="1"/>
      <c r="D456" s="1"/>
      <c r="E456" s="1"/>
      <c r="F456" s="1"/>
      <c r="G456" s="1"/>
      <c r="H456" s="9"/>
      <c r="I456" s="1"/>
      <c r="J456" s="1"/>
      <c r="K456" s="1"/>
      <c r="L456" s="8"/>
      <c r="M456" s="1"/>
      <c r="N456" s="1"/>
    </row>
    <row r="457" spans="1:14">
      <c r="A457" s="1"/>
      <c r="B457" s="8"/>
      <c r="C457" s="1"/>
      <c r="D457" s="1"/>
      <c r="E457" s="1"/>
      <c r="F457" s="1"/>
      <c r="G457" s="1"/>
      <c r="H457" s="9"/>
      <c r="I457" s="1"/>
      <c r="J457" s="1"/>
      <c r="K457" s="1"/>
      <c r="L457" s="8"/>
      <c r="M457" s="1"/>
      <c r="N457" s="1"/>
    </row>
    <row r="458" spans="1:14">
      <c r="A458" s="1"/>
      <c r="B458" s="8"/>
      <c r="C458" s="1"/>
      <c r="D458" s="1"/>
      <c r="E458" s="1"/>
      <c r="F458" s="1"/>
      <c r="G458" s="1"/>
      <c r="H458" s="9"/>
      <c r="I458" s="1"/>
      <c r="J458" s="1"/>
      <c r="K458" s="1"/>
      <c r="L458" s="8"/>
      <c r="M458" s="1"/>
      <c r="N458" s="1"/>
    </row>
    <row r="459" spans="1:14">
      <c r="A459" s="1"/>
      <c r="B459" s="8"/>
      <c r="C459" s="1"/>
      <c r="D459" s="1"/>
      <c r="E459" s="1"/>
      <c r="F459" s="1"/>
      <c r="G459" s="1"/>
      <c r="H459" s="9"/>
      <c r="I459" s="1"/>
      <c r="J459" s="1"/>
      <c r="K459" s="1"/>
      <c r="L459" s="8"/>
      <c r="M459" s="1"/>
      <c r="N459" s="1"/>
    </row>
    <row r="460" spans="1:14">
      <c r="A460" s="1"/>
      <c r="B460" s="8"/>
      <c r="C460" s="1"/>
      <c r="D460" s="1"/>
      <c r="E460" s="1"/>
      <c r="F460" s="1"/>
      <c r="G460" s="1"/>
      <c r="H460" s="9"/>
      <c r="I460" s="1"/>
      <c r="J460" s="1"/>
      <c r="K460" s="1"/>
      <c r="L460" s="8"/>
      <c r="M460" s="1"/>
      <c r="N460" s="1"/>
    </row>
    <row r="461" spans="1:14">
      <c r="A461" s="1"/>
      <c r="B461" s="8"/>
      <c r="C461" s="1"/>
      <c r="D461" s="1"/>
      <c r="E461" s="1"/>
      <c r="F461" s="1"/>
      <c r="G461" s="1"/>
      <c r="H461" s="9"/>
      <c r="I461" s="1"/>
      <c r="J461" s="1"/>
      <c r="K461" s="1"/>
      <c r="L461" s="8"/>
      <c r="M461" s="1"/>
      <c r="N461" s="1"/>
    </row>
    <row r="462" spans="1:14">
      <c r="A462" s="1"/>
      <c r="B462" s="8"/>
      <c r="C462" s="1"/>
      <c r="D462" s="1"/>
      <c r="E462" s="1"/>
      <c r="F462" s="1"/>
      <c r="G462" s="1"/>
      <c r="H462" s="9"/>
      <c r="I462" s="1"/>
      <c r="J462" s="1"/>
      <c r="K462" s="1"/>
      <c r="L462" s="8"/>
      <c r="M462" s="1"/>
      <c r="N462" s="1"/>
    </row>
    <row r="463" spans="1:14">
      <c r="A463" s="1"/>
      <c r="B463" s="8"/>
      <c r="C463" s="1"/>
      <c r="D463" s="1"/>
      <c r="E463" s="1"/>
      <c r="F463" s="1"/>
      <c r="G463" s="1"/>
      <c r="H463" s="9"/>
      <c r="I463" s="1"/>
      <c r="J463" s="1"/>
      <c r="K463" s="1"/>
      <c r="L463" s="8"/>
      <c r="M463" s="1"/>
      <c r="N463" s="1"/>
    </row>
    <row r="464" spans="1:14">
      <c r="A464" s="1"/>
      <c r="B464" s="8"/>
      <c r="C464" s="1"/>
      <c r="D464" s="1"/>
      <c r="E464" s="1"/>
      <c r="F464" s="1"/>
      <c r="G464" s="1"/>
      <c r="H464" s="9"/>
      <c r="I464" s="1"/>
      <c r="J464" s="1"/>
      <c r="K464" s="1"/>
      <c r="L464" s="8"/>
      <c r="M464" s="1"/>
      <c r="N464" s="1"/>
    </row>
    <row r="465" spans="1:14">
      <c r="A465" s="1"/>
      <c r="B465" s="8"/>
      <c r="C465" s="1"/>
      <c r="D465" s="1"/>
      <c r="E465" s="1"/>
      <c r="F465" s="1"/>
      <c r="G465" s="1"/>
      <c r="H465" s="9"/>
      <c r="I465" s="1"/>
      <c r="J465" s="1"/>
      <c r="K465" s="1"/>
      <c r="L465" s="8"/>
      <c r="M465" s="1"/>
      <c r="N465" s="1"/>
    </row>
    <row r="466" spans="1:14">
      <c r="A466" s="1"/>
      <c r="B466" s="8"/>
      <c r="C466" s="1"/>
      <c r="D466" s="1"/>
      <c r="E466" s="1"/>
      <c r="F466" s="1"/>
      <c r="G466" s="1"/>
      <c r="H466" s="9"/>
      <c r="I466" s="1"/>
      <c r="J466" s="1"/>
      <c r="K466" s="1"/>
      <c r="L466" s="8"/>
      <c r="M466" s="1"/>
      <c r="N466" s="1"/>
    </row>
    <row r="467" spans="1:14">
      <c r="A467" s="1"/>
      <c r="B467" s="8"/>
      <c r="C467" s="1"/>
      <c r="D467" s="1"/>
      <c r="E467" s="1"/>
      <c r="F467" s="1"/>
      <c r="G467" s="1"/>
      <c r="H467" s="9"/>
      <c r="I467" s="1"/>
      <c r="J467" s="1"/>
      <c r="K467" s="1"/>
      <c r="L467" s="8"/>
      <c r="M467" s="1"/>
      <c r="N467" s="1"/>
    </row>
    <row r="468" spans="1:14">
      <c r="A468" s="1"/>
      <c r="B468" s="8"/>
      <c r="C468" s="1"/>
      <c r="D468" s="1"/>
      <c r="E468" s="1"/>
      <c r="F468" s="1"/>
      <c r="G468" s="1"/>
      <c r="H468" s="9"/>
      <c r="I468" s="1"/>
      <c r="J468" s="1"/>
      <c r="K468" s="1"/>
      <c r="L468" s="8"/>
      <c r="M468" s="1"/>
      <c r="N468" s="1"/>
    </row>
    <row r="469" spans="1:14">
      <c r="A469" s="1"/>
      <c r="B469" s="8"/>
      <c r="C469" s="1"/>
      <c r="D469" s="1"/>
      <c r="E469" s="1"/>
      <c r="F469" s="1"/>
      <c r="G469" s="1"/>
      <c r="H469" s="9"/>
      <c r="I469" s="1"/>
      <c r="J469" s="1"/>
      <c r="K469" s="1"/>
      <c r="L469" s="8"/>
      <c r="M469" s="1"/>
      <c r="N469" s="1"/>
    </row>
    <row r="470" spans="1:14">
      <c r="A470" s="1"/>
      <c r="B470" s="8"/>
      <c r="C470" s="1"/>
      <c r="D470" s="1"/>
      <c r="E470" s="1"/>
      <c r="F470" s="1"/>
      <c r="G470" s="1"/>
      <c r="H470" s="9"/>
      <c r="I470" s="1"/>
      <c r="J470" s="1"/>
      <c r="K470" s="1"/>
      <c r="L470" s="8"/>
      <c r="M470" s="1"/>
      <c r="N470" s="1"/>
    </row>
    <row r="471" spans="1:14">
      <c r="A471" s="1"/>
      <c r="B471" s="8"/>
      <c r="C471" s="1"/>
      <c r="D471" s="1"/>
      <c r="E471" s="1"/>
      <c r="F471" s="1"/>
      <c r="G471" s="1"/>
      <c r="H471" s="9"/>
      <c r="I471" s="1"/>
      <c r="J471" s="1"/>
      <c r="K471" s="1"/>
      <c r="L471" s="8"/>
      <c r="M471" s="1"/>
      <c r="N471" s="1"/>
    </row>
    <row r="472" spans="1:14">
      <c r="A472" s="1"/>
      <c r="B472" s="8"/>
      <c r="C472" s="1"/>
      <c r="D472" s="1"/>
      <c r="E472" s="1"/>
      <c r="F472" s="1"/>
      <c r="G472" s="1"/>
      <c r="H472" s="9"/>
      <c r="I472" s="1"/>
      <c r="J472" s="1"/>
      <c r="K472" s="1"/>
      <c r="L472" s="8"/>
      <c r="M472" s="1"/>
      <c r="N472" s="1"/>
    </row>
    <row r="473" spans="1:14">
      <c r="A473" s="1"/>
      <c r="B473" s="8"/>
      <c r="C473" s="1"/>
      <c r="D473" s="1"/>
      <c r="E473" s="1"/>
      <c r="F473" s="1"/>
      <c r="G473" s="1"/>
      <c r="H473" s="9"/>
      <c r="I473" s="1"/>
      <c r="J473" s="1"/>
      <c r="K473" s="1"/>
      <c r="L473" s="8"/>
      <c r="M473" s="1"/>
      <c r="N473" s="1"/>
    </row>
    <row r="474" spans="1:14">
      <c r="A474" s="1"/>
      <c r="B474" s="8"/>
      <c r="C474" s="1"/>
      <c r="D474" s="1"/>
      <c r="E474" s="1"/>
      <c r="F474" s="1"/>
      <c r="G474" s="1"/>
      <c r="H474" s="9"/>
      <c r="I474" s="1"/>
      <c r="J474" s="1"/>
      <c r="K474" s="1"/>
      <c r="L474" s="8"/>
      <c r="M474" s="1"/>
      <c r="N474" s="1"/>
    </row>
    <row r="475" spans="1:14">
      <c r="A475" s="1"/>
      <c r="B475" s="8"/>
      <c r="C475" s="1"/>
      <c r="D475" s="1"/>
      <c r="E475" s="1"/>
      <c r="F475" s="1"/>
      <c r="G475" s="1"/>
      <c r="H475" s="9"/>
      <c r="I475" s="1"/>
      <c r="J475" s="1"/>
      <c r="K475" s="1"/>
      <c r="L475" s="8"/>
      <c r="M475" s="1"/>
      <c r="N475" s="1"/>
    </row>
    <row r="476" spans="1:14">
      <c r="A476" s="1"/>
      <c r="B476" s="8"/>
      <c r="C476" s="1"/>
      <c r="D476" s="1"/>
      <c r="E476" s="1"/>
      <c r="F476" s="1"/>
      <c r="G476" s="1"/>
      <c r="H476" s="9"/>
      <c r="I476" s="1"/>
      <c r="J476" s="1"/>
      <c r="K476" s="1"/>
      <c r="L476" s="8"/>
      <c r="M476" s="1"/>
      <c r="N476" s="1"/>
    </row>
    <row r="477" spans="1:14">
      <c r="A477" s="1"/>
      <c r="B477" s="8"/>
      <c r="C477" s="1"/>
      <c r="D477" s="1"/>
      <c r="E477" s="1"/>
      <c r="F477" s="1"/>
      <c r="G477" s="1"/>
      <c r="H477" s="9"/>
      <c r="I477" s="1"/>
      <c r="J477" s="1"/>
      <c r="K477" s="1"/>
      <c r="L477" s="8"/>
      <c r="M477" s="1"/>
      <c r="N477" s="1"/>
    </row>
    <row r="478" spans="1:14">
      <c r="A478" s="1"/>
      <c r="B478" s="8"/>
      <c r="C478" s="1"/>
      <c r="D478" s="1"/>
      <c r="E478" s="1"/>
      <c r="F478" s="1"/>
      <c r="G478" s="1"/>
      <c r="H478" s="9"/>
      <c r="I478" s="1"/>
      <c r="J478" s="1"/>
      <c r="K478" s="1"/>
      <c r="L478" s="8"/>
      <c r="M478" s="1"/>
      <c r="N478" s="1"/>
    </row>
    <row r="479" spans="1:14">
      <c r="A479" s="1"/>
      <c r="B479" s="8"/>
      <c r="C479" s="1"/>
      <c r="D479" s="1"/>
      <c r="E479" s="1"/>
      <c r="F479" s="1"/>
      <c r="G479" s="1"/>
      <c r="H479" s="9"/>
      <c r="I479" s="1"/>
      <c r="J479" s="1"/>
      <c r="K479" s="1"/>
      <c r="L479" s="8"/>
      <c r="M479" s="1"/>
      <c r="N479" s="1"/>
    </row>
    <row r="480" spans="1:14">
      <c r="A480" s="1"/>
      <c r="B480" s="8"/>
      <c r="C480" s="1"/>
      <c r="D480" s="1"/>
      <c r="E480" s="1"/>
      <c r="F480" s="1"/>
      <c r="G480" s="1"/>
      <c r="H480" s="9"/>
      <c r="I480" s="1"/>
      <c r="J480" s="1"/>
      <c r="K480" s="1"/>
      <c r="L480" s="8"/>
      <c r="M480" s="1"/>
      <c r="N480" s="1"/>
    </row>
    <row r="481" spans="1:14">
      <c r="A481" s="1"/>
      <c r="B481" s="8"/>
      <c r="C481" s="1"/>
      <c r="D481" s="1"/>
      <c r="E481" s="1"/>
      <c r="F481" s="1"/>
      <c r="G481" s="1"/>
      <c r="H481" s="9"/>
      <c r="I481" s="1"/>
      <c r="J481" s="1"/>
      <c r="K481" s="1"/>
      <c r="L481" s="8"/>
      <c r="M481" s="1"/>
      <c r="N481" s="1"/>
    </row>
    <row r="482" spans="1:14">
      <c r="A482" s="1"/>
      <c r="B482" s="8"/>
      <c r="C482" s="1"/>
      <c r="D482" s="1"/>
      <c r="E482" s="1"/>
      <c r="F482" s="1"/>
      <c r="G482" s="1"/>
      <c r="H482" s="9"/>
      <c r="I482" s="1"/>
      <c r="J482" s="1"/>
      <c r="K482" s="1"/>
      <c r="L482" s="8"/>
      <c r="M482" s="1"/>
      <c r="N482" s="1"/>
    </row>
    <row r="483" spans="1:14">
      <c r="A483" s="1"/>
      <c r="B483" s="8"/>
      <c r="C483" s="1"/>
      <c r="D483" s="1"/>
      <c r="E483" s="1"/>
      <c r="F483" s="1"/>
      <c r="G483" s="1"/>
      <c r="H483" s="9"/>
      <c r="I483" s="1"/>
      <c r="J483" s="1"/>
      <c r="K483" s="1"/>
      <c r="L483" s="8"/>
      <c r="M483" s="1"/>
      <c r="N483" s="1"/>
    </row>
    <row r="484" spans="1:14">
      <c r="A484" s="1"/>
      <c r="B484" s="8"/>
      <c r="C484" s="1"/>
      <c r="D484" s="1"/>
      <c r="E484" s="1"/>
      <c r="F484" s="1"/>
      <c r="G484" s="1"/>
      <c r="H484" s="9"/>
      <c r="I484" s="1"/>
      <c r="J484" s="1"/>
      <c r="K484" s="1"/>
      <c r="L484" s="8"/>
      <c r="M484" s="1"/>
      <c r="N484" s="1"/>
    </row>
    <row r="485" spans="1:14">
      <c r="A485" s="1"/>
      <c r="B485" s="8"/>
      <c r="C485" s="1"/>
      <c r="D485" s="1"/>
      <c r="E485" s="1"/>
      <c r="F485" s="1"/>
      <c r="G485" s="1"/>
      <c r="H485" s="9"/>
      <c r="I485" s="1"/>
      <c r="J485" s="1"/>
      <c r="K485" s="1"/>
      <c r="L485" s="8"/>
      <c r="M485" s="1"/>
      <c r="N485" s="1"/>
    </row>
    <row r="486" spans="1:14">
      <c r="A486" s="1"/>
      <c r="B486" s="8"/>
      <c r="C486" s="1"/>
      <c r="D486" s="1"/>
      <c r="E486" s="1"/>
      <c r="F486" s="1"/>
      <c r="G486" s="1"/>
      <c r="H486" s="9"/>
      <c r="I486" s="1"/>
      <c r="J486" s="1"/>
      <c r="K486" s="1"/>
      <c r="L486" s="8"/>
      <c r="M486" s="1"/>
      <c r="N486" s="1"/>
    </row>
    <row r="487" spans="1:14">
      <c r="A487" s="1"/>
      <c r="B487" s="8"/>
      <c r="C487" s="1"/>
      <c r="D487" s="1"/>
      <c r="E487" s="1"/>
      <c r="F487" s="1"/>
      <c r="G487" s="1"/>
      <c r="H487" s="9"/>
      <c r="I487" s="1"/>
      <c r="J487" s="1"/>
      <c r="K487" s="1"/>
      <c r="L487" s="8"/>
      <c r="M487" s="1"/>
      <c r="N487" s="1"/>
    </row>
    <row r="488" spans="1:14">
      <c r="A488" s="1"/>
      <c r="B488" s="8"/>
      <c r="C488" s="1"/>
      <c r="D488" s="1"/>
      <c r="E488" s="1"/>
      <c r="F488" s="1"/>
      <c r="G488" s="1"/>
      <c r="H488" s="9"/>
      <c r="I488" s="1"/>
      <c r="J488" s="1"/>
      <c r="K488" s="1"/>
      <c r="L488" s="8"/>
      <c r="M488" s="1"/>
      <c r="N488" s="1"/>
    </row>
    <row r="489" spans="1:14">
      <c r="A489" s="1"/>
      <c r="B489" s="8"/>
      <c r="C489" s="1"/>
      <c r="D489" s="1"/>
      <c r="E489" s="1"/>
      <c r="F489" s="1"/>
      <c r="G489" s="1"/>
      <c r="H489" s="9"/>
      <c r="I489" s="1"/>
      <c r="J489" s="1"/>
      <c r="K489" s="1"/>
      <c r="L489" s="8"/>
      <c r="M489" s="1"/>
      <c r="N489" s="1"/>
    </row>
    <row r="490" spans="1:14">
      <c r="A490" s="1"/>
      <c r="B490" s="8"/>
      <c r="C490" s="1"/>
      <c r="D490" s="1"/>
      <c r="E490" s="1"/>
      <c r="F490" s="1"/>
      <c r="G490" s="1"/>
      <c r="H490" s="9"/>
      <c r="I490" s="1"/>
      <c r="J490" s="1"/>
      <c r="K490" s="1"/>
      <c r="L490" s="8"/>
      <c r="M490" s="1"/>
      <c r="N490" s="1"/>
    </row>
    <row r="491" spans="1:14">
      <c r="A491" s="1"/>
      <c r="B491" s="8"/>
      <c r="C491" s="1"/>
      <c r="D491" s="1"/>
      <c r="E491" s="1"/>
      <c r="F491" s="1"/>
      <c r="G491" s="1"/>
      <c r="H491" s="9"/>
      <c r="I491" s="1"/>
      <c r="J491" s="1"/>
      <c r="K491" s="1"/>
      <c r="L491" s="8"/>
      <c r="M491" s="1"/>
      <c r="N491" s="1"/>
    </row>
    <row r="492" spans="1:14">
      <c r="A492" s="1"/>
      <c r="B492" s="8"/>
      <c r="C492" s="1"/>
      <c r="D492" s="1"/>
      <c r="E492" s="1"/>
      <c r="F492" s="1"/>
      <c r="G492" s="1"/>
      <c r="H492" s="9"/>
      <c r="I492" s="1"/>
      <c r="J492" s="1"/>
      <c r="K492" s="1"/>
      <c r="L492" s="8"/>
      <c r="M492" s="1"/>
      <c r="N492" s="1"/>
    </row>
    <row r="493" spans="1:14">
      <c r="A493" s="1"/>
      <c r="B493" s="8"/>
      <c r="C493" s="1"/>
      <c r="D493" s="1"/>
      <c r="E493" s="1"/>
      <c r="F493" s="1"/>
      <c r="G493" s="1"/>
      <c r="H493" s="9"/>
      <c r="I493" s="1"/>
      <c r="J493" s="1"/>
      <c r="K493" s="1"/>
      <c r="L493" s="8"/>
      <c r="M493" s="1"/>
      <c r="N493" s="1"/>
    </row>
    <row r="494" spans="1:14">
      <c r="A494" s="1"/>
      <c r="B494" s="8"/>
      <c r="C494" s="1"/>
      <c r="D494" s="1"/>
      <c r="E494" s="1"/>
      <c r="F494" s="1"/>
      <c r="G494" s="1"/>
      <c r="H494" s="9"/>
      <c r="I494" s="1"/>
      <c r="J494" s="1"/>
      <c r="K494" s="1"/>
      <c r="L494" s="8"/>
      <c r="M494" s="1"/>
      <c r="N494" s="1"/>
    </row>
    <row r="495" spans="1:14">
      <c r="A495" s="1"/>
      <c r="B495" s="8"/>
      <c r="C495" s="1"/>
      <c r="D495" s="1"/>
      <c r="E495" s="1"/>
      <c r="F495" s="1"/>
      <c r="G495" s="1"/>
      <c r="H495" s="9"/>
      <c r="I495" s="1"/>
      <c r="J495" s="1"/>
      <c r="K495" s="1"/>
      <c r="L495" s="8"/>
      <c r="M495" s="1"/>
      <c r="N495" s="1"/>
    </row>
    <row r="496" spans="1:14">
      <c r="A496" s="1"/>
      <c r="B496" s="8"/>
      <c r="C496" s="1"/>
      <c r="D496" s="1"/>
      <c r="E496" s="1"/>
      <c r="F496" s="1"/>
      <c r="G496" s="1"/>
      <c r="H496" s="9"/>
      <c r="I496" s="1"/>
      <c r="J496" s="1"/>
      <c r="K496" s="1"/>
      <c r="L496" s="8"/>
      <c r="M496" s="1"/>
      <c r="N496" s="1"/>
    </row>
    <row r="497" spans="1:14">
      <c r="A497" s="1"/>
      <c r="B497" s="8"/>
      <c r="C497" s="1"/>
      <c r="D497" s="1"/>
      <c r="E497" s="1"/>
      <c r="F497" s="1"/>
      <c r="G497" s="1"/>
      <c r="H497" s="9"/>
      <c r="I497" s="1"/>
      <c r="J497" s="1"/>
      <c r="K497" s="1"/>
      <c r="L497" s="8"/>
      <c r="M497" s="1"/>
      <c r="N497" s="1"/>
    </row>
  </sheetData>
  <conditionalFormatting sqref="G2:G497">
    <cfRule type="expression" dxfId="33" priority="1">
      <formula>G2="Critique"</formula>
    </cfRule>
  </conditionalFormatting>
  <dataValidations count="6">
    <dataValidation type="list" allowBlank="1" showErrorMessage="1" errorTitle="Valeur non autorisée" error="Veuillez choisir une valeur depuis la liste dynamique REF_AGENCES." sqref="C2:C1000" xr:uid="{00000000-0002-0000-0700-000000000000}">
      <formula1>REF_AGENCES</formula1>
    </dataValidation>
    <dataValidation type="list" allowBlank="1" showErrorMessage="1" errorTitle="Valeur non autorisée" error="Veuillez choisir une valeur depuis la liste dynamique REF_CYCLES." sqref="D2:D1000" xr:uid="{00000000-0002-0000-0700-000001000000}">
      <formula1>REF_CYCLES</formula1>
    </dataValidation>
    <dataValidation type="list" allowBlank="1" showErrorMessage="1" errorTitle="Valeur non autorisée" error="Veuillez choisir une valeur depuis la liste dynamique REF_TYPES_INCIDENT." sqref="E2:E1000" xr:uid="{00000000-0002-0000-0700-000002000000}">
      <formula1>REF_TYPES_INCIDENT</formula1>
    </dataValidation>
    <dataValidation type="list" allowBlank="1" showErrorMessage="1" errorTitle="Valeur non autorisée" error="Veuillez choisir une valeur depuis la liste dynamique REF_GRAVITES_ANOMALIE." sqref="G2:G1000" xr:uid="{00000000-0002-0000-0700-000003000000}">
      <formula1>REF_GRAVITES_ANOMALIE</formula1>
    </dataValidation>
    <dataValidation type="list" allowBlank="1" showErrorMessage="1" errorTitle="Valeur non autorisée" error="Veuillez choisir une valeur depuis la liste dynamique REF_RESPONSABLES." sqref="J2:J1000" xr:uid="{00000000-0002-0000-0700-000004000000}">
      <formula1>REF_RESPONSABLES</formula1>
    </dataValidation>
    <dataValidation type="list" allowBlank="1" showErrorMessage="1" errorTitle="Valeur non autorisée" error="Veuillez choisir une valeur depuis la liste dynamique REF_STATUTS_ACTION." sqref="K2:K1000" xr:uid="{00000000-0002-0000-0700-000005000000}">
      <formula1>REF_STATUTS_ACTION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97"/>
  <sheetViews>
    <sheetView workbookViewId="0"/>
  </sheetViews>
  <sheetFormatPr baseColWidth="10" defaultColWidth="9" defaultRowHeight="14.25"/>
  <cols>
    <col min="1" max="1" width="12" customWidth="1"/>
    <col min="2" max="2" width="20" customWidth="1"/>
    <col min="3" max="3" width="30" customWidth="1"/>
    <col min="4" max="4" width="18" customWidth="1"/>
    <col min="5" max="5" width="42" customWidth="1"/>
    <col min="6" max="6" width="34" customWidth="1"/>
    <col min="7" max="7" width="48" customWidth="1"/>
    <col min="8" max="8" width="22" customWidth="1"/>
    <col min="9" max="11" width="14" customWidth="1"/>
    <col min="12" max="12" width="16" customWidth="1"/>
    <col min="13" max="13" width="12" customWidth="1"/>
    <col min="14" max="14" width="28" customWidth="1"/>
  </cols>
  <sheetData>
    <row r="1" spans="1:14" ht="32.1" customHeight="1">
      <c r="A1" s="2" t="s">
        <v>35</v>
      </c>
      <c r="B1" s="2" t="s">
        <v>265</v>
      </c>
      <c r="C1" s="2" t="s">
        <v>18</v>
      </c>
      <c r="D1" s="2" t="s">
        <v>167</v>
      </c>
      <c r="E1" s="2" t="s">
        <v>176</v>
      </c>
      <c r="F1" s="2" t="s">
        <v>224</v>
      </c>
      <c r="G1" s="2" t="s">
        <v>177</v>
      </c>
      <c r="H1" s="2" t="s">
        <v>178</v>
      </c>
      <c r="I1" s="2" t="s">
        <v>266</v>
      </c>
      <c r="J1" s="2" t="s">
        <v>179</v>
      </c>
      <c r="K1" s="2" t="s">
        <v>180</v>
      </c>
      <c r="L1" s="2" t="s">
        <v>198</v>
      </c>
      <c r="M1" s="2" t="s">
        <v>182</v>
      </c>
      <c r="N1" s="2" t="s">
        <v>264</v>
      </c>
    </row>
    <row r="2" spans="1:14">
      <c r="A2" s="1"/>
      <c r="B2" s="1"/>
      <c r="C2" s="1"/>
      <c r="D2" s="1"/>
      <c r="E2" s="1"/>
      <c r="F2" s="1"/>
      <c r="G2" s="1"/>
      <c r="H2" s="1"/>
      <c r="I2" s="8"/>
      <c r="J2" s="8"/>
      <c r="K2" s="8"/>
      <c r="L2" s="1"/>
      <c r="M2" s="6">
        <f t="shared" ref="M2:M65" ca="1" si="0">IF(AND(L2&lt;&gt;"Clôturée",J2&lt;&gt;"",TODAY()&gt;J2),TODAY()-J2,0)</f>
        <v>0</v>
      </c>
      <c r="N2" s="1"/>
    </row>
    <row r="3" spans="1:14">
      <c r="A3" s="1"/>
      <c r="B3" s="1"/>
      <c r="C3" s="1"/>
      <c r="D3" s="1"/>
      <c r="E3" s="1"/>
      <c r="F3" s="1"/>
      <c r="G3" s="1"/>
      <c r="H3" s="1"/>
      <c r="I3" s="8"/>
      <c r="J3" s="8"/>
      <c r="K3" s="8"/>
      <c r="L3" s="1"/>
      <c r="M3" s="6">
        <f t="shared" ca="1" si="0"/>
        <v>0</v>
      </c>
      <c r="N3" s="1"/>
    </row>
    <row r="4" spans="1:14">
      <c r="A4" s="1"/>
      <c r="B4" s="1"/>
      <c r="C4" s="1"/>
      <c r="D4" s="1"/>
      <c r="E4" s="1"/>
      <c r="F4" s="1"/>
      <c r="G4" s="1"/>
      <c r="H4" s="1"/>
      <c r="I4" s="8"/>
      <c r="J4" s="8"/>
      <c r="K4" s="8"/>
      <c r="L4" s="1"/>
      <c r="M4" s="6">
        <f t="shared" ca="1" si="0"/>
        <v>0</v>
      </c>
      <c r="N4" s="1"/>
    </row>
    <row r="5" spans="1:14">
      <c r="A5" s="1"/>
      <c r="B5" s="1"/>
      <c r="C5" s="1"/>
      <c r="D5" s="1"/>
      <c r="E5" s="1"/>
      <c r="F5" s="1"/>
      <c r="G5" s="1"/>
      <c r="H5" s="1"/>
      <c r="I5" s="8"/>
      <c r="J5" s="8"/>
      <c r="K5" s="8"/>
      <c r="L5" s="1"/>
      <c r="M5" s="6">
        <f t="shared" ca="1" si="0"/>
        <v>0</v>
      </c>
      <c r="N5" s="1"/>
    </row>
    <row r="6" spans="1:14">
      <c r="A6" s="1"/>
      <c r="B6" s="1"/>
      <c r="C6" s="1"/>
      <c r="D6" s="1"/>
      <c r="E6" s="1"/>
      <c r="F6" s="1"/>
      <c r="G6" s="1"/>
      <c r="H6" s="1"/>
      <c r="I6" s="8"/>
      <c r="J6" s="8"/>
      <c r="K6" s="8"/>
      <c r="L6" s="1"/>
      <c r="M6" s="6">
        <f t="shared" ca="1" si="0"/>
        <v>0</v>
      </c>
      <c r="N6" s="1"/>
    </row>
    <row r="7" spans="1:14">
      <c r="A7" s="1"/>
      <c r="B7" s="1"/>
      <c r="C7" s="1"/>
      <c r="D7" s="1"/>
      <c r="E7" s="1"/>
      <c r="F7" s="1"/>
      <c r="G7" s="1"/>
      <c r="H7" s="1"/>
      <c r="I7" s="8"/>
      <c r="J7" s="8"/>
      <c r="K7" s="8"/>
      <c r="L7" s="1"/>
      <c r="M7" s="6">
        <f t="shared" ca="1" si="0"/>
        <v>0</v>
      </c>
      <c r="N7" s="1"/>
    </row>
    <row r="8" spans="1:14">
      <c r="A8" s="1"/>
      <c r="B8" s="1"/>
      <c r="C8" s="1"/>
      <c r="D8" s="1"/>
      <c r="E8" s="1"/>
      <c r="F8" s="1"/>
      <c r="G8" s="1"/>
      <c r="H8" s="1"/>
      <c r="I8" s="8"/>
      <c r="J8" s="8"/>
      <c r="K8" s="8"/>
      <c r="L8" s="1"/>
      <c r="M8" s="6">
        <f t="shared" ca="1" si="0"/>
        <v>0</v>
      </c>
      <c r="N8" s="1"/>
    </row>
    <row r="9" spans="1:14">
      <c r="A9" s="1"/>
      <c r="B9" s="1"/>
      <c r="C9" s="1"/>
      <c r="D9" s="1"/>
      <c r="E9" s="1"/>
      <c r="F9" s="1"/>
      <c r="G9" s="1"/>
      <c r="H9" s="1"/>
      <c r="I9" s="8"/>
      <c r="J9" s="8"/>
      <c r="K9" s="8"/>
      <c r="L9" s="1"/>
      <c r="M9" s="6">
        <f t="shared" ca="1" si="0"/>
        <v>0</v>
      </c>
      <c r="N9" s="1"/>
    </row>
    <row r="10" spans="1:14">
      <c r="A10" s="1"/>
      <c r="B10" s="1"/>
      <c r="C10" s="1"/>
      <c r="D10" s="1"/>
      <c r="E10" s="1"/>
      <c r="F10" s="1"/>
      <c r="G10" s="1"/>
      <c r="H10" s="1"/>
      <c r="I10" s="8"/>
      <c r="J10" s="8"/>
      <c r="K10" s="8"/>
      <c r="L10" s="1"/>
      <c r="M10" s="6">
        <f t="shared" ca="1" si="0"/>
        <v>0</v>
      </c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8"/>
      <c r="J11" s="8"/>
      <c r="K11" s="8"/>
      <c r="L11" s="1"/>
      <c r="M11" s="6">
        <f t="shared" ca="1" si="0"/>
        <v>0</v>
      </c>
      <c r="N11" s="1"/>
    </row>
    <row r="12" spans="1:14">
      <c r="A12" s="1"/>
      <c r="B12" s="1"/>
      <c r="C12" s="1"/>
      <c r="D12" s="1"/>
      <c r="E12" s="1"/>
      <c r="F12" s="1"/>
      <c r="G12" s="1"/>
      <c r="H12" s="1"/>
      <c r="I12" s="8"/>
      <c r="J12" s="8"/>
      <c r="K12" s="8"/>
      <c r="L12" s="1"/>
      <c r="M12" s="6">
        <f t="shared" ca="1" si="0"/>
        <v>0</v>
      </c>
      <c r="N12" s="1"/>
    </row>
    <row r="13" spans="1:14">
      <c r="A13" s="1"/>
      <c r="B13" s="1"/>
      <c r="C13" s="1"/>
      <c r="D13" s="1"/>
      <c r="E13" s="1"/>
      <c r="F13" s="1"/>
      <c r="G13" s="1"/>
      <c r="H13" s="1"/>
      <c r="I13" s="8"/>
      <c r="J13" s="8"/>
      <c r="K13" s="8"/>
      <c r="L13" s="1"/>
      <c r="M13" s="6">
        <f t="shared" ca="1" si="0"/>
        <v>0</v>
      </c>
      <c r="N13" s="1"/>
    </row>
    <row r="14" spans="1:14">
      <c r="A14" s="1"/>
      <c r="B14" s="1"/>
      <c r="C14" s="1"/>
      <c r="D14" s="1"/>
      <c r="E14" s="1"/>
      <c r="F14" s="1"/>
      <c r="G14" s="1"/>
      <c r="H14" s="1"/>
      <c r="I14" s="8"/>
      <c r="J14" s="8"/>
      <c r="K14" s="8"/>
      <c r="L14" s="1"/>
      <c r="M14" s="6">
        <f t="shared" ca="1" si="0"/>
        <v>0</v>
      </c>
      <c r="N14" s="1"/>
    </row>
    <row r="15" spans="1:14">
      <c r="A15" s="1"/>
      <c r="B15" s="1"/>
      <c r="C15" s="1"/>
      <c r="D15" s="1"/>
      <c r="E15" s="1"/>
      <c r="F15" s="1"/>
      <c r="G15" s="1"/>
      <c r="H15" s="1"/>
      <c r="I15" s="8"/>
      <c r="J15" s="8"/>
      <c r="K15" s="8"/>
      <c r="L15" s="1"/>
      <c r="M15" s="6">
        <f t="shared" ca="1" si="0"/>
        <v>0</v>
      </c>
      <c r="N15" s="1"/>
    </row>
    <row r="16" spans="1:14">
      <c r="A16" s="1"/>
      <c r="B16" s="1"/>
      <c r="C16" s="1"/>
      <c r="D16" s="1"/>
      <c r="E16" s="1"/>
      <c r="F16" s="1"/>
      <c r="G16" s="1"/>
      <c r="H16" s="1"/>
      <c r="I16" s="8"/>
      <c r="J16" s="8"/>
      <c r="K16" s="8"/>
      <c r="L16" s="1"/>
      <c r="M16" s="6">
        <f t="shared" ca="1" si="0"/>
        <v>0</v>
      </c>
      <c r="N16" s="1"/>
    </row>
    <row r="17" spans="1:14">
      <c r="A17" s="1"/>
      <c r="B17" s="1"/>
      <c r="C17" s="1"/>
      <c r="D17" s="1"/>
      <c r="E17" s="1"/>
      <c r="F17" s="1"/>
      <c r="G17" s="1"/>
      <c r="H17" s="1"/>
      <c r="I17" s="8"/>
      <c r="J17" s="8"/>
      <c r="K17" s="8"/>
      <c r="L17" s="1"/>
      <c r="M17" s="6">
        <f t="shared" ca="1" si="0"/>
        <v>0</v>
      </c>
      <c r="N17" s="1"/>
    </row>
    <row r="18" spans="1:14">
      <c r="A18" s="1"/>
      <c r="B18" s="1"/>
      <c r="C18" s="1"/>
      <c r="D18" s="1"/>
      <c r="E18" s="1"/>
      <c r="F18" s="1"/>
      <c r="G18" s="1"/>
      <c r="H18" s="1"/>
      <c r="I18" s="8"/>
      <c r="J18" s="8"/>
      <c r="K18" s="8"/>
      <c r="L18" s="1"/>
      <c r="M18" s="6">
        <f t="shared" ca="1" si="0"/>
        <v>0</v>
      </c>
      <c r="N18" s="1"/>
    </row>
    <row r="19" spans="1:14">
      <c r="A19" s="1"/>
      <c r="B19" s="1"/>
      <c r="C19" s="1"/>
      <c r="D19" s="1"/>
      <c r="E19" s="1"/>
      <c r="F19" s="1"/>
      <c r="G19" s="1"/>
      <c r="H19" s="1"/>
      <c r="I19" s="8"/>
      <c r="J19" s="8"/>
      <c r="K19" s="8"/>
      <c r="L19" s="1"/>
      <c r="M19" s="6">
        <f t="shared" ca="1" si="0"/>
        <v>0</v>
      </c>
      <c r="N19" s="1"/>
    </row>
    <row r="20" spans="1:14">
      <c r="A20" s="1"/>
      <c r="B20" s="1"/>
      <c r="C20" s="1"/>
      <c r="D20" s="1"/>
      <c r="E20" s="1"/>
      <c r="F20" s="1"/>
      <c r="G20" s="1"/>
      <c r="H20" s="1"/>
      <c r="I20" s="8"/>
      <c r="J20" s="8"/>
      <c r="K20" s="8"/>
      <c r="L20" s="1"/>
      <c r="M20" s="6">
        <f t="shared" ca="1" si="0"/>
        <v>0</v>
      </c>
      <c r="N20" s="1"/>
    </row>
    <row r="21" spans="1:14">
      <c r="A21" s="1"/>
      <c r="B21" s="1"/>
      <c r="C21" s="1"/>
      <c r="D21" s="1"/>
      <c r="E21" s="1"/>
      <c r="F21" s="1"/>
      <c r="G21" s="1"/>
      <c r="H21" s="1"/>
      <c r="I21" s="8"/>
      <c r="J21" s="8"/>
      <c r="K21" s="8"/>
      <c r="L21" s="1"/>
      <c r="M21" s="6">
        <f t="shared" ca="1" si="0"/>
        <v>0</v>
      </c>
      <c r="N21" s="1"/>
    </row>
    <row r="22" spans="1:14">
      <c r="A22" s="1"/>
      <c r="B22" s="1"/>
      <c r="C22" s="1"/>
      <c r="D22" s="1"/>
      <c r="E22" s="1"/>
      <c r="F22" s="1"/>
      <c r="G22" s="1"/>
      <c r="H22" s="1"/>
      <c r="I22" s="8"/>
      <c r="J22" s="8"/>
      <c r="K22" s="8"/>
      <c r="L22" s="1"/>
      <c r="M22" s="6">
        <f t="shared" ca="1" si="0"/>
        <v>0</v>
      </c>
      <c r="N22" s="1"/>
    </row>
    <row r="23" spans="1:14">
      <c r="A23" s="1"/>
      <c r="B23" s="1"/>
      <c r="C23" s="1"/>
      <c r="D23" s="1"/>
      <c r="E23" s="1"/>
      <c r="F23" s="1"/>
      <c r="G23" s="1"/>
      <c r="H23" s="1"/>
      <c r="I23" s="8"/>
      <c r="J23" s="8"/>
      <c r="K23" s="8"/>
      <c r="L23" s="1"/>
      <c r="M23" s="6">
        <f t="shared" ca="1" si="0"/>
        <v>0</v>
      </c>
      <c r="N23" s="1"/>
    </row>
    <row r="24" spans="1:14">
      <c r="A24" s="1"/>
      <c r="B24" s="1"/>
      <c r="C24" s="1"/>
      <c r="D24" s="1"/>
      <c r="E24" s="1"/>
      <c r="F24" s="1"/>
      <c r="G24" s="1"/>
      <c r="H24" s="1"/>
      <c r="I24" s="8"/>
      <c r="J24" s="8"/>
      <c r="K24" s="8"/>
      <c r="L24" s="1"/>
      <c r="M24" s="6">
        <f t="shared" ca="1" si="0"/>
        <v>0</v>
      </c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8"/>
      <c r="J25" s="8"/>
      <c r="K25" s="8"/>
      <c r="L25" s="1"/>
      <c r="M25" s="6">
        <f t="shared" ca="1" si="0"/>
        <v>0</v>
      </c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8"/>
      <c r="J26" s="8"/>
      <c r="K26" s="8"/>
      <c r="L26" s="1"/>
      <c r="M26" s="6">
        <f t="shared" ca="1" si="0"/>
        <v>0</v>
      </c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8"/>
      <c r="J27" s="8"/>
      <c r="K27" s="8"/>
      <c r="L27" s="1"/>
      <c r="M27" s="6">
        <f t="shared" ca="1" si="0"/>
        <v>0</v>
      </c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8"/>
      <c r="J28" s="8"/>
      <c r="K28" s="8"/>
      <c r="L28" s="1"/>
      <c r="M28" s="6">
        <f t="shared" ca="1" si="0"/>
        <v>0</v>
      </c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8"/>
      <c r="J29" s="8"/>
      <c r="K29" s="8"/>
      <c r="L29" s="1"/>
      <c r="M29" s="6">
        <f t="shared" ca="1" si="0"/>
        <v>0</v>
      </c>
      <c r="N29" s="1"/>
    </row>
    <row r="30" spans="1:14">
      <c r="A30" s="1"/>
      <c r="B30" s="1"/>
      <c r="C30" s="1"/>
      <c r="D30" s="1"/>
      <c r="E30" s="1"/>
      <c r="F30" s="1"/>
      <c r="G30" s="1"/>
      <c r="H30" s="1"/>
      <c r="I30" s="8"/>
      <c r="J30" s="8"/>
      <c r="K30" s="8"/>
      <c r="L30" s="1"/>
      <c r="M30" s="6">
        <f t="shared" ca="1" si="0"/>
        <v>0</v>
      </c>
      <c r="N30" s="1"/>
    </row>
    <row r="31" spans="1:14">
      <c r="A31" s="1"/>
      <c r="B31" s="1"/>
      <c r="C31" s="1"/>
      <c r="D31" s="1"/>
      <c r="E31" s="1"/>
      <c r="F31" s="1"/>
      <c r="G31" s="1"/>
      <c r="H31" s="1"/>
      <c r="I31" s="8"/>
      <c r="J31" s="8"/>
      <c r="K31" s="8"/>
      <c r="L31" s="1"/>
      <c r="M31" s="6">
        <f t="shared" ca="1" si="0"/>
        <v>0</v>
      </c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8"/>
      <c r="J32" s="8"/>
      <c r="K32" s="8"/>
      <c r="L32" s="1"/>
      <c r="M32" s="6">
        <f t="shared" ca="1" si="0"/>
        <v>0</v>
      </c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8"/>
      <c r="J33" s="8"/>
      <c r="K33" s="8"/>
      <c r="L33" s="1"/>
      <c r="M33" s="6">
        <f t="shared" ca="1" si="0"/>
        <v>0</v>
      </c>
      <c r="N33" s="1"/>
    </row>
    <row r="34" spans="1:14">
      <c r="A34" s="1"/>
      <c r="B34" s="1"/>
      <c r="C34" s="1"/>
      <c r="D34" s="1"/>
      <c r="E34" s="1"/>
      <c r="F34" s="1"/>
      <c r="G34" s="1"/>
      <c r="H34" s="1"/>
      <c r="I34" s="8"/>
      <c r="J34" s="8"/>
      <c r="K34" s="8"/>
      <c r="L34" s="1"/>
      <c r="M34" s="6">
        <f t="shared" ca="1" si="0"/>
        <v>0</v>
      </c>
      <c r="N34" s="1"/>
    </row>
    <row r="35" spans="1:14">
      <c r="A35" s="1"/>
      <c r="B35" s="1"/>
      <c r="C35" s="1"/>
      <c r="D35" s="1"/>
      <c r="E35" s="1"/>
      <c r="F35" s="1"/>
      <c r="G35" s="1"/>
      <c r="H35" s="1"/>
      <c r="I35" s="8"/>
      <c r="J35" s="8"/>
      <c r="K35" s="8"/>
      <c r="L35" s="1"/>
      <c r="M35" s="6">
        <f t="shared" ca="1" si="0"/>
        <v>0</v>
      </c>
      <c r="N35" s="1"/>
    </row>
    <row r="36" spans="1:14">
      <c r="A36" s="1"/>
      <c r="B36" s="1"/>
      <c r="C36" s="1"/>
      <c r="D36" s="1"/>
      <c r="E36" s="1"/>
      <c r="F36" s="1"/>
      <c r="G36" s="1"/>
      <c r="H36" s="1"/>
      <c r="I36" s="8"/>
      <c r="J36" s="8"/>
      <c r="K36" s="8"/>
      <c r="L36" s="1"/>
      <c r="M36" s="6">
        <f t="shared" ca="1" si="0"/>
        <v>0</v>
      </c>
      <c r="N36" s="1"/>
    </row>
    <row r="37" spans="1:14">
      <c r="A37" s="1"/>
      <c r="B37" s="1"/>
      <c r="C37" s="1"/>
      <c r="D37" s="1"/>
      <c r="E37" s="1"/>
      <c r="F37" s="1"/>
      <c r="G37" s="1"/>
      <c r="H37" s="1"/>
      <c r="I37" s="8"/>
      <c r="J37" s="8"/>
      <c r="K37" s="8"/>
      <c r="L37" s="1"/>
      <c r="M37" s="6">
        <f t="shared" ca="1" si="0"/>
        <v>0</v>
      </c>
      <c r="N37" s="1"/>
    </row>
    <row r="38" spans="1:14">
      <c r="A38" s="1"/>
      <c r="B38" s="1"/>
      <c r="C38" s="1"/>
      <c r="D38" s="1"/>
      <c r="E38" s="1"/>
      <c r="F38" s="1"/>
      <c r="G38" s="1"/>
      <c r="H38" s="1"/>
      <c r="I38" s="8"/>
      <c r="J38" s="8"/>
      <c r="K38" s="8"/>
      <c r="L38" s="1"/>
      <c r="M38" s="6">
        <f t="shared" ca="1" si="0"/>
        <v>0</v>
      </c>
      <c r="N38" s="1"/>
    </row>
    <row r="39" spans="1:14">
      <c r="A39" s="1"/>
      <c r="B39" s="1"/>
      <c r="C39" s="1"/>
      <c r="D39" s="1"/>
      <c r="E39" s="1"/>
      <c r="F39" s="1"/>
      <c r="G39" s="1"/>
      <c r="H39" s="1"/>
      <c r="I39" s="8"/>
      <c r="J39" s="8"/>
      <c r="K39" s="8"/>
      <c r="L39" s="1"/>
      <c r="M39" s="6">
        <f t="shared" ca="1" si="0"/>
        <v>0</v>
      </c>
      <c r="N39" s="1"/>
    </row>
    <row r="40" spans="1:14">
      <c r="A40" s="1"/>
      <c r="B40" s="1"/>
      <c r="C40" s="1"/>
      <c r="D40" s="1"/>
      <c r="E40" s="1"/>
      <c r="F40" s="1"/>
      <c r="G40" s="1"/>
      <c r="H40" s="1"/>
      <c r="I40" s="8"/>
      <c r="J40" s="8"/>
      <c r="K40" s="8"/>
      <c r="L40" s="1"/>
      <c r="M40" s="6">
        <f t="shared" ca="1" si="0"/>
        <v>0</v>
      </c>
      <c r="N40" s="1"/>
    </row>
    <row r="41" spans="1:14">
      <c r="A41" s="1"/>
      <c r="B41" s="1"/>
      <c r="C41" s="1"/>
      <c r="D41" s="1"/>
      <c r="E41" s="1"/>
      <c r="F41" s="1"/>
      <c r="G41" s="1"/>
      <c r="H41" s="1"/>
      <c r="I41" s="8"/>
      <c r="J41" s="8"/>
      <c r="K41" s="8"/>
      <c r="L41" s="1"/>
      <c r="M41" s="6">
        <f t="shared" ca="1" si="0"/>
        <v>0</v>
      </c>
      <c r="N41" s="1"/>
    </row>
    <row r="42" spans="1:14">
      <c r="A42" s="1"/>
      <c r="B42" s="1"/>
      <c r="C42" s="1"/>
      <c r="D42" s="1"/>
      <c r="E42" s="1"/>
      <c r="F42" s="1"/>
      <c r="G42" s="1"/>
      <c r="H42" s="1"/>
      <c r="I42" s="8"/>
      <c r="J42" s="8"/>
      <c r="K42" s="8"/>
      <c r="L42" s="1"/>
      <c r="M42" s="6">
        <f t="shared" ca="1" si="0"/>
        <v>0</v>
      </c>
      <c r="N42" s="1"/>
    </row>
    <row r="43" spans="1:14">
      <c r="A43" s="1"/>
      <c r="B43" s="1"/>
      <c r="C43" s="1"/>
      <c r="D43" s="1"/>
      <c r="E43" s="1"/>
      <c r="F43" s="1"/>
      <c r="G43" s="1"/>
      <c r="H43" s="1"/>
      <c r="I43" s="8"/>
      <c r="J43" s="8"/>
      <c r="K43" s="8"/>
      <c r="L43" s="1"/>
      <c r="M43" s="6">
        <f t="shared" ca="1" si="0"/>
        <v>0</v>
      </c>
      <c r="N43" s="1"/>
    </row>
    <row r="44" spans="1:14">
      <c r="A44" s="1"/>
      <c r="B44" s="1"/>
      <c r="C44" s="1"/>
      <c r="D44" s="1"/>
      <c r="E44" s="1"/>
      <c r="F44" s="1"/>
      <c r="G44" s="1"/>
      <c r="H44" s="1"/>
      <c r="I44" s="8"/>
      <c r="J44" s="8"/>
      <c r="K44" s="8"/>
      <c r="L44" s="1"/>
      <c r="M44" s="6">
        <f t="shared" ca="1" si="0"/>
        <v>0</v>
      </c>
      <c r="N44" s="1"/>
    </row>
    <row r="45" spans="1:14">
      <c r="A45" s="1"/>
      <c r="B45" s="1"/>
      <c r="C45" s="1"/>
      <c r="D45" s="1"/>
      <c r="E45" s="1"/>
      <c r="F45" s="1"/>
      <c r="G45" s="1"/>
      <c r="H45" s="1"/>
      <c r="I45" s="8"/>
      <c r="J45" s="8"/>
      <c r="K45" s="8"/>
      <c r="L45" s="1"/>
      <c r="M45" s="6">
        <f t="shared" ca="1" si="0"/>
        <v>0</v>
      </c>
      <c r="N45" s="1"/>
    </row>
    <row r="46" spans="1:14">
      <c r="A46" s="1"/>
      <c r="B46" s="1"/>
      <c r="C46" s="1"/>
      <c r="D46" s="1"/>
      <c r="E46" s="1"/>
      <c r="F46" s="1"/>
      <c r="G46" s="1"/>
      <c r="H46" s="1"/>
      <c r="I46" s="8"/>
      <c r="J46" s="8"/>
      <c r="K46" s="8"/>
      <c r="L46" s="1"/>
      <c r="M46" s="6">
        <f t="shared" ca="1" si="0"/>
        <v>0</v>
      </c>
      <c r="N46" s="1"/>
    </row>
    <row r="47" spans="1:14">
      <c r="A47" s="1"/>
      <c r="B47" s="1"/>
      <c r="C47" s="1"/>
      <c r="D47" s="1"/>
      <c r="E47" s="1"/>
      <c r="F47" s="1"/>
      <c r="G47" s="1"/>
      <c r="H47" s="1"/>
      <c r="I47" s="8"/>
      <c r="J47" s="8"/>
      <c r="K47" s="8"/>
      <c r="L47" s="1"/>
      <c r="M47" s="6">
        <f t="shared" ca="1" si="0"/>
        <v>0</v>
      </c>
      <c r="N47" s="1"/>
    </row>
    <row r="48" spans="1:14">
      <c r="A48" s="1"/>
      <c r="B48" s="1"/>
      <c r="C48" s="1"/>
      <c r="D48" s="1"/>
      <c r="E48" s="1"/>
      <c r="F48" s="1"/>
      <c r="G48" s="1"/>
      <c r="H48" s="1"/>
      <c r="I48" s="8"/>
      <c r="J48" s="8"/>
      <c r="K48" s="8"/>
      <c r="L48" s="1"/>
      <c r="M48" s="6">
        <f t="shared" ca="1" si="0"/>
        <v>0</v>
      </c>
      <c r="N48" s="1"/>
    </row>
    <row r="49" spans="1:14">
      <c r="A49" s="1"/>
      <c r="B49" s="1"/>
      <c r="C49" s="1"/>
      <c r="D49" s="1"/>
      <c r="E49" s="1"/>
      <c r="F49" s="1"/>
      <c r="G49" s="1"/>
      <c r="H49" s="1"/>
      <c r="I49" s="8"/>
      <c r="J49" s="8"/>
      <c r="K49" s="8"/>
      <c r="L49" s="1"/>
      <c r="M49" s="6">
        <f t="shared" ca="1" si="0"/>
        <v>0</v>
      </c>
      <c r="N49" s="1"/>
    </row>
    <row r="50" spans="1:14">
      <c r="A50" s="1"/>
      <c r="B50" s="1"/>
      <c r="C50" s="1"/>
      <c r="D50" s="1"/>
      <c r="E50" s="1"/>
      <c r="F50" s="1"/>
      <c r="G50" s="1"/>
      <c r="H50" s="1"/>
      <c r="I50" s="8"/>
      <c r="J50" s="8"/>
      <c r="K50" s="8"/>
      <c r="L50" s="1"/>
      <c r="M50" s="6">
        <f t="shared" ca="1" si="0"/>
        <v>0</v>
      </c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8"/>
      <c r="J51" s="8"/>
      <c r="K51" s="8"/>
      <c r="L51" s="1"/>
      <c r="M51" s="6">
        <f t="shared" ca="1" si="0"/>
        <v>0</v>
      </c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8"/>
      <c r="J52" s="8"/>
      <c r="K52" s="8"/>
      <c r="L52" s="1"/>
      <c r="M52" s="6">
        <f t="shared" ca="1" si="0"/>
        <v>0</v>
      </c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8"/>
      <c r="J53" s="8"/>
      <c r="K53" s="8"/>
      <c r="L53" s="1"/>
      <c r="M53" s="6">
        <f t="shared" ca="1" si="0"/>
        <v>0</v>
      </c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8"/>
      <c r="J54" s="8"/>
      <c r="K54" s="8"/>
      <c r="L54" s="1"/>
      <c r="M54" s="6">
        <f t="shared" ca="1" si="0"/>
        <v>0</v>
      </c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8"/>
      <c r="J55" s="8"/>
      <c r="K55" s="8"/>
      <c r="L55" s="1"/>
      <c r="M55" s="6">
        <f t="shared" ca="1" si="0"/>
        <v>0</v>
      </c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8"/>
      <c r="J56" s="8"/>
      <c r="K56" s="8"/>
      <c r="L56" s="1"/>
      <c r="M56" s="6">
        <f t="shared" ca="1" si="0"/>
        <v>0</v>
      </c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8"/>
      <c r="J57" s="8"/>
      <c r="K57" s="8"/>
      <c r="L57" s="1"/>
      <c r="M57" s="6">
        <f t="shared" ca="1" si="0"/>
        <v>0</v>
      </c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8"/>
      <c r="J58" s="8"/>
      <c r="K58" s="8"/>
      <c r="L58" s="1"/>
      <c r="M58" s="6">
        <f t="shared" ca="1" si="0"/>
        <v>0</v>
      </c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8"/>
      <c r="J59" s="8"/>
      <c r="K59" s="8"/>
      <c r="L59" s="1"/>
      <c r="M59" s="6">
        <f t="shared" ca="1" si="0"/>
        <v>0</v>
      </c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8"/>
      <c r="J60" s="8"/>
      <c r="K60" s="8"/>
      <c r="L60" s="1"/>
      <c r="M60" s="6">
        <f t="shared" ca="1" si="0"/>
        <v>0</v>
      </c>
      <c r="N60" s="1"/>
    </row>
    <row r="61" spans="1:14">
      <c r="A61" s="1"/>
      <c r="B61" s="1"/>
      <c r="C61" s="1"/>
      <c r="D61" s="1"/>
      <c r="E61" s="1"/>
      <c r="F61" s="1"/>
      <c r="G61" s="1"/>
      <c r="H61" s="1"/>
      <c r="I61" s="8"/>
      <c r="J61" s="8"/>
      <c r="K61" s="8"/>
      <c r="L61" s="1"/>
      <c r="M61" s="6">
        <f t="shared" ca="1" si="0"/>
        <v>0</v>
      </c>
      <c r="N61" s="1"/>
    </row>
    <row r="62" spans="1:14">
      <c r="A62" s="1"/>
      <c r="B62" s="1"/>
      <c r="C62" s="1"/>
      <c r="D62" s="1"/>
      <c r="E62" s="1"/>
      <c r="F62" s="1"/>
      <c r="G62" s="1"/>
      <c r="H62" s="1"/>
      <c r="I62" s="8"/>
      <c r="J62" s="8"/>
      <c r="K62" s="8"/>
      <c r="L62" s="1"/>
      <c r="M62" s="6">
        <f t="shared" ca="1" si="0"/>
        <v>0</v>
      </c>
      <c r="N62" s="1"/>
    </row>
    <row r="63" spans="1:14">
      <c r="A63" s="1"/>
      <c r="B63" s="1"/>
      <c r="C63" s="1"/>
      <c r="D63" s="1"/>
      <c r="E63" s="1"/>
      <c r="F63" s="1"/>
      <c r="G63" s="1"/>
      <c r="H63" s="1"/>
      <c r="I63" s="8"/>
      <c r="J63" s="8"/>
      <c r="K63" s="8"/>
      <c r="L63" s="1"/>
      <c r="M63" s="6">
        <f t="shared" ca="1" si="0"/>
        <v>0</v>
      </c>
      <c r="N63" s="1"/>
    </row>
    <row r="64" spans="1:14">
      <c r="A64" s="1"/>
      <c r="B64" s="1"/>
      <c r="C64" s="1"/>
      <c r="D64" s="1"/>
      <c r="E64" s="1"/>
      <c r="F64" s="1"/>
      <c r="G64" s="1"/>
      <c r="H64" s="1"/>
      <c r="I64" s="8"/>
      <c r="J64" s="8"/>
      <c r="K64" s="8"/>
      <c r="L64" s="1"/>
      <c r="M64" s="6">
        <f t="shared" ca="1" si="0"/>
        <v>0</v>
      </c>
      <c r="N64" s="1"/>
    </row>
    <row r="65" spans="1:14">
      <c r="A65" s="1"/>
      <c r="B65" s="1"/>
      <c r="C65" s="1"/>
      <c r="D65" s="1"/>
      <c r="E65" s="1"/>
      <c r="F65" s="1"/>
      <c r="G65" s="1"/>
      <c r="H65" s="1"/>
      <c r="I65" s="8"/>
      <c r="J65" s="8"/>
      <c r="K65" s="8"/>
      <c r="L65" s="1"/>
      <c r="M65" s="6">
        <f t="shared" ca="1" si="0"/>
        <v>0</v>
      </c>
      <c r="N65" s="1"/>
    </row>
    <row r="66" spans="1:14">
      <c r="A66" s="1"/>
      <c r="B66" s="1"/>
      <c r="C66" s="1"/>
      <c r="D66" s="1"/>
      <c r="E66" s="1"/>
      <c r="F66" s="1"/>
      <c r="G66" s="1"/>
      <c r="H66" s="1"/>
      <c r="I66" s="8"/>
      <c r="J66" s="8"/>
      <c r="K66" s="8"/>
      <c r="L66" s="1"/>
      <c r="M66" s="6">
        <f t="shared" ref="M66:M129" ca="1" si="1">IF(AND(L66&lt;&gt;"Clôturée",J66&lt;&gt;"",TODAY()&gt;J66),TODAY()-J66,0)</f>
        <v>0</v>
      </c>
      <c r="N66" s="1"/>
    </row>
    <row r="67" spans="1:14">
      <c r="A67" s="1"/>
      <c r="B67" s="1"/>
      <c r="C67" s="1"/>
      <c r="D67" s="1"/>
      <c r="E67" s="1"/>
      <c r="F67" s="1"/>
      <c r="G67" s="1"/>
      <c r="H67" s="1"/>
      <c r="I67" s="8"/>
      <c r="J67" s="8"/>
      <c r="K67" s="8"/>
      <c r="L67" s="1"/>
      <c r="M67" s="6">
        <f t="shared" ca="1" si="1"/>
        <v>0</v>
      </c>
      <c r="N67" s="1"/>
    </row>
    <row r="68" spans="1:14">
      <c r="A68" s="1"/>
      <c r="B68" s="1"/>
      <c r="C68" s="1"/>
      <c r="D68" s="1"/>
      <c r="E68" s="1"/>
      <c r="F68" s="1"/>
      <c r="G68" s="1"/>
      <c r="H68" s="1"/>
      <c r="I68" s="8"/>
      <c r="J68" s="8"/>
      <c r="K68" s="8"/>
      <c r="L68" s="1"/>
      <c r="M68" s="6">
        <f t="shared" ca="1" si="1"/>
        <v>0</v>
      </c>
      <c r="N68" s="1"/>
    </row>
    <row r="69" spans="1:14">
      <c r="A69" s="1"/>
      <c r="B69" s="1"/>
      <c r="C69" s="1"/>
      <c r="D69" s="1"/>
      <c r="E69" s="1"/>
      <c r="F69" s="1"/>
      <c r="G69" s="1"/>
      <c r="H69" s="1"/>
      <c r="I69" s="8"/>
      <c r="J69" s="8"/>
      <c r="K69" s="8"/>
      <c r="L69" s="1"/>
      <c r="M69" s="6">
        <f t="shared" ca="1" si="1"/>
        <v>0</v>
      </c>
      <c r="N69" s="1"/>
    </row>
    <row r="70" spans="1:14">
      <c r="A70" s="1"/>
      <c r="B70" s="1"/>
      <c r="C70" s="1"/>
      <c r="D70" s="1"/>
      <c r="E70" s="1"/>
      <c r="F70" s="1"/>
      <c r="G70" s="1"/>
      <c r="H70" s="1"/>
      <c r="I70" s="8"/>
      <c r="J70" s="8"/>
      <c r="K70" s="8"/>
      <c r="L70" s="1"/>
      <c r="M70" s="6">
        <f t="shared" ca="1" si="1"/>
        <v>0</v>
      </c>
      <c r="N70" s="1"/>
    </row>
    <row r="71" spans="1:14">
      <c r="A71" s="1"/>
      <c r="B71" s="1"/>
      <c r="C71" s="1"/>
      <c r="D71" s="1"/>
      <c r="E71" s="1"/>
      <c r="F71" s="1"/>
      <c r="G71" s="1"/>
      <c r="H71" s="1"/>
      <c r="I71" s="8"/>
      <c r="J71" s="8"/>
      <c r="K71" s="8"/>
      <c r="L71" s="1"/>
      <c r="M71" s="6">
        <f t="shared" ca="1" si="1"/>
        <v>0</v>
      </c>
      <c r="N71" s="1"/>
    </row>
    <row r="72" spans="1:14">
      <c r="A72" s="1"/>
      <c r="B72" s="1"/>
      <c r="C72" s="1"/>
      <c r="D72" s="1"/>
      <c r="E72" s="1"/>
      <c r="F72" s="1"/>
      <c r="G72" s="1"/>
      <c r="H72" s="1"/>
      <c r="I72" s="8"/>
      <c r="J72" s="8"/>
      <c r="K72" s="8"/>
      <c r="L72" s="1"/>
      <c r="M72" s="6">
        <f t="shared" ca="1" si="1"/>
        <v>0</v>
      </c>
      <c r="N72" s="1"/>
    </row>
    <row r="73" spans="1:14">
      <c r="A73" s="1"/>
      <c r="B73" s="1"/>
      <c r="C73" s="1"/>
      <c r="D73" s="1"/>
      <c r="E73" s="1"/>
      <c r="F73" s="1"/>
      <c r="G73" s="1"/>
      <c r="H73" s="1"/>
      <c r="I73" s="8"/>
      <c r="J73" s="8"/>
      <c r="K73" s="8"/>
      <c r="L73" s="1"/>
      <c r="M73" s="6">
        <f t="shared" ca="1" si="1"/>
        <v>0</v>
      </c>
      <c r="N73" s="1"/>
    </row>
    <row r="74" spans="1:14">
      <c r="A74" s="1"/>
      <c r="B74" s="1"/>
      <c r="C74" s="1"/>
      <c r="D74" s="1"/>
      <c r="E74" s="1"/>
      <c r="F74" s="1"/>
      <c r="G74" s="1"/>
      <c r="H74" s="1"/>
      <c r="I74" s="8"/>
      <c r="J74" s="8"/>
      <c r="K74" s="8"/>
      <c r="L74" s="1"/>
      <c r="M74" s="6">
        <f t="shared" ca="1" si="1"/>
        <v>0</v>
      </c>
      <c r="N74" s="1"/>
    </row>
    <row r="75" spans="1:14">
      <c r="A75" s="1"/>
      <c r="B75" s="1"/>
      <c r="C75" s="1"/>
      <c r="D75" s="1"/>
      <c r="E75" s="1"/>
      <c r="F75" s="1"/>
      <c r="G75" s="1"/>
      <c r="H75" s="1"/>
      <c r="I75" s="8"/>
      <c r="J75" s="8"/>
      <c r="K75" s="8"/>
      <c r="L75" s="1"/>
      <c r="M75" s="6">
        <f t="shared" ca="1" si="1"/>
        <v>0</v>
      </c>
      <c r="N75" s="1"/>
    </row>
    <row r="76" spans="1:14">
      <c r="A76" s="1"/>
      <c r="B76" s="1"/>
      <c r="C76" s="1"/>
      <c r="D76" s="1"/>
      <c r="E76" s="1"/>
      <c r="F76" s="1"/>
      <c r="G76" s="1"/>
      <c r="H76" s="1"/>
      <c r="I76" s="8"/>
      <c r="J76" s="8"/>
      <c r="K76" s="8"/>
      <c r="L76" s="1"/>
      <c r="M76" s="6">
        <f t="shared" ca="1" si="1"/>
        <v>0</v>
      </c>
      <c r="N76" s="1"/>
    </row>
    <row r="77" spans="1:14">
      <c r="A77" s="1"/>
      <c r="B77" s="1"/>
      <c r="C77" s="1"/>
      <c r="D77" s="1"/>
      <c r="E77" s="1"/>
      <c r="F77" s="1"/>
      <c r="G77" s="1"/>
      <c r="H77" s="1"/>
      <c r="I77" s="8"/>
      <c r="J77" s="8"/>
      <c r="K77" s="8"/>
      <c r="L77" s="1"/>
      <c r="M77" s="6">
        <f t="shared" ca="1" si="1"/>
        <v>0</v>
      </c>
      <c r="N77" s="1"/>
    </row>
    <row r="78" spans="1:14">
      <c r="A78" s="1"/>
      <c r="B78" s="1"/>
      <c r="C78" s="1"/>
      <c r="D78" s="1"/>
      <c r="E78" s="1"/>
      <c r="F78" s="1"/>
      <c r="G78" s="1"/>
      <c r="H78" s="1"/>
      <c r="I78" s="8"/>
      <c r="J78" s="8"/>
      <c r="K78" s="8"/>
      <c r="L78" s="1"/>
      <c r="M78" s="6">
        <f t="shared" ca="1" si="1"/>
        <v>0</v>
      </c>
      <c r="N78" s="1"/>
    </row>
    <row r="79" spans="1:14">
      <c r="A79" s="1"/>
      <c r="B79" s="1"/>
      <c r="C79" s="1"/>
      <c r="D79" s="1"/>
      <c r="E79" s="1"/>
      <c r="F79" s="1"/>
      <c r="G79" s="1"/>
      <c r="H79" s="1"/>
      <c r="I79" s="8"/>
      <c r="J79" s="8"/>
      <c r="K79" s="8"/>
      <c r="L79" s="1"/>
      <c r="M79" s="6">
        <f t="shared" ca="1" si="1"/>
        <v>0</v>
      </c>
      <c r="N79" s="1"/>
    </row>
    <row r="80" spans="1:14">
      <c r="A80" s="1"/>
      <c r="B80" s="1"/>
      <c r="C80" s="1"/>
      <c r="D80" s="1"/>
      <c r="E80" s="1"/>
      <c r="F80" s="1"/>
      <c r="G80" s="1"/>
      <c r="H80" s="1"/>
      <c r="I80" s="8"/>
      <c r="J80" s="8"/>
      <c r="K80" s="8"/>
      <c r="L80" s="1"/>
      <c r="M80" s="6">
        <f t="shared" ca="1" si="1"/>
        <v>0</v>
      </c>
      <c r="N80" s="1"/>
    </row>
    <row r="81" spans="1:14">
      <c r="A81" s="1"/>
      <c r="B81" s="1"/>
      <c r="C81" s="1"/>
      <c r="D81" s="1"/>
      <c r="E81" s="1"/>
      <c r="F81" s="1"/>
      <c r="G81" s="1"/>
      <c r="H81" s="1"/>
      <c r="I81" s="8"/>
      <c r="J81" s="8"/>
      <c r="K81" s="8"/>
      <c r="L81" s="1"/>
      <c r="M81" s="6">
        <f t="shared" ca="1" si="1"/>
        <v>0</v>
      </c>
      <c r="N81" s="1"/>
    </row>
    <row r="82" spans="1:14">
      <c r="A82" s="1"/>
      <c r="B82" s="1"/>
      <c r="C82" s="1"/>
      <c r="D82" s="1"/>
      <c r="E82" s="1"/>
      <c r="F82" s="1"/>
      <c r="G82" s="1"/>
      <c r="H82" s="1"/>
      <c r="I82" s="8"/>
      <c r="J82" s="8"/>
      <c r="K82" s="8"/>
      <c r="L82" s="1"/>
      <c r="M82" s="6">
        <f t="shared" ca="1" si="1"/>
        <v>0</v>
      </c>
      <c r="N82" s="1"/>
    </row>
    <row r="83" spans="1:14">
      <c r="A83" s="1"/>
      <c r="B83" s="1"/>
      <c r="C83" s="1"/>
      <c r="D83" s="1"/>
      <c r="E83" s="1"/>
      <c r="F83" s="1"/>
      <c r="G83" s="1"/>
      <c r="H83" s="1"/>
      <c r="I83" s="8"/>
      <c r="J83" s="8"/>
      <c r="K83" s="8"/>
      <c r="L83" s="1"/>
      <c r="M83" s="6">
        <f t="shared" ca="1" si="1"/>
        <v>0</v>
      </c>
      <c r="N83" s="1"/>
    </row>
    <row r="84" spans="1:14">
      <c r="A84" s="1"/>
      <c r="B84" s="1"/>
      <c r="C84" s="1"/>
      <c r="D84" s="1"/>
      <c r="E84" s="1"/>
      <c r="F84" s="1"/>
      <c r="G84" s="1"/>
      <c r="H84" s="1"/>
      <c r="I84" s="8"/>
      <c r="J84" s="8"/>
      <c r="K84" s="8"/>
      <c r="L84" s="1"/>
      <c r="M84" s="6">
        <f t="shared" ca="1" si="1"/>
        <v>0</v>
      </c>
      <c r="N84" s="1"/>
    </row>
    <row r="85" spans="1:14">
      <c r="A85" s="1"/>
      <c r="B85" s="1"/>
      <c r="C85" s="1"/>
      <c r="D85" s="1"/>
      <c r="E85" s="1"/>
      <c r="F85" s="1"/>
      <c r="G85" s="1"/>
      <c r="H85" s="1"/>
      <c r="I85" s="8"/>
      <c r="J85" s="8"/>
      <c r="K85" s="8"/>
      <c r="L85" s="1"/>
      <c r="M85" s="6">
        <f t="shared" ca="1" si="1"/>
        <v>0</v>
      </c>
      <c r="N85" s="1"/>
    </row>
    <row r="86" spans="1:14">
      <c r="A86" s="1"/>
      <c r="B86" s="1"/>
      <c r="C86" s="1"/>
      <c r="D86" s="1"/>
      <c r="E86" s="1"/>
      <c r="F86" s="1"/>
      <c r="G86" s="1"/>
      <c r="H86" s="1"/>
      <c r="I86" s="8"/>
      <c r="J86" s="8"/>
      <c r="K86" s="8"/>
      <c r="L86" s="1"/>
      <c r="M86" s="6">
        <f t="shared" ca="1" si="1"/>
        <v>0</v>
      </c>
      <c r="N86" s="1"/>
    </row>
    <row r="87" spans="1:14">
      <c r="A87" s="1"/>
      <c r="B87" s="1"/>
      <c r="C87" s="1"/>
      <c r="D87" s="1"/>
      <c r="E87" s="1"/>
      <c r="F87" s="1"/>
      <c r="G87" s="1"/>
      <c r="H87" s="1"/>
      <c r="I87" s="8"/>
      <c r="J87" s="8"/>
      <c r="K87" s="8"/>
      <c r="L87" s="1"/>
      <c r="M87" s="6">
        <f t="shared" ca="1" si="1"/>
        <v>0</v>
      </c>
      <c r="N87" s="1"/>
    </row>
    <row r="88" spans="1:14">
      <c r="A88" s="1"/>
      <c r="B88" s="1"/>
      <c r="C88" s="1"/>
      <c r="D88" s="1"/>
      <c r="E88" s="1"/>
      <c r="F88" s="1"/>
      <c r="G88" s="1"/>
      <c r="H88" s="1"/>
      <c r="I88" s="8"/>
      <c r="J88" s="8"/>
      <c r="K88" s="8"/>
      <c r="L88" s="1"/>
      <c r="M88" s="6">
        <f t="shared" ca="1" si="1"/>
        <v>0</v>
      </c>
      <c r="N88" s="1"/>
    </row>
    <row r="89" spans="1:14">
      <c r="A89" s="1"/>
      <c r="B89" s="1"/>
      <c r="C89" s="1"/>
      <c r="D89" s="1"/>
      <c r="E89" s="1"/>
      <c r="F89" s="1"/>
      <c r="G89" s="1"/>
      <c r="H89" s="1"/>
      <c r="I89" s="8"/>
      <c r="J89" s="8"/>
      <c r="K89" s="8"/>
      <c r="L89" s="1"/>
      <c r="M89" s="6">
        <f t="shared" ca="1" si="1"/>
        <v>0</v>
      </c>
      <c r="N89" s="1"/>
    </row>
    <row r="90" spans="1:14">
      <c r="A90" s="1"/>
      <c r="B90" s="1"/>
      <c r="C90" s="1"/>
      <c r="D90" s="1"/>
      <c r="E90" s="1"/>
      <c r="F90" s="1"/>
      <c r="G90" s="1"/>
      <c r="H90" s="1"/>
      <c r="I90" s="8"/>
      <c r="J90" s="8"/>
      <c r="K90" s="8"/>
      <c r="L90" s="1"/>
      <c r="M90" s="6">
        <f t="shared" ca="1" si="1"/>
        <v>0</v>
      </c>
      <c r="N90" s="1"/>
    </row>
    <row r="91" spans="1:14">
      <c r="A91" s="1"/>
      <c r="B91" s="1"/>
      <c r="C91" s="1"/>
      <c r="D91" s="1"/>
      <c r="E91" s="1"/>
      <c r="F91" s="1"/>
      <c r="G91" s="1"/>
      <c r="H91" s="1"/>
      <c r="I91" s="8"/>
      <c r="J91" s="8"/>
      <c r="K91" s="8"/>
      <c r="L91" s="1"/>
      <c r="M91" s="6">
        <f t="shared" ca="1" si="1"/>
        <v>0</v>
      </c>
      <c r="N91" s="1"/>
    </row>
    <row r="92" spans="1:14">
      <c r="A92" s="1"/>
      <c r="B92" s="1"/>
      <c r="C92" s="1"/>
      <c r="D92" s="1"/>
      <c r="E92" s="1"/>
      <c r="F92" s="1"/>
      <c r="G92" s="1"/>
      <c r="H92" s="1"/>
      <c r="I92" s="8"/>
      <c r="J92" s="8"/>
      <c r="K92" s="8"/>
      <c r="L92" s="1"/>
      <c r="M92" s="6">
        <f t="shared" ca="1" si="1"/>
        <v>0</v>
      </c>
      <c r="N92" s="1"/>
    </row>
    <row r="93" spans="1:14">
      <c r="A93" s="1"/>
      <c r="B93" s="1"/>
      <c r="C93" s="1"/>
      <c r="D93" s="1"/>
      <c r="E93" s="1"/>
      <c r="F93" s="1"/>
      <c r="G93" s="1"/>
      <c r="H93" s="1"/>
      <c r="I93" s="8"/>
      <c r="J93" s="8"/>
      <c r="K93" s="8"/>
      <c r="L93" s="1"/>
      <c r="M93" s="6">
        <f t="shared" ca="1" si="1"/>
        <v>0</v>
      </c>
      <c r="N93" s="1"/>
    </row>
    <row r="94" spans="1:14">
      <c r="A94" s="1"/>
      <c r="B94" s="1"/>
      <c r="C94" s="1"/>
      <c r="D94" s="1"/>
      <c r="E94" s="1"/>
      <c r="F94" s="1"/>
      <c r="G94" s="1"/>
      <c r="H94" s="1"/>
      <c r="I94" s="8"/>
      <c r="J94" s="8"/>
      <c r="K94" s="8"/>
      <c r="L94" s="1"/>
      <c r="M94" s="6">
        <f t="shared" ca="1" si="1"/>
        <v>0</v>
      </c>
      <c r="N94" s="1"/>
    </row>
    <row r="95" spans="1:14">
      <c r="A95" s="1"/>
      <c r="B95" s="1"/>
      <c r="C95" s="1"/>
      <c r="D95" s="1"/>
      <c r="E95" s="1"/>
      <c r="F95" s="1"/>
      <c r="G95" s="1"/>
      <c r="H95" s="1"/>
      <c r="I95" s="8"/>
      <c r="J95" s="8"/>
      <c r="K95" s="8"/>
      <c r="L95" s="1"/>
      <c r="M95" s="6">
        <f t="shared" ca="1" si="1"/>
        <v>0</v>
      </c>
      <c r="N95" s="1"/>
    </row>
    <row r="96" spans="1:14">
      <c r="A96" s="1"/>
      <c r="B96" s="1"/>
      <c r="C96" s="1"/>
      <c r="D96" s="1"/>
      <c r="E96" s="1"/>
      <c r="F96" s="1"/>
      <c r="G96" s="1"/>
      <c r="H96" s="1"/>
      <c r="I96" s="8"/>
      <c r="J96" s="8"/>
      <c r="K96" s="8"/>
      <c r="L96" s="1"/>
      <c r="M96" s="6">
        <f t="shared" ca="1" si="1"/>
        <v>0</v>
      </c>
      <c r="N96" s="1"/>
    </row>
    <row r="97" spans="1:14">
      <c r="A97" s="1"/>
      <c r="B97" s="1"/>
      <c r="C97" s="1"/>
      <c r="D97" s="1"/>
      <c r="E97" s="1"/>
      <c r="F97" s="1"/>
      <c r="G97" s="1"/>
      <c r="H97" s="1"/>
      <c r="I97" s="8"/>
      <c r="J97" s="8"/>
      <c r="K97" s="8"/>
      <c r="L97" s="1"/>
      <c r="M97" s="6">
        <f t="shared" ca="1" si="1"/>
        <v>0</v>
      </c>
      <c r="N97" s="1"/>
    </row>
    <row r="98" spans="1:14">
      <c r="A98" s="1"/>
      <c r="B98" s="1"/>
      <c r="C98" s="1"/>
      <c r="D98" s="1"/>
      <c r="E98" s="1"/>
      <c r="F98" s="1"/>
      <c r="G98" s="1"/>
      <c r="H98" s="1"/>
      <c r="I98" s="8"/>
      <c r="J98" s="8"/>
      <c r="K98" s="8"/>
      <c r="L98" s="1"/>
      <c r="M98" s="6">
        <f t="shared" ca="1" si="1"/>
        <v>0</v>
      </c>
      <c r="N98" s="1"/>
    </row>
    <row r="99" spans="1:14">
      <c r="A99" s="1"/>
      <c r="B99" s="1"/>
      <c r="C99" s="1"/>
      <c r="D99" s="1"/>
      <c r="E99" s="1"/>
      <c r="F99" s="1"/>
      <c r="G99" s="1"/>
      <c r="H99" s="1"/>
      <c r="I99" s="8"/>
      <c r="J99" s="8"/>
      <c r="K99" s="8"/>
      <c r="L99" s="1"/>
      <c r="M99" s="6">
        <f t="shared" ca="1" si="1"/>
        <v>0</v>
      </c>
      <c r="N99" s="1"/>
    </row>
    <row r="100" spans="1:14">
      <c r="A100" s="1"/>
      <c r="B100" s="1"/>
      <c r="C100" s="1"/>
      <c r="D100" s="1"/>
      <c r="E100" s="1"/>
      <c r="F100" s="1"/>
      <c r="G100" s="1"/>
      <c r="H100" s="1"/>
      <c r="I100" s="8"/>
      <c r="J100" s="8"/>
      <c r="K100" s="8"/>
      <c r="L100" s="1"/>
      <c r="M100" s="6">
        <f t="shared" ca="1" si="1"/>
        <v>0</v>
      </c>
      <c r="N100" s="1"/>
    </row>
    <row r="101" spans="1:14">
      <c r="A101" s="1"/>
      <c r="B101" s="1"/>
      <c r="C101" s="1"/>
      <c r="D101" s="1"/>
      <c r="E101" s="1"/>
      <c r="F101" s="1"/>
      <c r="G101" s="1"/>
      <c r="H101" s="1"/>
      <c r="I101" s="8"/>
      <c r="J101" s="8"/>
      <c r="K101" s="8"/>
      <c r="L101" s="1"/>
      <c r="M101" s="6">
        <f t="shared" ca="1" si="1"/>
        <v>0</v>
      </c>
      <c r="N101" s="1"/>
    </row>
    <row r="102" spans="1:14">
      <c r="A102" s="1"/>
      <c r="B102" s="1"/>
      <c r="C102" s="1"/>
      <c r="D102" s="1"/>
      <c r="E102" s="1"/>
      <c r="F102" s="1"/>
      <c r="G102" s="1"/>
      <c r="H102" s="1"/>
      <c r="I102" s="8"/>
      <c r="J102" s="8"/>
      <c r="K102" s="8"/>
      <c r="L102" s="1"/>
      <c r="M102" s="6">
        <f t="shared" ca="1" si="1"/>
        <v>0</v>
      </c>
      <c r="N102" s="1"/>
    </row>
    <row r="103" spans="1:14">
      <c r="A103" s="1"/>
      <c r="B103" s="1"/>
      <c r="C103" s="1"/>
      <c r="D103" s="1"/>
      <c r="E103" s="1"/>
      <c r="F103" s="1"/>
      <c r="G103" s="1"/>
      <c r="H103" s="1"/>
      <c r="I103" s="8"/>
      <c r="J103" s="8"/>
      <c r="K103" s="8"/>
      <c r="L103" s="1"/>
      <c r="M103" s="6">
        <f t="shared" ca="1" si="1"/>
        <v>0</v>
      </c>
      <c r="N103" s="1"/>
    </row>
    <row r="104" spans="1:14">
      <c r="A104" s="1"/>
      <c r="B104" s="1"/>
      <c r="C104" s="1"/>
      <c r="D104" s="1"/>
      <c r="E104" s="1"/>
      <c r="F104" s="1"/>
      <c r="G104" s="1"/>
      <c r="H104" s="1"/>
      <c r="I104" s="8"/>
      <c r="J104" s="8"/>
      <c r="K104" s="8"/>
      <c r="L104" s="1"/>
      <c r="M104" s="6">
        <f t="shared" ca="1" si="1"/>
        <v>0</v>
      </c>
      <c r="N104" s="1"/>
    </row>
    <row r="105" spans="1:14">
      <c r="A105" s="1"/>
      <c r="B105" s="1"/>
      <c r="C105" s="1"/>
      <c r="D105" s="1"/>
      <c r="E105" s="1"/>
      <c r="F105" s="1"/>
      <c r="G105" s="1"/>
      <c r="H105" s="1"/>
      <c r="I105" s="8"/>
      <c r="J105" s="8"/>
      <c r="K105" s="8"/>
      <c r="L105" s="1"/>
      <c r="M105" s="6">
        <f t="shared" ca="1" si="1"/>
        <v>0</v>
      </c>
      <c r="N105" s="1"/>
    </row>
    <row r="106" spans="1:14">
      <c r="A106" s="1"/>
      <c r="B106" s="1"/>
      <c r="C106" s="1"/>
      <c r="D106" s="1"/>
      <c r="E106" s="1"/>
      <c r="F106" s="1"/>
      <c r="G106" s="1"/>
      <c r="H106" s="1"/>
      <c r="I106" s="8"/>
      <c r="J106" s="8"/>
      <c r="K106" s="8"/>
      <c r="L106" s="1"/>
      <c r="M106" s="6">
        <f t="shared" ca="1" si="1"/>
        <v>0</v>
      </c>
      <c r="N106" s="1"/>
    </row>
    <row r="107" spans="1:14">
      <c r="A107" s="1"/>
      <c r="B107" s="1"/>
      <c r="C107" s="1"/>
      <c r="D107" s="1"/>
      <c r="E107" s="1"/>
      <c r="F107" s="1"/>
      <c r="G107" s="1"/>
      <c r="H107" s="1"/>
      <c r="I107" s="8"/>
      <c r="J107" s="8"/>
      <c r="K107" s="8"/>
      <c r="L107" s="1"/>
      <c r="M107" s="6">
        <f t="shared" ca="1" si="1"/>
        <v>0</v>
      </c>
      <c r="N107" s="1"/>
    </row>
    <row r="108" spans="1:14">
      <c r="A108" s="1"/>
      <c r="B108" s="1"/>
      <c r="C108" s="1"/>
      <c r="D108" s="1"/>
      <c r="E108" s="1"/>
      <c r="F108" s="1"/>
      <c r="G108" s="1"/>
      <c r="H108" s="1"/>
      <c r="I108" s="8"/>
      <c r="J108" s="8"/>
      <c r="K108" s="8"/>
      <c r="L108" s="1"/>
      <c r="M108" s="6">
        <f t="shared" ca="1" si="1"/>
        <v>0</v>
      </c>
      <c r="N108" s="1"/>
    </row>
    <row r="109" spans="1:14">
      <c r="A109" s="1"/>
      <c r="B109" s="1"/>
      <c r="C109" s="1"/>
      <c r="D109" s="1"/>
      <c r="E109" s="1"/>
      <c r="F109" s="1"/>
      <c r="G109" s="1"/>
      <c r="H109" s="1"/>
      <c r="I109" s="8"/>
      <c r="J109" s="8"/>
      <c r="K109" s="8"/>
      <c r="L109" s="1"/>
      <c r="M109" s="6">
        <f t="shared" ca="1" si="1"/>
        <v>0</v>
      </c>
      <c r="N109" s="1"/>
    </row>
    <row r="110" spans="1:14">
      <c r="A110" s="1"/>
      <c r="B110" s="1"/>
      <c r="C110" s="1"/>
      <c r="D110" s="1"/>
      <c r="E110" s="1"/>
      <c r="F110" s="1"/>
      <c r="G110" s="1"/>
      <c r="H110" s="1"/>
      <c r="I110" s="8"/>
      <c r="J110" s="8"/>
      <c r="K110" s="8"/>
      <c r="L110" s="1"/>
      <c r="M110" s="6">
        <f t="shared" ca="1" si="1"/>
        <v>0</v>
      </c>
      <c r="N110" s="1"/>
    </row>
    <row r="111" spans="1:14">
      <c r="A111" s="1"/>
      <c r="B111" s="1"/>
      <c r="C111" s="1"/>
      <c r="D111" s="1"/>
      <c r="E111" s="1"/>
      <c r="F111" s="1"/>
      <c r="G111" s="1"/>
      <c r="H111" s="1"/>
      <c r="I111" s="8"/>
      <c r="J111" s="8"/>
      <c r="K111" s="8"/>
      <c r="L111" s="1"/>
      <c r="M111" s="6">
        <f t="shared" ca="1" si="1"/>
        <v>0</v>
      </c>
      <c r="N111" s="1"/>
    </row>
    <row r="112" spans="1:14">
      <c r="A112" s="1"/>
      <c r="B112" s="1"/>
      <c r="C112" s="1"/>
      <c r="D112" s="1"/>
      <c r="E112" s="1"/>
      <c r="F112" s="1"/>
      <c r="G112" s="1"/>
      <c r="H112" s="1"/>
      <c r="I112" s="8"/>
      <c r="J112" s="8"/>
      <c r="K112" s="8"/>
      <c r="L112" s="1"/>
      <c r="M112" s="6">
        <f t="shared" ca="1" si="1"/>
        <v>0</v>
      </c>
      <c r="N112" s="1"/>
    </row>
    <row r="113" spans="1:14">
      <c r="A113" s="1"/>
      <c r="B113" s="1"/>
      <c r="C113" s="1"/>
      <c r="D113" s="1"/>
      <c r="E113" s="1"/>
      <c r="F113" s="1"/>
      <c r="G113" s="1"/>
      <c r="H113" s="1"/>
      <c r="I113" s="8"/>
      <c r="J113" s="8"/>
      <c r="K113" s="8"/>
      <c r="L113" s="1"/>
      <c r="M113" s="6">
        <f t="shared" ca="1" si="1"/>
        <v>0</v>
      </c>
      <c r="N113" s="1"/>
    </row>
    <row r="114" spans="1:14">
      <c r="A114" s="1"/>
      <c r="B114" s="1"/>
      <c r="C114" s="1"/>
      <c r="D114" s="1"/>
      <c r="E114" s="1"/>
      <c r="F114" s="1"/>
      <c r="G114" s="1"/>
      <c r="H114" s="1"/>
      <c r="I114" s="8"/>
      <c r="J114" s="8"/>
      <c r="K114" s="8"/>
      <c r="L114" s="1"/>
      <c r="M114" s="6">
        <f t="shared" ca="1" si="1"/>
        <v>0</v>
      </c>
      <c r="N114" s="1"/>
    </row>
    <row r="115" spans="1:14">
      <c r="A115" s="1"/>
      <c r="B115" s="1"/>
      <c r="C115" s="1"/>
      <c r="D115" s="1"/>
      <c r="E115" s="1"/>
      <c r="F115" s="1"/>
      <c r="G115" s="1"/>
      <c r="H115" s="1"/>
      <c r="I115" s="8"/>
      <c r="J115" s="8"/>
      <c r="K115" s="8"/>
      <c r="L115" s="1"/>
      <c r="M115" s="6">
        <f t="shared" ca="1" si="1"/>
        <v>0</v>
      </c>
      <c r="N115" s="1"/>
    </row>
    <row r="116" spans="1:14">
      <c r="A116" s="1"/>
      <c r="B116" s="1"/>
      <c r="C116" s="1"/>
      <c r="D116" s="1"/>
      <c r="E116" s="1"/>
      <c r="F116" s="1"/>
      <c r="G116" s="1"/>
      <c r="H116" s="1"/>
      <c r="I116" s="8"/>
      <c r="J116" s="8"/>
      <c r="K116" s="8"/>
      <c r="L116" s="1"/>
      <c r="M116" s="6">
        <f t="shared" ca="1" si="1"/>
        <v>0</v>
      </c>
      <c r="N116" s="1"/>
    </row>
    <row r="117" spans="1:14">
      <c r="A117" s="1"/>
      <c r="B117" s="1"/>
      <c r="C117" s="1"/>
      <c r="D117" s="1"/>
      <c r="E117" s="1"/>
      <c r="F117" s="1"/>
      <c r="G117" s="1"/>
      <c r="H117" s="1"/>
      <c r="I117" s="8"/>
      <c r="J117" s="8"/>
      <c r="K117" s="8"/>
      <c r="L117" s="1"/>
      <c r="M117" s="6">
        <f t="shared" ca="1" si="1"/>
        <v>0</v>
      </c>
      <c r="N117" s="1"/>
    </row>
    <row r="118" spans="1:14">
      <c r="A118" s="1"/>
      <c r="B118" s="1"/>
      <c r="C118" s="1"/>
      <c r="D118" s="1"/>
      <c r="E118" s="1"/>
      <c r="F118" s="1"/>
      <c r="G118" s="1"/>
      <c r="H118" s="1"/>
      <c r="I118" s="8"/>
      <c r="J118" s="8"/>
      <c r="K118" s="8"/>
      <c r="L118" s="1"/>
      <c r="M118" s="6">
        <f t="shared" ca="1" si="1"/>
        <v>0</v>
      </c>
      <c r="N118" s="1"/>
    </row>
    <row r="119" spans="1:14">
      <c r="A119" s="1"/>
      <c r="B119" s="1"/>
      <c r="C119" s="1"/>
      <c r="D119" s="1"/>
      <c r="E119" s="1"/>
      <c r="F119" s="1"/>
      <c r="G119" s="1"/>
      <c r="H119" s="1"/>
      <c r="I119" s="8"/>
      <c r="J119" s="8"/>
      <c r="K119" s="8"/>
      <c r="L119" s="1"/>
      <c r="M119" s="6">
        <f t="shared" ca="1" si="1"/>
        <v>0</v>
      </c>
      <c r="N119" s="1"/>
    </row>
    <row r="120" spans="1:14">
      <c r="A120" s="1"/>
      <c r="B120" s="1"/>
      <c r="C120" s="1"/>
      <c r="D120" s="1"/>
      <c r="E120" s="1"/>
      <c r="F120" s="1"/>
      <c r="G120" s="1"/>
      <c r="H120" s="1"/>
      <c r="I120" s="8"/>
      <c r="J120" s="8"/>
      <c r="K120" s="8"/>
      <c r="L120" s="1"/>
      <c r="M120" s="6">
        <f t="shared" ca="1" si="1"/>
        <v>0</v>
      </c>
      <c r="N120" s="1"/>
    </row>
    <row r="121" spans="1:14">
      <c r="A121" s="1"/>
      <c r="B121" s="1"/>
      <c r="C121" s="1"/>
      <c r="D121" s="1"/>
      <c r="E121" s="1"/>
      <c r="F121" s="1"/>
      <c r="G121" s="1"/>
      <c r="H121" s="1"/>
      <c r="I121" s="8"/>
      <c r="J121" s="8"/>
      <c r="K121" s="8"/>
      <c r="L121" s="1"/>
      <c r="M121" s="6">
        <f t="shared" ca="1" si="1"/>
        <v>0</v>
      </c>
      <c r="N121" s="1"/>
    </row>
    <row r="122" spans="1:14">
      <c r="A122" s="1"/>
      <c r="B122" s="1"/>
      <c r="C122" s="1"/>
      <c r="D122" s="1"/>
      <c r="E122" s="1"/>
      <c r="F122" s="1"/>
      <c r="G122" s="1"/>
      <c r="H122" s="1"/>
      <c r="I122" s="8"/>
      <c r="J122" s="8"/>
      <c r="K122" s="8"/>
      <c r="L122" s="1"/>
      <c r="M122" s="6">
        <f t="shared" ca="1" si="1"/>
        <v>0</v>
      </c>
      <c r="N122" s="1"/>
    </row>
    <row r="123" spans="1:14">
      <c r="A123" s="1"/>
      <c r="B123" s="1"/>
      <c r="C123" s="1"/>
      <c r="D123" s="1"/>
      <c r="E123" s="1"/>
      <c r="F123" s="1"/>
      <c r="G123" s="1"/>
      <c r="H123" s="1"/>
      <c r="I123" s="8"/>
      <c r="J123" s="8"/>
      <c r="K123" s="8"/>
      <c r="L123" s="1"/>
      <c r="M123" s="6">
        <f t="shared" ca="1" si="1"/>
        <v>0</v>
      </c>
      <c r="N123" s="1"/>
    </row>
    <row r="124" spans="1:14">
      <c r="A124" s="1"/>
      <c r="B124" s="1"/>
      <c r="C124" s="1"/>
      <c r="D124" s="1"/>
      <c r="E124" s="1"/>
      <c r="F124" s="1"/>
      <c r="G124" s="1"/>
      <c r="H124" s="1"/>
      <c r="I124" s="8"/>
      <c r="J124" s="8"/>
      <c r="K124" s="8"/>
      <c r="L124" s="1"/>
      <c r="M124" s="6">
        <f t="shared" ca="1" si="1"/>
        <v>0</v>
      </c>
      <c r="N124" s="1"/>
    </row>
    <row r="125" spans="1:14">
      <c r="A125" s="1"/>
      <c r="B125" s="1"/>
      <c r="C125" s="1"/>
      <c r="D125" s="1"/>
      <c r="E125" s="1"/>
      <c r="F125" s="1"/>
      <c r="G125" s="1"/>
      <c r="H125" s="1"/>
      <c r="I125" s="8"/>
      <c r="J125" s="8"/>
      <c r="K125" s="8"/>
      <c r="L125" s="1"/>
      <c r="M125" s="6">
        <f t="shared" ca="1" si="1"/>
        <v>0</v>
      </c>
      <c r="N125" s="1"/>
    </row>
    <row r="126" spans="1:14">
      <c r="A126" s="1"/>
      <c r="B126" s="1"/>
      <c r="C126" s="1"/>
      <c r="D126" s="1"/>
      <c r="E126" s="1"/>
      <c r="F126" s="1"/>
      <c r="G126" s="1"/>
      <c r="H126" s="1"/>
      <c r="I126" s="8"/>
      <c r="J126" s="8"/>
      <c r="K126" s="8"/>
      <c r="L126" s="1"/>
      <c r="M126" s="6">
        <f t="shared" ca="1" si="1"/>
        <v>0</v>
      </c>
      <c r="N126" s="1"/>
    </row>
    <row r="127" spans="1:14">
      <c r="A127" s="1"/>
      <c r="B127" s="1"/>
      <c r="C127" s="1"/>
      <c r="D127" s="1"/>
      <c r="E127" s="1"/>
      <c r="F127" s="1"/>
      <c r="G127" s="1"/>
      <c r="H127" s="1"/>
      <c r="I127" s="8"/>
      <c r="J127" s="8"/>
      <c r="K127" s="8"/>
      <c r="L127" s="1"/>
      <c r="M127" s="6">
        <f t="shared" ca="1" si="1"/>
        <v>0</v>
      </c>
      <c r="N127" s="1"/>
    </row>
    <row r="128" spans="1:14">
      <c r="A128" s="1"/>
      <c r="B128" s="1"/>
      <c r="C128" s="1"/>
      <c r="D128" s="1"/>
      <c r="E128" s="1"/>
      <c r="F128" s="1"/>
      <c r="G128" s="1"/>
      <c r="H128" s="1"/>
      <c r="I128" s="8"/>
      <c r="J128" s="8"/>
      <c r="K128" s="8"/>
      <c r="L128" s="1"/>
      <c r="M128" s="6">
        <f t="shared" ca="1" si="1"/>
        <v>0</v>
      </c>
      <c r="N128" s="1"/>
    </row>
    <row r="129" spans="1:14">
      <c r="A129" s="1"/>
      <c r="B129" s="1"/>
      <c r="C129" s="1"/>
      <c r="D129" s="1"/>
      <c r="E129" s="1"/>
      <c r="F129" s="1"/>
      <c r="G129" s="1"/>
      <c r="H129" s="1"/>
      <c r="I129" s="8"/>
      <c r="J129" s="8"/>
      <c r="K129" s="8"/>
      <c r="L129" s="1"/>
      <c r="M129" s="6">
        <f t="shared" ca="1" si="1"/>
        <v>0</v>
      </c>
      <c r="N129" s="1"/>
    </row>
    <row r="130" spans="1:14">
      <c r="A130" s="1"/>
      <c r="B130" s="1"/>
      <c r="C130" s="1"/>
      <c r="D130" s="1"/>
      <c r="E130" s="1"/>
      <c r="F130" s="1"/>
      <c r="G130" s="1"/>
      <c r="H130" s="1"/>
      <c r="I130" s="8"/>
      <c r="J130" s="8"/>
      <c r="K130" s="8"/>
      <c r="L130" s="1"/>
      <c r="M130" s="6">
        <f t="shared" ref="M130:M193" ca="1" si="2">IF(AND(L130&lt;&gt;"Clôturée",J130&lt;&gt;"",TODAY()&gt;J130),TODAY()-J130,0)</f>
        <v>0</v>
      </c>
      <c r="N130" s="1"/>
    </row>
    <row r="131" spans="1:14">
      <c r="A131" s="1"/>
      <c r="B131" s="1"/>
      <c r="C131" s="1"/>
      <c r="D131" s="1"/>
      <c r="E131" s="1"/>
      <c r="F131" s="1"/>
      <c r="G131" s="1"/>
      <c r="H131" s="1"/>
      <c r="I131" s="8"/>
      <c r="J131" s="8"/>
      <c r="K131" s="8"/>
      <c r="L131" s="1"/>
      <c r="M131" s="6">
        <f t="shared" ca="1" si="2"/>
        <v>0</v>
      </c>
      <c r="N131" s="1"/>
    </row>
    <row r="132" spans="1:14">
      <c r="A132" s="1"/>
      <c r="B132" s="1"/>
      <c r="C132" s="1"/>
      <c r="D132" s="1"/>
      <c r="E132" s="1"/>
      <c r="F132" s="1"/>
      <c r="G132" s="1"/>
      <c r="H132" s="1"/>
      <c r="I132" s="8"/>
      <c r="J132" s="8"/>
      <c r="K132" s="8"/>
      <c r="L132" s="1"/>
      <c r="M132" s="6">
        <f t="shared" ca="1" si="2"/>
        <v>0</v>
      </c>
      <c r="N132" s="1"/>
    </row>
    <row r="133" spans="1:14">
      <c r="A133" s="1"/>
      <c r="B133" s="1"/>
      <c r="C133" s="1"/>
      <c r="D133" s="1"/>
      <c r="E133" s="1"/>
      <c r="F133" s="1"/>
      <c r="G133" s="1"/>
      <c r="H133" s="1"/>
      <c r="I133" s="8"/>
      <c r="J133" s="8"/>
      <c r="K133" s="8"/>
      <c r="L133" s="1"/>
      <c r="M133" s="6">
        <f t="shared" ca="1" si="2"/>
        <v>0</v>
      </c>
      <c r="N133" s="1"/>
    </row>
    <row r="134" spans="1:14">
      <c r="A134" s="1"/>
      <c r="B134" s="1"/>
      <c r="C134" s="1"/>
      <c r="D134" s="1"/>
      <c r="E134" s="1"/>
      <c r="F134" s="1"/>
      <c r="G134" s="1"/>
      <c r="H134" s="1"/>
      <c r="I134" s="8"/>
      <c r="J134" s="8"/>
      <c r="K134" s="8"/>
      <c r="L134" s="1"/>
      <c r="M134" s="6">
        <f t="shared" ca="1" si="2"/>
        <v>0</v>
      </c>
      <c r="N134" s="1"/>
    </row>
    <row r="135" spans="1:14">
      <c r="A135" s="1"/>
      <c r="B135" s="1"/>
      <c r="C135" s="1"/>
      <c r="D135" s="1"/>
      <c r="E135" s="1"/>
      <c r="F135" s="1"/>
      <c r="G135" s="1"/>
      <c r="H135" s="1"/>
      <c r="I135" s="8"/>
      <c r="J135" s="8"/>
      <c r="K135" s="8"/>
      <c r="L135" s="1"/>
      <c r="M135" s="6">
        <f t="shared" ca="1" si="2"/>
        <v>0</v>
      </c>
      <c r="N135" s="1"/>
    </row>
    <row r="136" spans="1:14">
      <c r="A136" s="1"/>
      <c r="B136" s="1"/>
      <c r="C136" s="1"/>
      <c r="D136" s="1"/>
      <c r="E136" s="1"/>
      <c r="F136" s="1"/>
      <c r="G136" s="1"/>
      <c r="H136" s="1"/>
      <c r="I136" s="8"/>
      <c r="J136" s="8"/>
      <c r="K136" s="8"/>
      <c r="L136" s="1"/>
      <c r="M136" s="6">
        <f t="shared" ca="1" si="2"/>
        <v>0</v>
      </c>
      <c r="N136" s="1"/>
    </row>
    <row r="137" spans="1:14">
      <c r="A137" s="1"/>
      <c r="B137" s="1"/>
      <c r="C137" s="1"/>
      <c r="D137" s="1"/>
      <c r="E137" s="1"/>
      <c r="F137" s="1"/>
      <c r="G137" s="1"/>
      <c r="H137" s="1"/>
      <c r="I137" s="8"/>
      <c r="J137" s="8"/>
      <c r="K137" s="8"/>
      <c r="L137" s="1"/>
      <c r="M137" s="6">
        <f t="shared" ca="1" si="2"/>
        <v>0</v>
      </c>
      <c r="N137" s="1"/>
    </row>
    <row r="138" spans="1:14">
      <c r="A138" s="1"/>
      <c r="B138" s="1"/>
      <c r="C138" s="1"/>
      <c r="D138" s="1"/>
      <c r="E138" s="1"/>
      <c r="F138" s="1"/>
      <c r="G138" s="1"/>
      <c r="H138" s="1"/>
      <c r="I138" s="8"/>
      <c r="J138" s="8"/>
      <c r="K138" s="8"/>
      <c r="L138" s="1"/>
      <c r="M138" s="6">
        <f t="shared" ca="1" si="2"/>
        <v>0</v>
      </c>
      <c r="N138" s="1"/>
    </row>
    <row r="139" spans="1:14">
      <c r="A139" s="1"/>
      <c r="B139" s="1"/>
      <c r="C139" s="1"/>
      <c r="D139" s="1"/>
      <c r="E139" s="1"/>
      <c r="F139" s="1"/>
      <c r="G139" s="1"/>
      <c r="H139" s="1"/>
      <c r="I139" s="8"/>
      <c r="J139" s="8"/>
      <c r="K139" s="8"/>
      <c r="L139" s="1"/>
      <c r="M139" s="6">
        <f t="shared" ca="1" si="2"/>
        <v>0</v>
      </c>
      <c r="N139" s="1"/>
    </row>
    <row r="140" spans="1:14">
      <c r="A140" s="1"/>
      <c r="B140" s="1"/>
      <c r="C140" s="1"/>
      <c r="D140" s="1"/>
      <c r="E140" s="1"/>
      <c r="F140" s="1"/>
      <c r="G140" s="1"/>
      <c r="H140" s="1"/>
      <c r="I140" s="8"/>
      <c r="J140" s="8"/>
      <c r="K140" s="8"/>
      <c r="L140" s="1"/>
      <c r="M140" s="6">
        <f t="shared" ca="1" si="2"/>
        <v>0</v>
      </c>
      <c r="N140" s="1"/>
    </row>
    <row r="141" spans="1:14">
      <c r="A141" s="1"/>
      <c r="B141" s="1"/>
      <c r="C141" s="1"/>
      <c r="D141" s="1"/>
      <c r="E141" s="1"/>
      <c r="F141" s="1"/>
      <c r="G141" s="1"/>
      <c r="H141" s="1"/>
      <c r="I141" s="8"/>
      <c r="J141" s="8"/>
      <c r="K141" s="8"/>
      <c r="L141" s="1"/>
      <c r="M141" s="6">
        <f t="shared" ca="1" si="2"/>
        <v>0</v>
      </c>
      <c r="N141" s="1"/>
    </row>
    <row r="142" spans="1:14">
      <c r="A142" s="1"/>
      <c r="B142" s="1"/>
      <c r="C142" s="1"/>
      <c r="D142" s="1"/>
      <c r="E142" s="1"/>
      <c r="F142" s="1"/>
      <c r="G142" s="1"/>
      <c r="H142" s="1"/>
      <c r="I142" s="8"/>
      <c r="J142" s="8"/>
      <c r="K142" s="8"/>
      <c r="L142" s="1"/>
      <c r="M142" s="6">
        <f t="shared" ca="1" si="2"/>
        <v>0</v>
      </c>
      <c r="N142" s="1"/>
    </row>
    <row r="143" spans="1:14">
      <c r="A143" s="1"/>
      <c r="B143" s="1"/>
      <c r="C143" s="1"/>
      <c r="D143" s="1"/>
      <c r="E143" s="1"/>
      <c r="F143" s="1"/>
      <c r="G143" s="1"/>
      <c r="H143" s="1"/>
      <c r="I143" s="8"/>
      <c r="J143" s="8"/>
      <c r="K143" s="8"/>
      <c r="L143" s="1"/>
      <c r="M143" s="6">
        <f t="shared" ca="1" si="2"/>
        <v>0</v>
      </c>
      <c r="N143" s="1"/>
    </row>
    <row r="144" spans="1:14">
      <c r="A144" s="1"/>
      <c r="B144" s="1"/>
      <c r="C144" s="1"/>
      <c r="D144" s="1"/>
      <c r="E144" s="1"/>
      <c r="F144" s="1"/>
      <c r="G144" s="1"/>
      <c r="H144" s="1"/>
      <c r="I144" s="8"/>
      <c r="J144" s="8"/>
      <c r="K144" s="8"/>
      <c r="L144" s="1"/>
      <c r="M144" s="6">
        <f t="shared" ca="1" si="2"/>
        <v>0</v>
      </c>
      <c r="N144" s="1"/>
    </row>
    <row r="145" spans="1:14">
      <c r="A145" s="1"/>
      <c r="B145" s="1"/>
      <c r="C145" s="1"/>
      <c r="D145" s="1"/>
      <c r="E145" s="1"/>
      <c r="F145" s="1"/>
      <c r="G145" s="1"/>
      <c r="H145" s="1"/>
      <c r="I145" s="8"/>
      <c r="J145" s="8"/>
      <c r="K145" s="8"/>
      <c r="L145" s="1"/>
      <c r="M145" s="6">
        <f t="shared" ca="1" si="2"/>
        <v>0</v>
      </c>
      <c r="N145" s="1"/>
    </row>
    <row r="146" spans="1:14">
      <c r="A146" s="1"/>
      <c r="B146" s="1"/>
      <c r="C146" s="1"/>
      <c r="D146" s="1"/>
      <c r="E146" s="1"/>
      <c r="F146" s="1"/>
      <c r="G146" s="1"/>
      <c r="H146" s="1"/>
      <c r="I146" s="8"/>
      <c r="J146" s="8"/>
      <c r="K146" s="8"/>
      <c r="L146" s="1"/>
      <c r="M146" s="6">
        <f t="shared" ca="1" si="2"/>
        <v>0</v>
      </c>
      <c r="N146" s="1"/>
    </row>
    <row r="147" spans="1:14">
      <c r="A147" s="1"/>
      <c r="B147" s="1"/>
      <c r="C147" s="1"/>
      <c r="D147" s="1"/>
      <c r="E147" s="1"/>
      <c r="F147" s="1"/>
      <c r="G147" s="1"/>
      <c r="H147" s="1"/>
      <c r="I147" s="8"/>
      <c r="J147" s="8"/>
      <c r="K147" s="8"/>
      <c r="L147" s="1"/>
      <c r="M147" s="6">
        <f t="shared" ca="1" si="2"/>
        <v>0</v>
      </c>
      <c r="N147" s="1"/>
    </row>
    <row r="148" spans="1:14">
      <c r="A148" s="1"/>
      <c r="B148" s="1"/>
      <c r="C148" s="1"/>
      <c r="D148" s="1"/>
      <c r="E148" s="1"/>
      <c r="F148" s="1"/>
      <c r="G148" s="1"/>
      <c r="H148" s="1"/>
      <c r="I148" s="8"/>
      <c r="J148" s="8"/>
      <c r="K148" s="8"/>
      <c r="L148" s="1"/>
      <c r="M148" s="6">
        <f t="shared" ca="1" si="2"/>
        <v>0</v>
      </c>
      <c r="N148" s="1"/>
    </row>
    <row r="149" spans="1:14">
      <c r="A149" s="1"/>
      <c r="B149" s="1"/>
      <c r="C149" s="1"/>
      <c r="D149" s="1"/>
      <c r="E149" s="1"/>
      <c r="F149" s="1"/>
      <c r="G149" s="1"/>
      <c r="H149" s="1"/>
      <c r="I149" s="8"/>
      <c r="J149" s="8"/>
      <c r="K149" s="8"/>
      <c r="L149" s="1"/>
      <c r="M149" s="6">
        <f t="shared" ca="1" si="2"/>
        <v>0</v>
      </c>
      <c r="N149" s="1"/>
    </row>
    <row r="150" spans="1:14">
      <c r="A150" s="1"/>
      <c r="B150" s="1"/>
      <c r="C150" s="1"/>
      <c r="D150" s="1"/>
      <c r="E150" s="1"/>
      <c r="F150" s="1"/>
      <c r="G150" s="1"/>
      <c r="H150" s="1"/>
      <c r="I150" s="8"/>
      <c r="J150" s="8"/>
      <c r="K150" s="8"/>
      <c r="L150" s="1"/>
      <c r="M150" s="6">
        <f t="shared" ca="1" si="2"/>
        <v>0</v>
      </c>
      <c r="N150" s="1"/>
    </row>
    <row r="151" spans="1:14">
      <c r="A151" s="1"/>
      <c r="B151" s="1"/>
      <c r="C151" s="1"/>
      <c r="D151" s="1"/>
      <c r="E151" s="1"/>
      <c r="F151" s="1"/>
      <c r="G151" s="1"/>
      <c r="H151" s="1"/>
      <c r="I151" s="8"/>
      <c r="J151" s="8"/>
      <c r="K151" s="8"/>
      <c r="L151" s="1"/>
      <c r="M151" s="6">
        <f t="shared" ca="1" si="2"/>
        <v>0</v>
      </c>
      <c r="N151" s="1"/>
    </row>
    <row r="152" spans="1:14">
      <c r="A152" s="1"/>
      <c r="B152" s="1"/>
      <c r="C152" s="1"/>
      <c r="D152" s="1"/>
      <c r="E152" s="1"/>
      <c r="F152" s="1"/>
      <c r="G152" s="1"/>
      <c r="H152" s="1"/>
      <c r="I152" s="8"/>
      <c r="J152" s="8"/>
      <c r="K152" s="8"/>
      <c r="L152" s="1"/>
      <c r="M152" s="6">
        <f t="shared" ca="1" si="2"/>
        <v>0</v>
      </c>
      <c r="N152" s="1"/>
    </row>
    <row r="153" spans="1:14">
      <c r="A153" s="1"/>
      <c r="B153" s="1"/>
      <c r="C153" s="1"/>
      <c r="D153" s="1"/>
      <c r="E153" s="1"/>
      <c r="F153" s="1"/>
      <c r="G153" s="1"/>
      <c r="H153" s="1"/>
      <c r="I153" s="8"/>
      <c r="J153" s="8"/>
      <c r="K153" s="8"/>
      <c r="L153" s="1"/>
      <c r="M153" s="6">
        <f t="shared" ca="1" si="2"/>
        <v>0</v>
      </c>
      <c r="N153" s="1"/>
    </row>
    <row r="154" spans="1:14">
      <c r="A154" s="1"/>
      <c r="B154" s="1"/>
      <c r="C154" s="1"/>
      <c r="D154" s="1"/>
      <c r="E154" s="1"/>
      <c r="F154" s="1"/>
      <c r="G154" s="1"/>
      <c r="H154" s="1"/>
      <c r="I154" s="8"/>
      <c r="J154" s="8"/>
      <c r="K154" s="8"/>
      <c r="L154" s="1"/>
      <c r="M154" s="6">
        <f t="shared" ca="1" si="2"/>
        <v>0</v>
      </c>
      <c r="N154" s="1"/>
    </row>
    <row r="155" spans="1:14">
      <c r="A155" s="1"/>
      <c r="B155" s="1"/>
      <c r="C155" s="1"/>
      <c r="D155" s="1"/>
      <c r="E155" s="1"/>
      <c r="F155" s="1"/>
      <c r="G155" s="1"/>
      <c r="H155" s="1"/>
      <c r="I155" s="8"/>
      <c r="J155" s="8"/>
      <c r="K155" s="8"/>
      <c r="L155" s="1"/>
      <c r="M155" s="6">
        <f t="shared" ca="1" si="2"/>
        <v>0</v>
      </c>
      <c r="N155" s="1"/>
    </row>
    <row r="156" spans="1:14">
      <c r="A156" s="1"/>
      <c r="B156" s="1"/>
      <c r="C156" s="1"/>
      <c r="D156" s="1"/>
      <c r="E156" s="1"/>
      <c r="F156" s="1"/>
      <c r="G156" s="1"/>
      <c r="H156" s="1"/>
      <c r="I156" s="8"/>
      <c r="J156" s="8"/>
      <c r="K156" s="8"/>
      <c r="L156" s="1"/>
      <c r="M156" s="6">
        <f t="shared" ca="1" si="2"/>
        <v>0</v>
      </c>
      <c r="N156" s="1"/>
    </row>
    <row r="157" spans="1:14">
      <c r="A157" s="1"/>
      <c r="B157" s="1"/>
      <c r="C157" s="1"/>
      <c r="D157" s="1"/>
      <c r="E157" s="1"/>
      <c r="F157" s="1"/>
      <c r="G157" s="1"/>
      <c r="H157" s="1"/>
      <c r="I157" s="8"/>
      <c r="J157" s="8"/>
      <c r="K157" s="8"/>
      <c r="L157" s="1"/>
      <c r="M157" s="6">
        <f t="shared" ca="1" si="2"/>
        <v>0</v>
      </c>
      <c r="N157" s="1"/>
    </row>
    <row r="158" spans="1:14">
      <c r="A158" s="1"/>
      <c r="B158" s="1"/>
      <c r="C158" s="1"/>
      <c r="D158" s="1"/>
      <c r="E158" s="1"/>
      <c r="F158" s="1"/>
      <c r="G158" s="1"/>
      <c r="H158" s="1"/>
      <c r="I158" s="8"/>
      <c r="J158" s="8"/>
      <c r="K158" s="8"/>
      <c r="L158" s="1"/>
      <c r="M158" s="6">
        <f t="shared" ca="1" si="2"/>
        <v>0</v>
      </c>
      <c r="N158" s="1"/>
    </row>
    <row r="159" spans="1:14">
      <c r="A159" s="1"/>
      <c r="B159" s="1"/>
      <c r="C159" s="1"/>
      <c r="D159" s="1"/>
      <c r="E159" s="1"/>
      <c r="F159" s="1"/>
      <c r="G159" s="1"/>
      <c r="H159" s="1"/>
      <c r="I159" s="8"/>
      <c r="J159" s="8"/>
      <c r="K159" s="8"/>
      <c r="L159" s="1"/>
      <c r="M159" s="6">
        <f t="shared" ca="1" si="2"/>
        <v>0</v>
      </c>
      <c r="N159" s="1"/>
    </row>
    <row r="160" spans="1:14">
      <c r="A160" s="1"/>
      <c r="B160" s="1"/>
      <c r="C160" s="1"/>
      <c r="D160" s="1"/>
      <c r="E160" s="1"/>
      <c r="F160" s="1"/>
      <c r="G160" s="1"/>
      <c r="H160" s="1"/>
      <c r="I160" s="8"/>
      <c r="J160" s="8"/>
      <c r="K160" s="8"/>
      <c r="L160" s="1"/>
      <c r="M160" s="6">
        <f t="shared" ca="1" si="2"/>
        <v>0</v>
      </c>
      <c r="N160" s="1"/>
    </row>
    <row r="161" spans="1:14">
      <c r="A161" s="1"/>
      <c r="B161" s="1"/>
      <c r="C161" s="1"/>
      <c r="D161" s="1"/>
      <c r="E161" s="1"/>
      <c r="F161" s="1"/>
      <c r="G161" s="1"/>
      <c r="H161" s="1"/>
      <c r="I161" s="8"/>
      <c r="J161" s="8"/>
      <c r="K161" s="8"/>
      <c r="L161" s="1"/>
      <c r="M161" s="6">
        <f t="shared" ca="1" si="2"/>
        <v>0</v>
      </c>
      <c r="N161" s="1"/>
    </row>
    <row r="162" spans="1:14">
      <c r="A162" s="1"/>
      <c r="B162" s="1"/>
      <c r="C162" s="1"/>
      <c r="D162" s="1"/>
      <c r="E162" s="1"/>
      <c r="F162" s="1"/>
      <c r="G162" s="1"/>
      <c r="H162" s="1"/>
      <c r="I162" s="8"/>
      <c r="J162" s="8"/>
      <c r="K162" s="8"/>
      <c r="L162" s="1"/>
      <c r="M162" s="6">
        <f t="shared" ca="1" si="2"/>
        <v>0</v>
      </c>
      <c r="N162" s="1"/>
    </row>
    <row r="163" spans="1:14">
      <c r="A163" s="1"/>
      <c r="B163" s="1"/>
      <c r="C163" s="1"/>
      <c r="D163" s="1"/>
      <c r="E163" s="1"/>
      <c r="F163" s="1"/>
      <c r="G163" s="1"/>
      <c r="H163" s="1"/>
      <c r="I163" s="8"/>
      <c r="J163" s="8"/>
      <c r="K163" s="8"/>
      <c r="L163" s="1"/>
      <c r="M163" s="6">
        <f t="shared" ca="1" si="2"/>
        <v>0</v>
      </c>
      <c r="N163" s="1"/>
    </row>
    <row r="164" spans="1:14">
      <c r="A164" s="1"/>
      <c r="B164" s="1"/>
      <c r="C164" s="1"/>
      <c r="D164" s="1"/>
      <c r="E164" s="1"/>
      <c r="F164" s="1"/>
      <c r="G164" s="1"/>
      <c r="H164" s="1"/>
      <c r="I164" s="8"/>
      <c r="J164" s="8"/>
      <c r="K164" s="8"/>
      <c r="L164" s="1"/>
      <c r="M164" s="6">
        <f t="shared" ca="1" si="2"/>
        <v>0</v>
      </c>
      <c r="N164" s="1"/>
    </row>
    <row r="165" spans="1:14">
      <c r="A165" s="1"/>
      <c r="B165" s="1"/>
      <c r="C165" s="1"/>
      <c r="D165" s="1"/>
      <c r="E165" s="1"/>
      <c r="F165" s="1"/>
      <c r="G165" s="1"/>
      <c r="H165" s="1"/>
      <c r="I165" s="8"/>
      <c r="J165" s="8"/>
      <c r="K165" s="8"/>
      <c r="L165" s="1"/>
      <c r="M165" s="6">
        <f t="shared" ca="1" si="2"/>
        <v>0</v>
      </c>
      <c r="N165" s="1"/>
    </row>
    <row r="166" spans="1:14">
      <c r="A166" s="1"/>
      <c r="B166" s="1"/>
      <c r="C166" s="1"/>
      <c r="D166" s="1"/>
      <c r="E166" s="1"/>
      <c r="F166" s="1"/>
      <c r="G166" s="1"/>
      <c r="H166" s="1"/>
      <c r="I166" s="8"/>
      <c r="J166" s="8"/>
      <c r="K166" s="8"/>
      <c r="L166" s="1"/>
      <c r="M166" s="6">
        <f t="shared" ca="1" si="2"/>
        <v>0</v>
      </c>
      <c r="N166" s="1"/>
    </row>
    <row r="167" spans="1:14">
      <c r="A167" s="1"/>
      <c r="B167" s="1"/>
      <c r="C167" s="1"/>
      <c r="D167" s="1"/>
      <c r="E167" s="1"/>
      <c r="F167" s="1"/>
      <c r="G167" s="1"/>
      <c r="H167" s="1"/>
      <c r="I167" s="8"/>
      <c r="J167" s="8"/>
      <c r="K167" s="8"/>
      <c r="L167" s="1"/>
      <c r="M167" s="6">
        <f t="shared" ca="1" si="2"/>
        <v>0</v>
      </c>
      <c r="N167" s="1"/>
    </row>
    <row r="168" spans="1:14">
      <c r="A168" s="1"/>
      <c r="B168" s="1"/>
      <c r="C168" s="1"/>
      <c r="D168" s="1"/>
      <c r="E168" s="1"/>
      <c r="F168" s="1"/>
      <c r="G168" s="1"/>
      <c r="H168" s="1"/>
      <c r="I168" s="8"/>
      <c r="J168" s="8"/>
      <c r="K168" s="8"/>
      <c r="L168" s="1"/>
      <c r="M168" s="6">
        <f t="shared" ca="1" si="2"/>
        <v>0</v>
      </c>
      <c r="N168" s="1"/>
    </row>
    <row r="169" spans="1:14">
      <c r="A169" s="1"/>
      <c r="B169" s="1"/>
      <c r="C169" s="1"/>
      <c r="D169" s="1"/>
      <c r="E169" s="1"/>
      <c r="F169" s="1"/>
      <c r="G169" s="1"/>
      <c r="H169" s="1"/>
      <c r="I169" s="8"/>
      <c r="J169" s="8"/>
      <c r="K169" s="8"/>
      <c r="L169" s="1"/>
      <c r="M169" s="6">
        <f t="shared" ca="1" si="2"/>
        <v>0</v>
      </c>
      <c r="N169" s="1"/>
    </row>
    <row r="170" spans="1:14">
      <c r="A170" s="1"/>
      <c r="B170" s="1"/>
      <c r="C170" s="1"/>
      <c r="D170" s="1"/>
      <c r="E170" s="1"/>
      <c r="F170" s="1"/>
      <c r="G170" s="1"/>
      <c r="H170" s="1"/>
      <c r="I170" s="8"/>
      <c r="J170" s="8"/>
      <c r="K170" s="8"/>
      <c r="L170" s="1"/>
      <c r="M170" s="6">
        <f t="shared" ca="1" si="2"/>
        <v>0</v>
      </c>
      <c r="N170" s="1"/>
    </row>
    <row r="171" spans="1:14">
      <c r="A171" s="1"/>
      <c r="B171" s="1"/>
      <c r="C171" s="1"/>
      <c r="D171" s="1"/>
      <c r="E171" s="1"/>
      <c r="F171" s="1"/>
      <c r="G171" s="1"/>
      <c r="H171" s="1"/>
      <c r="I171" s="8"/>
      <c r="J171" s="8"/>
      <c r="K171" s="8"/>
      <c r="L171" s="1"/>
      <c r="M171" s="6">
        <f t="shared" ca="1" si="2"/>
        <v>0</v>
      </c>
      <c r="N171" s="1"/>
    </row>
    <row r="172" spans="1:14">
      <c r="A172" s="1"/>
      <c r="B172" s="1"/>
      <c r="C172" s="1"/>
      <c r="D172" s="1"/>
      <c r="E172" s="1"/>
      <c r="F172" s="1"/>
      <c r="G172" s="1"/>
      <c r="H172" s="1"/>
      <c r="I172" s="8"/>
      <c r="J172" s="8"/>
      <c r="K172" s="8"/>
      <c r="L172" s="1"/>
      <c r="M172" s="6">
        <f t="shared" ca="1" si="2"/>
        <v>0</v>
      </c>
      <c r="N172" s="1"/>
    </row>
    <row r="173" spans="1:14">
      <c r="A173" s="1"/>
      <c r="B173" s="1"/>
      <c r="C173" s="1"/>
      <c r="D173" s="1"/>
      <c r="E173" s="1"/>
      <c r="F173" s="1"/>
      <c r="G173" s="1"/>
      <c r="H173" s="1"/>
      <c r="I173" s="8"/>
      <c r="J173" s="8"/>
      <c r="K173" s="8"/>
      <c r="L173" s="1"/>
      <c r="M173" s="6">
        <f t="shared" ca="1" si="2"/>
        <v>0</v>
      </c>
      <c r="N173" s="1"/>
    </row>
    <row r="174" spans="1:14">
      <c r="A174" s="1"/>
      <c r="B174" s="1"/>
      <c r="C174" s="1"/>
      <c r="D174" s="1"/>
      <c r="E174" s="1"/>
      <c r="F174" s="1"/>
      <c r="G174" s="1"/>
      <c r="H174" s="1"/>
      <c r="I174" s="8"/>
      <c r="J174" s="8"/>
      <c r="K174" s="8"/>
      <c r="L174" s="1"/>
      <c r="M174" s="6">
        <f t="shared" ca="1" si="2"/>
        <v>0</v>
      </c>
      <c r="N174" s="1"/>
    </row>
    <row r="175" spans="1:14">
      <c r="A175" s="1"/>
      <c r="B175" s="1"/>
      <c r="C175" s="1"/>
      <c r="D175" s="1"/>
      <c r="E175" s="1"/>
      <c r="F175" s="1"/>
      <c r="G175" s="1"/>
      <c r="H175" s="1"/>
      <c r="I175" s="8"/>
      <c r="J175" s="8"/>
      <c r="K175" s="8"/>
      <c r="L175" s="1"/>
      <c r="M175" s="6">
        <f t="shared" ca="1" si="2"/>
        <v>0</v>
      </c>
      <c r="N175" s="1"/>
    </row>
    <row r="176" spans="1:14">
      <c r="A176" s="1"/>
      <c r="B176" s="1"/>
      <c r="C176" s="1"/>
      <c r="D176" s="1"/>
      <c r="E176" s="1"/>
      <c r="F176" s="1"/>
      <c r="G176" s="1"/>
      <c r="H176" s="1"/>
      <c r="I176" s="8"/>
      <c r="J176" s="8"/>
      <c r="K176" s="8"/>
      <c r="L176" s="1"/>
      <c r="M176" s="6">
        <f t="shared" ca="1" si="2"/>
        <v>0</v>
      </c>
      <c r="N176" s="1"/>
    </row>
    <row r="177" spans="1:14">
      <c r="A177" s="1"/>
      <c r="B177" s="1"/>
      <c r="C177" s="1"/>
      <c r="D177" s="1"/>
      <c r="E177" s="1"/>
      <c r="F177" s="1"/>
      <c r="G177" s="1"/>
      <c r="H177" s="1"/>
      <c r="I177" s="8"/>
      <c r="J177" s="8"/>
      <c r="K177" s="8"/>
      <c r="L177" s="1"/>
      <c r="M177" s="6">
        <f t="shared" ca="1" si="2"/>
        <v>0</v>
      </c>
      <c r="N177" s="1"/>
    </row>
    <row r="178" spans="1:14">
      <c r="A178" s="1"/>
      <c r="B178" s="1"/>
      <c r="C178" s="1"/>
      <c r="D178" s="1"/>
      <c r="E178" s="1"/>
      <c r="F178" s="1"/>
      <c r="G178" s="1"/>
      <c r="H178" s="1"/>
      <c r="I178" s="8"/>
      <c r="J178" s="8"/>
      <c r="K178" s="8"/>
      <c r="L178" s="1"/>
      <c r="M178" s="6">
        <f t="shared" ca="1" si="2"/>
        <v>0</v>
      </c>
      <c r="N178" s="1"/>
    </row>
    <row r="179" spans="1:14">
      <c r="A179" s="1"/>
      <c r="B179" s="1"/>
      <c r="C179" s="1"/>
      <c r="D179" s="1"/>
      <c r="E179" s="1"/>
      <c r="F179" s="1"/>
      <c r="G179" s="1"/>
      <c r="H179" s="1"/>
      <c r="I179" s="8"/>
      <c r="J179" s="8"/>
      <c r="K179" s="8"/>
      <c r="L179" s="1"/>
      <c r="M179" s="6">
        <f t="shared" ca="1" si="2"/>
        <v>0</v>
      </c>
      <c r="N179" s="1"/>
    </row>
    <row r="180" spans="1:14">
      <c r="A180" s="1"/>
      <c r="B180" s="1"/>
      <c r="C180" s="1"/>
      <c r="D180" s="1"/>
      <c r="E180" s="1"/>
      <c r="F180" s="1"/>
      <c r="G180" s="1"/>
      <c r="H180" s="1"/>
      <c r="I180" s="8"/>
      <c r="J180" s="8"/>
      <c r="K180" s="8"/>
      <c r="L180" s="1"/>
      <c r="M180" s="6">
        <f t="shared" ca="1" si="2"/>
        <v>0</v>
      </c>
      <c r="N180" s="1"/>
    </row>
    <row r="181" spans="1:14">
      <c r="A181" s="1"/>
      <c r="B181" s="1"/>
      <c r="C181" s="1"/>
      <c r="D181" s="1"/>
      <c r="E181" s="1"/>
      <c r="F181" s="1"/>
      <c r="G181" s="1"/>
      <c r="H181" s="1"/>
      <c r="I181" s="8"/>
      <c r="J181" s="8"/>
      <c r="K181" s="8"/>
      <c r="L181" s="1"/>
      <c r="M181" s="6">
        <f t="shared" ca="1" si="2"/>
        <v>0</v>
      </c>
      <c r="N181" s="1"/>
    </row>
    <row r="182" spans="1:14">
      <c r="A182" s="1"/>
      <c r="B182" s="1"/>
      <c r="C182" s="1"/>
      <c r="D182" s="1"/>
      <c r="E182" s="1"/>
      <c r="F182" s="1"/>
      <c r="G182" s="1"/>
      <c r="H182" s="1"/>
      <c r="I182" s="8"/>
      <c r="J182" s="8"/>
      <c r="K182" s="8"/>
      <c r="L182" s="1"/>
      <c r="M182" s="6">
        <f t="shared" ca="1" si="2"/>
        <v>0</v>
      </c>
      <c r="N182" s="1"/>
    </row>
    <row r="183" spans="1:14">
      <c r="A183" s="1"/>
      <c r="B183" s="1"/>
      <c r="C183" s="1"/>
      <c r="D183" s="1"/>
      <c r="E183" s="1"/>
      <c r="F183" s="1"/>
      <c r="G183" s="1"/>
      <c r="H183" s="1"/>
      <c r="I183" s="8"/>
      <c r="J183" s="8"/>
      <c r="K183" s="8"/>
      <c r="L183" s="1"/>
      <c r="M183" s="6">
        <f t="shared" ca="1" si="2"/>
        <v>0</v>
      </c>
      <c r="N183" s="1"/>
    </row>
    <row r="184" spans="1:14">
      <c r="A184" s="1"/>
      <c r="B184" s="1"/>
      <c r="C184" s="1"/>
      <c r="D184" s="1"/>
      <c r="E184" s="1"/>
      <c r="F184" s="1"/>
      <c r="G184" s="1"/>
      <c r="H184" s="1"/>
      <c r="I184" s="8"/>
      <c r="J184" s="8"/>
      <c r="K184" s="8"/>
      <c r="L184" s="1"/>
      <c r="M184" s="6">
        <f t="shared" ca="1" si="2"/>
        <v>0</v>
      </c>
      <c r="N184" s="1"/>
    </row>
    <row r="185" spans="1:14">
      <c r="A185" s="1"/>
      <c r="B185" s="1"/>
      <c r="C185" s="1"/>
      <c r="D185" s="1"/>
      <c r="E185" s="1"/>
      <c r="F185" s="1"/>
      <c r="G185" s="1"/>
      <c r="H185" s="1"/>
      <c r="I185" s="8"/>
      <c r="J185" s="8"/>
      <c r="K185" s="8"/>
      <c r="L185" s="1"/>
      <c r="M185" s="6">
        <f t="shared" ca="1" si="2"/>
        <v>0</v>
      </c>
      <c r="N185" s="1"/>
    </row>
    <row r="186" spans="1:14">
      <c r="A186" s="1"/>
      <c r="B186" s="1"/>
      <c r="C186" s="1"/>
      <c r="D186" s="1"/>
      <c r="E186" s="1"/>
      <c r="F186" s="1"/>
      <c r="G186" s="1"/>
      <c r="H186" s="1"/>
      <c r="I186" s="8"/>
      <c r="J186" s="8"/>
      <c r="K186" s="8"/>
      <c r="L186" s="1"/>
      <c r="M186" s="6">
        <f t="shared" ca="1" si="2"/>
        <v>0</v>
      </c>
      <c r="N186" s="1"/>
    </row>
    <row r="187" spans="1:14">
      <c r="A187" s="1"/>
      <c r="B187" s="1"/>
      <c r="C187" s="1"/>
      <c r="D187" s="1"/>
      <c r="E187" s="1"/>
      <c r="F187" s="1"/>
      <c r="G187" s="1"/>
      <c r="H187" s="1"/>
      <c r="I187" s="8"/>
      <c r="J187" s="8"/>
      <c r="K187" s="8"/>
      <c r="L187" s="1"/>
      <c r="M187" s="6">
        <f t="shared" ca="1" si="2"/>
        <v>0</v>
      </c>
      <c r="N187" s="1"/>
    </row>
    <row r="188" spans="1:14">
      <c r="A188" s="1"/>
      <c r="B188" s="1"/>
      <c r="C188" s="1"/>
      <c r="D188" s="1"/>
      <c r="E188" s="1"/>
      <c r="F188" s="1"/>
      <c r="G188" s="1"/>
      <c r="H188" s="1"/>
      <c r="I188" s="8"/>
      <c r="J188" s="8"/>
      <c r="K188" s="8"/>
      <c r="L188" s="1"/>
      <c r="M188" s="6">
        <f t="shared" ca="1" si="2"/>
        <v>0</v>
      </c>
      <c r="N188" s="1"/>
    </row>
    <row r="189" spans="1:14">
      <c r="A189" s="1"/>
      <c r="B189" s="1"/>
      <c r="C189" s="1"/>
      <c r="D189" s="1"/>
      <c r="E189" s="1"/>
      <c r="F189" s="1"/>
      <c r="G189" s="1"/>
      <c r="H189" s="1"/>
      <c r="I189" s="8"/>
      <c r="J189" s="8"/>
      <c r="K189" s="8"/>
      <c r="L189" s="1"/>
      <c r="M189" s="6">
        <f t="shared" ca="1" si="2"/>
        <v>0</v>
      </c>
      <c r="N189" s="1"/>
    </row>
    <row r="190" spans="1:14">
      <c r="A190" s="1"/>
      <c r="B190" s="1"/>
      <c r="C190" s="1"/>
      <c r="D190" s="1"/>
      <c r="E190" s="1"/>
      <c r="F190" s="1"/>
      <c r="G190" s="1"/>
      <c r="H190" s="1"/>
      <c r="I190" s="8"/>
      <c r="J190" s="8"/>
      <c r="K190" s="8"/>
      <c r="L190" s="1"/>
      <c r="M190" s="6">
        <f t="shared" ca="1" si="2"/>
        <v>0</v>
      </c>
      <c r="N190" s="1"/>
    </row>
    <row r="191" spans="1:14">
      <c r="A191" s="1"/>
      <c r="B191" s="1"/>
      <c r="C191" s="1"/>
      <c r="D191" s="1"/>
      <c r="E191" s="1"/>
      <c r="F191" s="1"/>
      <c r="G191" s="1"/>
      <c r="H191" s="1"/>
      <c r="I191" s="8"/>
      <c r="J191" s="8"/>
      <c r="K191" s="8"/>
      <c r="L191" s="1"/>
      <c r="M191" s="6">
        <f t="shared" ca="1" si="2"/>
        <v>0</v>
      </c>
      <c r="N191" s="1"/>
    </row>
    <row r="192" spans="1:14">
      <c r="A192" s="1"/>
      <c r="B192" s="1"/>
      <c r="C192" s="1"/>
      <c r="D192" s="1"/>
      <c r="E192" s="1"/>
      <c r="F192" s="1"/>
      <c r="G192" s="1"/>
      <c r="H192" s="1"/>
      <c r="I192" s="8"/>
      <c r="J192" s="8"/>
      <c r="K192" s="8"/>
      <c r="L192" s="1"/>
      <c r="M192" s="6">
        <f t="shared" ca="1" si="2"/>
        <v>0</v>
      </c>
      <c r="N192" s="1"/>
    </row>
    <row r="193" spans="1:14">
      <c r="A193" s="1"/>
      <c r="B193" s="1"/>
      <c r="C193" s="1"/>
      <c r="D193" s="1"/>
      <c r="E193" s="1"/>
      <c r="F193" s="1"/>
      <c r="G193" s="1"/>
      <c r="H193" s="1"/>
      <c r="I193" s="8"/>
      <c r="J193" s="8"/>
      <c r="K193" s="8"/>
      <c r="L193" s="1"/>
      <c r="M193" s="6">
        <f t="shared" ca="1" si="2"/>
        <v>0</v>
      </c>
      <c r="N193" s="1"/>
    </row>
    <row r="194" spans="1:14">
      <c r="A194" s="1"/>
      <c r="B194" s="1"/>
      <c r="C194" s="1"/>
      <c r="D194" s="1"/>
      <c r="E194" s="1"/>
      <c r="F194" s="1"/>
      <c r="G194" s="1"/>
      <c r="H194" s="1"/>
      <c r="I194" s="8"/>
      <c r="J194" s="8"/>
      <c r="K194" s="8"/>
      <c r="L194" s="1"/>
      <c r="M194" s="6">
        <f t="shared" ref="M194:M257" ca="1" si="3">IF(AND(L194&lt;&gt;"Clôturée",J194&lt;&gt;"",TODAY()&gt;J194),TODAY()-J194,0)</f>
        <v>0</v>
      </c>
      <c r="N194" s="1"/>
    </row>
    <row r="195" spans="1:14">
      <c r="A195" s="1"/>
      <c r="B195" s="1"/>
      <c r="C195" s="1"/>
      <c r="D195" s="1"/>
      <c r="E195" s="1"/>
      <c r="F195" s="1"/>
      <c r="G195" s="1"/>
      <c r="H195" s="1"/>
      <c r="I195" s="8"/>
      <c r="J195" s="8"/>
      <c r="K195" s="8"/>
      <c r="L195" s="1"/>
      <c r="M195" s="6">
        <f t="shared" ca="1" si="3"/>
        <v>0</v>
      </c>
      <c r="N195" s="1"/>
    </row>
    <row r="196" spans="1:14">
      <c r="A196" s="1"/>
      <c r="B196" s="1"/>
      <c r="C196" s="1"/>
      <c r="D196" s="1"/>
      <c r="E196" s="1"/>
      <c r="F196" s="1"/>
      <c r="G196" s="1"/>
      <c r="H196" s="1"/>
      <c r="I196" s="8"/>
      <c r="J196" s="8"/>
      <c r="K196" s="8"/>
      <c r="L196" s="1"/>
      <c r="M196" s="6">
        <f t="shared" ca="1" si="3"/>
        <v>0</v>
      </c>
      <c r="N196" s="1"/>
    </row>
    <row r="197" spans="1:14">
      <c r="A197" s="1"/>
      <c r="B197" s="1"/>
      <c r="C197" s="1"/>
      <c r="D197" s="1"/>
      <c r="E197" s="1"/>
      <c r="F197" s="1"/>
      <c r="G197" s="1"/>
      <c r="H197" s="1"/>
      <c r="I197" s="8"/>
      <c r="J197" s="8"/>
      <c r="K197" s="8"/>
      <c r="L197" s="1"/>
      <c r="M197" s="6">
        <f t="shared" ca="1" si="3"/>
        <v>0</v>
      </c>
      <c r="N197" s="1"/>
    </row>
    <row r="198" spans="1:14">
      <c r="A198" s="1"/>
      <c r="B198" s="1"/>
      <c r="C198" s="1"/>
      <c r="D198" s="1"/>
      <c r="E198" s="1"/>
      <c r="F198" s="1"/>
      <c r="G198" s="1"/>
      <c r="H198" s="1"/>
      <c r="I198" s="8"/>
      <c r="J198" s="8"/>
      <c r="K198" s="8"/>
      <c r="L198" s="1"/>
      <c r="M198" s="6">
        <f t="shared" ca="1" si="3"/>
        <v>0</v>
      </c>
      <c r="N198" s="1"/>
    </row>
    <row r="199" spans="1:14">
      <c r="A199" s="1"/>
      <c r="B199" s="1"/>
      <c r="C199" s="1"/>
      <c r="D199" s="1"/>
      <c r="E199" s="1"/>
      <c r="F199" s="1"/>
      <c r="G199" s="1"/>
      <c r="H199" s="1"/>
      <c r="I199" s="8"/>
      <c r="J199" s="8"/>
      <c r="K199" s="8"/>
      <c r="L199" s="1"/>
      <c r="M199" s="6">
        <f t="shared" ca="1" si="3"/>
        <v>0</v>
      </c>
      <c r="N199" s="1"/>
    </row>
    <row r="200" spans="1:14">
      <c r="A200" s="1"/>
      <c r="B200" s="1"/>
      <c r="C200" s="1"/>
      <c r="D200" s="1"/>
      <c r="E200" s="1"/>
      <c r="F200" s="1"/>
      <c r="G200" s="1"/>
      <c r="H200" s="1"/>
      <c r="I200" s="8"/>
      <c r="J200" s="8"/>
      <c r="K200" s="8"/>
      <c r="L200" s="1"/>
      <c r="M200" s="6">
        <f t="shared" ca="1" si="3"/>
        <v>0</v>
      </c>
      <c r="N200" s="1"/>
    </row>
    <row r="201" spans="1:14">
      <c r="A201" s="1"/>
      <c r="B201" s="1"/>
      <c r="C201" s="1"/>
      <c r="D201" s="1"/>
      <c r="E201" s="1"/>
      <c r="F201" s="1"/>
      <c r="G201" s="1"/>
      <c r="H201" s="1"/>
      <c r="I201" s="8"/>
      <c r="J201" s="8"/>
      <c r="K201" s="8"/>
      <c r="L201" s="1"/>
      <c r="M201" s="6">
        <f t="shared" ca="1" si="3"/>
        <v>0</v>
      </c>
      <c r="N201" s="1"/>
    </row>
    <row r="202" spans="1:14">
      <c r="A202" s="1"/>
      <c r="B202" s="1"/>
      <c r="C202" s="1"/>
      <c r="D202" s="1"/>
      <c r="E202" s="1"/>
      <c r="F202" s="1"/>
      <c r="G202" s="1"/>
      <c r="H202" s="1"/>
      <c r="I202" s="8"/>
      <c r="J202" s="8"/>
      <c r="K202" s="8"/>
      <c r="L202" s="1"/>
      <c r="M202" s="6">
        <f t="shared" ca="1" si="3"/>
        <v>0</v>
      </c>
      <c r="N202" s="1"/>
    </row>
    <row r="203" spans="1:14">
      <c r="A203" s="1"/>
      <c r="B203" s="1"/>
      <c r="C203" s="1"/>
      <c r="D203" s="1"/>
      <c r="E203" s="1"/>
      <c r="F203" s="1"/>
      <c r="G203" s="1"/>
      <c r="H203" s="1"/>
      <c r="I203" s="8"/>
      <c r="J203" s="8"/>
      <c r="K203" s="8"/>
      <c r="L203" s="1"/>
      <c r="M203" s="6">
        <f t="shared" ca="1" si="3"/>
        <v>0</v>
      </c>
      <c r="N203" s="1"/>
    </row>
    <row r="204" spans="1:14">
      <c r="A204" s="1"/>
      <c r="B204" s="1"/>
      <c r="C204" s="1"/>
      <c r="D204" s="1"/>
      <c r="E204" s="1"/>
      <c r="F204" s="1"/>
      <c r="G204" s="1"/>
      <c r="H204" s="1"/>
      <c r="I204" s="8"/>
      <c r="J204" s="8"/>
      <c r="K204" s="8"/>
      <c r="L204" s="1"/>
      <c r="M204" s="6">
        <f t="shared" ca="1" si="3"/>
        <v>0</v>
      </c>
      <c r="N204" s="1"/>
    </row>
    <row r="205" spans="1:14">
      <c r="A205" s="1"/>
      <c r="B205" s="1"/>
      <c r="C205" s="1"/>
      <c r="D205" s="1"/>
      <c r="E205" s="1"/>
      <c r="F205" s="1"/>
      <c r="G205" s="1"/>
      <c r="H205" s="1"/>
      <c r="I205" s="8"/>
      <c r="J205" s="8"/>
      <c r="K205" s="8"/>
      <c r="L205" s="1"/>
      <c r="M205" s="6">
        <f t="shared" ca="1" si="3"/>
        <v>0</v>
      </c>
      <c r="N205" s="1"/>
    </row>
    <row r="206" spans="1:14">
      <c r="A206" s="1"/>
      <c r="B206" s="1"/>
      <c r="C206" s="1"/>
      <c r="D206" s="1"/>
      <c r="E206" s="1"/>
      <c r="F206" s="1"/>
      <c r="G206" s="1"/>
      <c r="H206" s="1"/>
      <c r="I206" s="8"/>
      <c r="J206" s="8"/>
      <c r="K206" s="8"/>
      <c r="L206" s="1"/>
      <c r="M206" s="6">
        <f t="shared" ca="1" si="3"/>
        <v>0</v>
      </c>
      <c r="N206" s="1"/>
    </row>
    <row r="207" spans="1:14">
      <c r="A207" s="1"/>
      <c r="B207" s="1"/>
      <c r="C207" s="1"/>
      <c r="D207" s="1"/>
      <c r="E207" s="1"/>
      <c r="F207" s="1"/>
      <c r="G207" s="1"/>
      <c r="H207" s="1"/>
      <c r="I207" s="8"/>
      <c r="J207" s="8"/>
      <c r="K207" s="8"/>
      <c r="L207" s="1"/>
      <c r="M207" s="6">
        <f t="shared" ca="1" si="3"/>
        <v>0</v>
      </c>
      <c r="N207" s="1"/>
    </row>
    <row r="208" spans="1:14">
      <c r="A208" s="1"/>
      <c r="B208" s="1"/>
      <c r="C208" s="1"/>
      <c r="D208" s="1"/>
      <c r="E208" s="1"/>
      <c r="F208" s="1"/>
      <c r="G208" s="1"/>
      <c r="H208" s="1"/>
      <c r="I208" s="8"/>
      <c r="J208" s="8"/>
      <c r="K208" s="8"/>
      <c r="L208" s="1"/>
      <c r="M208" s="6">
        <f t="shared" ca="1" si="3"/>
        <v>0</v>
      </c>
      <c r="N208" s="1"/>
    </row>
    <row r="209" spans="1:14">
      <c r="A209" s="1"/>
      <c r="B209" s="1"/>
      <c r="C209" s="1"/>
      <c r="D209" s="1"/>
      <c r="E209" s="1"/>
      <c r="F209" s="1"/>
      <c r="G209" s="1"/>
      <c r="H209" s="1"/>
      <c r="I209" s="8"/>
      <c r="J209" s="8"/>
      <c r="K209" s="8"/>
      <c r="L209" s="1"/>
      <c r="M209" s="6">
        <f t="shared" ca="1" si="3"/>
        <v>0</v>
      </c>
      <c r="N209" s="1"/>
    </row>
    <row r="210" spans="1:14">
      <c r="A210" s="1"/>
      <c r="B210" s="1"/>
      <c r="C210" s="1"/>
      <c r="D210" s="1"/>
      <c r="E210" s="1"/>
      <c r="F210" s="1"/>
      <c r="G210" s="1"/>
      <c r="H210" s="1"/>
      <c r="I210" s="8"/>
      <c r="J210" s="8"/>
      <c r="K210" s="8"/>
      <c r="L210" s="1"/>
      <c r="M210" s="6">
        <f t="shared" ca="1" si="3"/>
        <v>0</v>
      </c>
      <c r="N210" s="1"/>
    </row>
    <row r="211" spans="1:14">
      <c r="A211" s="1"/>
      <c r="B211" s="1"/>
      <c r="C211" s="1"/>
      <c r="D211" s="1"/>
      <c r="E211" s="1"/>
      <c r="F211" s="1"/>
      <c r="G211" s="1"/>
      <c r="H211" s="1"/>
      <c r="I211" s="8"/>
      <c r="J211" s="8"/>
      <c r="K211" s="8"/>
      <c r="L211" s="1"/>
      <c r="M211" s="6">
        <f t="shared" ca="1" si="3"/>
        <v>0</v>
      </c>
      <c r="N211" s="1"/>
    </row>
    <row r="212" spans="1:14">
      <c r="A212" s="1"/>
      <c r="B212" s="1"/>
      <c r="C212" s="1"/>
      <c r="D212" s="1"/>
      <c r="E212" s="1"/>
      <c r="F212" s="1"/>
      <c r="G212" s="1"/>
      <c r="H212" s="1"/>
      <c r="I212" s="8"/>
      <c r="J212" s="8"/>
      <c r="K212" s="8"/>
      <c r="L212" s="1"/>
      <c r="M212" s="6">
        <f t="shared" ca="1" si="3"/>
        <v>0</v>
      </c>
      <c r="N212" s="1"/>
    </row>
    <row r="213" spans="1:14">
      <c r="A213" s="1"/>
      <c r="B213" s="1"/>
      <c r="C213" s="1"/>
      <c r="D213" s="1"/>
      <c r="E213" s="1"/>
      <c r="F213" s="1"/>
      <c r="G213" s="1"/>
      <c r="H213" s="1"/>
      <c r="I213" s="8"/>
      <c r="J213" s="8"/>
      <c r="K213" s="8"/>
      <c r="L213" s="1"/>
      <c r="M213" s="6">
        <f t="shared" ca="1" si="3"/>
        <v>0</v>
      </c>
      <c r="N213" s="1"/>
    </row>
    <row r="214" spans="1:14">
      <c r="A214" s="1"/>
      <c r="B214" s="1"/>
      <c r="C214" s="1"/>
      <c r="D214" s="1"/>
      <c r="E214" s="1"/>
      <c r="F214" s="1"/>
      <c r="G214" s="1"/>
      <c r="H214" s="1"/>
      <c r="I214" s="8"/>
      <c r="J214" s="8"/>
      <c r="K214" s="8"/>
      <c r="L214" s="1"/>
      <c r="M214" s="6">
        <f t="shared" ca="1" si="3"/>
        <v>0</v>
      </c>
      <c r="N214" s="1"/>
    </row>
    <row r="215" spans="1:14">
      <c r="A215" s="1"/>
      <c r="B215" s="1"/>
      <c r="C215" s="1"/>
      <c r="D215" s="1"/>
      <c r="E215" s="1"/>
      <c r="F215" s="1"/>
      <c r="G215" s="1"/>
      <c r="H215" s="1"/>
      <c r="I215" s="8"/>
      <c r="J215" s="8"/>
      <c r="K215" s="8"/>
      <c r="L215" s="1"/>
      <c r="M215" s="6">
        <f t="shared" ca="1" si="3"/>
        <v>0</v>
      </c>
      <c r="N215" s="1"/>
    </row>
    <row r="216" spans="1:14">
      <c r="A216" s="1"/>
      <c r="B216" s="1"/>
      <c r="C216" s="1"/>
      <c r="D216" s="1"/>
      <c r="E216" s="1"/>
      <c r="F216" s="1"/>
      <c r="G216" s="1"/>
      <c r="H216" s="1"/>
      <c r="I216" s="8"/>
      <c r="J216" s="8"/>
      <c r="K216" s="8"/>
      <c r="L216" s="1"/>
      <c r="M216" s="6">
        <f t="shared" ca="1" si="3"/>
        <v>0</v>
      </c>
      <c r="N216" s="1"/>
    </row>
    <row r="217" spans="1:14">
      <c r="A217" s="1"/>
      <c r="B217" s="1"/>
      <c r="C217" s="1"/>
      <c r="D217" s="1"/>
      <c r="E217" s="1"/>
      <c r="F217" s="1"/>
      <c r="G217" s="1"/>
      <c r="H217" s="1"/>
      <c r="I217" s="8"/>
      <c r="J217" s="8"/>
      <c r="K217" s="8"/>
      <c r="L217" s="1"/>
      <c r="M217" s="6">
        <f t="shared" ca="1" si="3"/>
        <v>0</v>
      </c>
      <c r="N217" s="1"/>
    </row>
    <row r="218" spans="1:14">
      <c r="A218" s="1"/>
      <c r="B218" s="1"/>
      <c r="C218" s="1"/>
      <c r="D218" s="1"/>
      <c r="E218" s="1"/>
      <c r="F218" s="1"/>
      <c r="G218" s="1"/>
      <c r="H218" s="1"/>
      <c r="I218" s="8"/>
      <c r="J218" s="8"/>
      <c r="K218" s="8"/>
      <c r="L218" s="1"/>
      <c r="M218" s="6">
        <f t="shared" ca="1" si="3"/>
        <v>0</v>
      </c>
      <c r="N218" s="1"/>
    </row>
    <row r="219" spans="1:14">
      <c r="A219" s="1"/>
      <c r="B219" s="1"/>
      <c r="C219" s="1"/>
      <c r="D219" s="1"/>
      <c r="E219" s="1"/>
      <c r="F219" s="1"/>
      <c r="G219" s="1"/>
      <c r="H219" s="1"/>
      <c r="I219" s="8"/>
      <c r="J219" s="8"/>
      <c r="K219" s="8"/>
      <c r="L219" s="1"/>
      <c r="M219" s="6">
        <f t="shared" ca="1" si="3"/>
        <v>0</v>
      </c>
      <c r="N219" s="1"/>
    </row>
    <row r="220" spans="1:14">
      <c r="A220" s="1"/>
      <c r="B220" s="1"/>
      <c r="C220" s="1"/>
      <c r="D220" s="1"/>
      <c r="E220" s="1"/>
      <c r="F220" s="1"/>
      <c r="G220" s="1"/>
      <c r="H220" s="1"/>
      <c r="I220" s="8"/>
      <c r="J220" s="8"/>
      <c r="K220" s="8"/>
      <c r="L220" s="1"/>
      <c r="M220" s="6">
        <f t="shared" ca="1" si="3"/>
        <v>0</v>
      </c>
      <c r="N220" s="1"/>
    </row>
    <row r="221" spans="1:14">
      <c r="A221" s="1"/>
      <c r="B221" s="1"/>
      <c r="C221" s="1"/>
      <c r="D221" s="1"/>
      <c r="E221" s="1"/>
      <c r="F221" s="1"/>
      <c r="G221" s="1"/>
      <c r="H221" s="1"/>
      <c r="I221" s="8"/>
      <c r="J221" s="8"/>
      <c r="K221" s="8"/>
      <c r="L221" s="1"/>
      <c r="M221" s="6">
        <f t="shared" ca="1" si="3"/>
        <v>0</v>
      </c>
      <c r="N221" s="1"/>
    </row>
    <row r="222" spans="1:14">
      <c r="A222" s="1"/>
      <c r="B222" s="1"/>
      <c r="C222" s="1"/>
      <c r="D222" s="1"/>
      <c r="E222" s="1"/>
      <c r="F222" s="1"/>
      <c r="G222" s="1"/>
      <c r="H222" s="1"/>
      <c r="I222" s="8"/>
      <c r="J222" s="8"/>
      <c r="K222" s="8"/>
      <c r="L222" s="1"/>
      <c r="M222" s="6">
        <f t="shared" ca="1" si="3"/>
        <v>0</v>
      </c>
      <c r="N222" s="1"/>
    </row>
    <row r="223" spans="1:14">
      <c r="A223" s="1"/>
      <c r="B223" s="1"/>
      <c r="C223" s="1"/>
      <c r="D223" s="1"/>
      <c r="E223" s="1"/>
      <c r="F223" s="1"/>
      <c r="G223" s="1"/>
      <c r="H223" s="1"/>
      <c r="I223" s="8"/>
      <c r="J223" s="8"/>
      <c r="K223" s="8"/>
      <c r="L223" s="1"/>
      <c r="M223" s="6">
        <f t="shared" ca="1" si="3"/>
        <v>0</v>
      </c>
      <c r="N223" s="1"/>
    </row>
    <row r="224" spans="1:14">
      <c r="A224" s="1"/>
      <c r="B224" s="1"/>
      <c r="C224" s="1"/>
      <c r="D224" s="1"/>
      <c r="E224" s="1"/>
      <c r="F224" s="1"/>
      <c r="G224" s="1"/>
      <c r="H224" s="1"/>
      <c r="I224" s="8"/>
      <c r="J224" s="8"/>
      <c r="K224" s="8"/>
      <c r="L224" s="1"/>
      <c r="M224" s="6">
        <f t="shared" ca="1" si="3"/>
        <v>0</v>
      </c>
      <c r="N224" s="1"/>
    </row>
    <row r="225" spans="1:14">
      <c r="A225" s="1"/>
      <c r="B225" s="1"/>
      <c r="C225" s="1"/>
      <c r="D225" s="1"/>
      <c r="E225" s="1"/>
      <c r="F225" s="1"/>
      <c r="G225" s="1"/>
      <c r="H225" s="1"/>
      <c r="I225" s="8"/>
      <c r="J225" s="8"/>
      <c r="K225" s="8"/>
      <c r="L225" s="1"/>
      <c r="M225" s="6">
        <f t="shared" ca="1" si="3"/>
        <v>0</v>
      </c>
      <c r="N225" s="1"/>
    </row>
    <row r="226" spans="1:14">
      <c r="A226" s="1"/>
      <c r="B226" s="1"/>
      <c r="C226" s="1"/>
      <c r="D226" s="1"/>
      <c r="E226" s="1"/>
      <c r="F226" s="1"/>
      <c r="G226" s="1"/>
      <c r="H226" s="1"/>
      <c r="I226" s="8"/>
      <c r="J226" s="8"/>
      <c r="K226" s="8"/>
      <c r="L226" s="1"/>
      <c r="M226" s="6">
        <f t="shared" ca="1" si="3"/>
        <v>0</v>
      </c>
      <c r="N226" s="1"/>
    </row>
    <row r="227" spans="1:14">
      <c r="A227" s="1"/>
      <c r="B227" s="1"/>
      <c r="C227" s="1"/>
      <c r="D227" s="1"/>
      <c r="E227" s="1"/>
      <c r="F227" s="1"/>
      <c r="G227" s="1"/>
      <c r="H227" s="1"/>
      <c r="I227" s="8"/>
      <c r="J227" s="8"/>
      <c r="K227" s="8"/>
      <c r="L227" s="1"/>
      <c r="M227" s="6">
        <f t="shared" ca="1" si="3"/>
        <v>0</v>
      </c>
      <c r="N227" s="1"/>
    </row>
    <row r="228" spans="1:14">
      <c r="A228" s="1"/>
      <c r="B228" s="1"/>
      <c r="C228" s="1"/>
      <c r="D228" s="1"/>
      <c r="E228" s="1"/>
      <c r="F228" s="1"/>
      <c r="G228" s="1"/>
      <c r="H228" s="1"/>
      <c r="I228" s="8"/>
      <c r="J228" s="8"/>
      <c r="K228" s="8"/>
      <c r="L228" s="1"/>
      <c r="M228" s="6">
        <f t="shared" ca="1" si="3"/>
        <v>0</v>
      </c>
      <c r="N228" s="1"/>
    </row>
    <row r="229" spans="1:14">
      <c r="A229" s="1"/>
      <c r="B229" s="1"/>
      <c r="C229" s="1"/>
      <c r="D229" s="1"/>
      <c r="E229" s="1"/>
      <c r="F229" s="1"/>
      <c r="G229" s="1"/>
      <c r="H229" s="1"/>
      <c r="I229" s="8"/>
      <c r="J229" s="8"/>
      <c r="K229" s="8"/>
      <c r="L229" s="1"/>
      <c r="M229" s="6">
        <f t="shared" ca="1" si="3"/>
        <v>0</v>
      </c>
      <c r="N229" s="1"/>
    </row>
    <row r="230" spans="1:14">
      <c r="A230" s="1"/>
      <c r="B230" s="1"/>
      <c r="C230" s="1"/>
      <c r="D230" s="1"/>
      <c r="E230" s="1"/>
      <c r="F230" s="1"/>
      <c r="G230" s="1"/>
      <c r="H230" s="1"/>
      <c r="I230" s="8"/>
      <c r="J230" s="8"/>
      <c r="K230" s="8"/>
      <c r="L230" s="1"/>
      <c r="M230" s="6">
        <f t="shared" ca="1" si="3"/>
        <v>0</v>
      </c>
      <c r="N230" s="1"/>
    </row>
    <row r="231" spans="1:14">
      <c r="A231" s="1"/>
      <c r="B231" s="1"/>
      <c r="C231" s="1"/>
      <c r="D231" s="1"/>
      <c r="E231" s="1"/>
      <c r="F231" s="1"/>
      <c r="G231" s="1"/>
      <c r="H231" s="1"/>
      <c r="I231" s="8"/>
      <c r="J231" s="8"/>
      <c r="K231" s="8"/>
      <c r="L231" s="1"/>
      <c r="M231" s="6">
        <f t="shared" ca="1" si="3"/>
        <v>0</v>
      </c>
      <c r="N231" s="1"/>
    </row>
    <row r="232" spans="1:14">
      <c r="A232" s="1"/>
      <c r="B232" s="1"/>
      <c r="C232" s="1"/>
      <c r="D232" s="1"/>
      <c r="E232" s="1"/>
      <c r="F232" s="1"/>
      <c r="G232" s="1"/>
      <c r="H232" s="1"/>
      <c r="I232" s="8"/>
      <c r="J232" s="8"/>
      <c r="K232" s="8"/>
      <c r="L232" s="1"/>
      <c r="M232" s="6">
        <f t="shared" ca="1" si="3"/>
        <v>0</v>
      </c>
      <c r="N232" s="1"/>
    </row>
    <row r="233" spans="1:14">
      <c r="A233" s="1"/>
      <c r="B233" s="1"/>
      <c r="C233" s="1"/>
      <c r="D233" s="1"/>
      <c r="E233" s="1"/>
      <c r="F233" s="1"/>
      <c r="G233" s="1"/>
      <c r="H233" s="1"/>
      <c r="I233" s="8"/>
      <c r="J233" s="8"/>
      <c r="K233" s="8"/>
      <c r="L233" s="1"/>
      <c r="M233" s="6">
        <f t="shared" ca="1" si="3"/>
        <v>0</v>
      </c>
      <c r="N233" s="1"/>
    </row>
    <row r="234" spans="1:14">
      <c r="A234" s="1"/>
      <c r="B234" s="1"/>
      <c r="C234" s="1"/>
      <c r="D234" s="1"/>
      <c r="E234" s="1"/>
      <c r="F234" s="1"/>
      <c r="G234" s="1"/>
      <c r="H234" s="1"/>
      <c r="I234" s="8"/>
      <c r="J234" s="8"/>
      <c r="K234" s="8"/>
      <c r="L234" s="1"/>
      <c r="M234" s="6">
        <f t="shared" ca="1" si="3"/>
        <v>0</v>
      </c>
      <c r="N234" s="1"/>
    </row>
    <row r="235" spans="1:14">
      <c r="A235" s="1"/>
      <c r="B235" s="1"/>
      <c r="C235" s="1"/>
      <c r="D235" s="1"/>
      <c r="E235" s="1"/>
      <c r="F235" s="1"/>
      <c r="G235" s="1"/>
      <c r="H235" s="1"/>
      <c r="I235" s="8"/>
      <c r="J235" s="8"/>
      <c r="K235" s="8"/>
      <c r="L235" s="1"/>
      <c r="M235" s="6">
        <f t="shared" ca="1" si="3"/>
        <v>0</v>
      </c>
      <c r="N235" s="1"/>
    </row>
    <row r="236" spans="1:14">
      <c r="A236" s="1"/>
      <c r="B236" s="1"/>
      <c r="C236" s="1"/>
      <c r="D236" s="1"/>
      <c r="E236" s="1"/>
      <c r="F236" s="1"/>
      <c r="G236" s="1"/>
      <c r="H236" s="1"/>
      <c r="I236" s="8"/>
      <c r="J236" s="8"/>
      <c r="K236" s="8"/>
      <c r="L236" s="1"/>
      <c r="M236" s="6">
        <f t="shared" ca="1" si="3"/>
        <v>0</v>
      </c>
      <c r="N236" s="1"/>
    </row>
    <row r="237" spans="1:14">
      <c r="A237" s="1"/>
      <c r="B237" s="1"/>
      <c r="C237" s="1"/>
      <c r="D237" s="1"/>
      <c r="E237" s="1"/>
      <c r="F237" s="1"/>
      <c r="G237" s="1"/>
      <c r="H237" s="1"/>
      <c r="I237" s="8"/>
      <c r="J237" s="8"/>
      <c r="K237" s="8"/>
      <c r="L237" s="1"/>
      <c r="M237" s="6">
        <f t="shared" ca="1" si="3"/>
        <v>0</v>
      </c>
      <c r="N237" s="1"/>
    </row>
    <row r="238" spans="1:14">
      <c r="A238" s="1"/>
      <c r="B238" s="1"/>
      <c r="C238" s="1"/>
      <c r="D238" s="1"/>
      <c r="E238" s="1"/>
      <c r="F238" s="1"/>
      <c r="G238" s="1"/>
      <c r="H238" s="1"/>
      <c r="I238" s="8"/>
      <c r="J238" s="8"/>
      <c r="K238" s="8"/>
      <c r="L238" s="1"/>
      <c r="M238" s="6">
        <f t="shared" ca="1" si="3"/>
        <v>0</v>
      </c>
      <c r="N238" s="1"/>
    </row>
    <row r="239" spans="1:14">
      <c r="A239" s="1"/>
      <c r="B239" s="1"/>
      <c r="C239" s="1"/>
      <c r="D239" s="1"/>
      <c r="E239" s="1"/>
      <c r="F239" s="1"/>
      <c r="G239" s="1"/>
      <c r="H239" s="1"/>
      <c r="I239" s="8"/>
      <c r="J239" s="8"/>
      <c r="K239" s="8"/>
      <c r="L239" s="1"/>
      <c r="M239" s="6">
        <f t="shared" ca="1" si="3"/>
        <v>0</v>
      </c>
      <c r="N239" s="1"/>
    </row>
    <row r="240" spans="1:14">
      <c r="A240" s="1"/>
      <c r="B240" s="1"/>
      <c r="C240" s="1"/>
      <c r="D240" s="1"/>
      <c r="E240" s="1"/>
      <c r="F240" s="1"/>
      <c r="G240" s="1"/>
      <c r="H240" s="1"/>
      <c r="I240" s="8"/>
      <c r="J240" s="8"/>
      <c r="K240" s="8"/>
      <c r="L240" s="1"/>
      <c r="M240" s="6">
        <f t="shared" ca="1" si="3"/>
        <v>0</v>
      </c>
      <c r="N240" s="1"/>
    </row>
    <row r="241" spans="1:14">
      <c r="A241" s="1"/>
      <c r="B241" s="1"/>
      <c r="C241" s="1"/>
      <c r="D241" s="1"/>
      <c r="E241" s="1"/>
      <c r="F241" s="1"/>
      <c r="G241" s="1"/>
      <c r="H241" s="1"/>
      <c r="I241" s="8"/>
      <c r="J241" s="8"/>
      <c r="K241" s="8"/>
      <c r="L241" s="1"/>
      <c r="M241" s="6">
        <f t="shared" ca="1" si="3"/>
        <v>0</v>
      </c>
      <c r="N241" s="1"/>
    </row>
    <row r="242" spans="1:14">
      <c r="A242" s="1"/>
      <c r="B242" s="1"/>
      <c r="C242" s="1"/>
      <c r="D242" s="1"/>
      <c r="E242" s="1"/>
      <c r="F242" s="1"/>
      <c r="G242" s="1"/>
      <c r="H242" s="1"/>
      <c r="I242" s="8"/>
      <c r="J242" s="8"/>
      <c r="K242" s="8"/>
      <c r="L242" s="1"/>
      <c r="M242" s="6">
        <f t="shared" ca="1" si="3"/>
        <v>0</v>
      </c>
      <c r="N242" s="1"/>
    </row>
    <row r="243" spans="1:14">
      <c r="A243" s="1"/>
      <c r="B243" s="1"/>
      <c r="C243" s="1"/>
      <c r="D243" s="1"/>
      <c r="E243" s="1"/>
      <c r="F243" s="1"/>
      <c r="G243" s="1"/>
      <c r="H243" s="1"/>
      <c r="I243" s="8"/>
      <c r="J243" s="8"/>
      <c r="K243" s="8"/>
      <c r="L243" s="1"/>
      <c r="M243" s="6">
        <f t="shared" ca="1" si="3"/>
        <v>0</v>
      </c>
      <c r="N243" s="1"/>
    </row>
    <row r="244" spans="1:14">
      <c r="A244" s="1"/>
      <c r="B244" s="1"/>
      <c r="C244" s="1"/>
      <c r="D244" s="1"/>
      <c r="E244" s="1"/>
      <c r="F244" s="1"/>
      <c r="G244" s="1"/>
      <c r="H244" s="1"/>
      <c r="I244" s="8"/>
      <c r="J244" s="8"/>
      <c r="K244" s="8"/>
      <c r="L244" s="1"/>
      <c r="M244" s="6">
        <f t="shared" ca="1" si="3"/>
        <v>0</v>
      </c>
      <c r="N244" s="1"/>
    </row>
    <row r="245" spans="1:14">
      <c r="A245" s="1"/>
      <c r="B245" s="1"/>
      <c r="C245" s="1"/>
      <c r="D245" s="1"/>
      <c r="E245" s="1"/>
      <c r="F245" s="1"/>
      <c r="G245" s="1"/>
      <c r="H245" s="1"/>
      <c r="I245" s="8"/>
      <c r="J245" s="8"/>
      <c r="K245" s="8"/>
      <c r="L245" s="1"/>
      <c r="M245" s="6">
        <f t="shared" ca="1" si="3"/>
        <v>0</v>
      </c>
      <c r="N245" s="1"/>
    </row>
    <row r="246" spans="1:14">
      <c r="A246" s="1"/>
      <c r="B246" s="1"/>
      <c r="C246" s="1"/>
      <c r="D246" s="1"/>
      <c r="E246" s="1"/>
      <c r="F246" s="1"/>
      <c r="G246" s="1"/>
      <c r="H246" s="1"/>
      <c r="I246" s="8"/>
      <c r="J246" s="8"/>
      <c r="K246" s="8"/>
      <c r="L246" s="1"/>
      <c r="M246" s="6">
        <f t="shared" ca="1" si="3"/>
        <v>0</v>
      </c>
      <c r="N246" s="1"/>
    </row>
    <row r="247" spans="1:14">
      <c r="A247" s="1"/>
      <c r="B247" s="1"/>
      <c r="C247" s="1"/>
      <c r="D247" s="1"/>
      <c r="E247" s="1"/>
      <c r="F247" s="1"/>
      <c r="G247" s="1"/>
      <c r="H247" s="1"/>
      <c r="I247" s="8"/>
      <c r="J247" s="8"/>
      <c r="K247" s="8"/>
      <c r="L247" s="1"/>
      <c r="M247" s="6">
        <f t="shared" ca="1" si="3"/>
        <v>0</v>
      </c>
      <c r="N247" s="1"/>
    </row>
    <row r="248" spans="1:14">
      <c r="A248" s="1"/>
      <c r="B248" s="1"/>
      <c r="C248" s="1"/>
      <c r="D248" s="1"/>
      <c r="E248" s="1"/>
      <c r="F248" s="1"/>
      <c r="G248" s="1"/>
      <c r="H248" s="1"/>
      <c r="I248" s="8"/>
      <c r="J248" s="8"/>
      <c r="K248" s="8"/>
      <c r="L248" s="1"/>
      <c r="M248" s="6">
        <f t="shared" ca="1" si="3"/>
        <v>0</v>
      </c>
      <c r="N248" s="1"/>
    </row>
    <row r="249" spans="1:14">
      <c r="A249" s="1"/>
      <c r="B249" s="1"/>
      <c r="C249" s="1"/>
      <c r="D249" s="1"/>
      <c r="E249" s="1"/>
      <c r="F249" s="1"/>
      <c r="G249" s="1"/>
      <c r="H249" s="1"/>
      <c r="I249" s="8"/>
      <c r="J249" s="8"/>
      <c r="K249" s="8"/>
      <c r="L249" s="1"/>
      <c r="M249" s="6">
        <f t="shared" ca="1" si="3"/>
        <v>0</v>
      </c>
      <c r="N249" s="1"/>
    </row>
    <row r="250" spans="1:14">
      <c r="A250" s="1"/>
      <c r="B250" s="1"/>
      <c r="C250" s="1"/>
      <c r="D250" s="1"/>
      <c r="E250" s="1"/>
      <c r="F250" s="1"/>
      <c r="G250" s="1"/>
      <c r="H250" s="1"/>
      <c r="I250" s="8"/>
      <c r="J250" s="8"/>
      <c r="K250" s="8"/>
      <c r="L250" s="1"/>
      <c r="M250" s="6">
        <f t="shared" ca="1" si="3"/>
        <v>0</v>
      </c>
      <c r="N250" s="1"/>
    </row>
    <row r="251" spans="1:14">
      <c r="A251" s="1"/>
      <c r="B251" s="1"/>
      <c r="C251" s="1"/>
      <c r="D251" s="1"/>
      <c r="E251" s="1"/>
      <c r="F251" s="1"/>
      <c r="G251" s="1"/>
      <c r="H251" s="1"/>
      <c r="I251" s="8"/>
      <c r="J251" s="8"/>
      <c r="K251" s="8"/>
      <c r="L251" s="1"/>
      <c r="M251" s="6">
        <f t="shared" ca="1" si="3"/>
        <v>0</v>
      </c>
      <c r="N251" s="1"/>
    </row>
    <row r="252" spans="1:14">
      <c r="A252" s="1"/>
      <c r="B252" s="1"/>
      <c r="C252" s="1"/>
      <c r="D252" s="1"/>
      <c r="E252" s="1"/>
      <c r="F252" s="1"/>
      <c r="G252" s="1"/>
      <c r="H252" s="1"/>
      <c r="I252" s="8"/>
      <c r="J252" s="8"/>
      <c r="K252" s="8"/>
      <c r="L252" s="1"/>
      <c r="M252" s="6">
        <f t="shared" ca="1" si="3"/>
        <v>0</v>
      </c>
      <c r="N252" s="1"/>
    </row>
    <row r="253" spans="1:14">
      <c r="A253" s="1"/>
      <c r="B253" s="1"/>
      <c r="C253" s="1"/>
      <c r="D253" s="1"/>
      <c r="E253" s="1"/>
      <c r="F253" s="1"/>
      <c r="G253" s="1"/>
      <c r="H253" s="1"/>
      <c r="I253" s="8"/>
      <c r="J253" s="8"/>
      <c r="K253" s="8"/>
      <c r="L253" s="1"/>
      <c r="M253" s="6">
        <f t="shared" ca="1" si="3"/>
        <v>0</v>
      </c>
      <c r="N253" s="1"/>
    </row>
    <row r="254" spans="1:14">
      <c r="A254" s="1"/>
      <c r="B254" s="1"/>
      <c r="C254" s="1"/>
      <c r="D254" s="1"/>
      <c r="E254" s="1"/>
      <c r="F254" s="1"/>
      <c r="G254" s="1"/>
      <c r="H254" s="1"/>
      <c r="I254" s="8"/>
      <c r="J254" s="8"/>
      <c r="K254" s="8"/>
      <c r="L254" s="1"/>
      <c r="M254" s="6">
        <f t="shared" ca="1" si="3"/>
        <v>0</v>
      </c>
      <c r="N254" s="1"/>
    </row>
    <row r="255" spans="1:14">
      <c r="A255" s="1"/>
      <c r="B255" s="1"/>
      <c r="C255" s="1"/>
      <c r="D255" s="1"/>
      <c r="E255" s="1"/>
      <c r="F255" s="1"/>
      <c r="G255" s="1"/>
      <c r="H255" s="1"/>
      <c r="I255" s="8"/>
      <c r="J255" s="8"/>
      <c r="K255" s="8"/>
      <c r="L255" s="1"/>
      <c r="M255" s="6">
        <f t="shared" ca="1" si="3"/>
        <v>0</v>
      </c>
      <c r="N255" s="1"/>
    </row>
    <row r="256" spans="1:14">
      <c r="A256" s="1"/>
      <c r="B256" s="1"/>
      <c r="C256" s="1"/>
      <c r="D256" s="1"/>
      <c r="E256" s="1"/>
      <c r="F256" s="1"/>
      <c r="G256" s="1"/>
      <c r="H256" s="1"/>
      <c r="I256" s="8"/>
      <c r="J256" s="8"/>
      <c r="K256" s="8"/>
      <c r="L256" s="1"/>
      <c r="M256" s="6">
        <f t="shared" ca="1" si="3"/>
        <v>0</v>
      </c>
      <c r="N256" s="1"/>
    </row>
    <row r="257" spans="1:14">
      <c r="A257" s="1"/>
      <c r="B257" s="1"/>
      <c r="C257" s="1"/>
      <c r="D257" s="1"/>
      <c r="E257" s="1"/>
      <c r="F257" s="1"/>
      <c r="G257" s="1"/>
      <c r="H257" s="1"/>
      <c r="I257" s="8"/>
      <c r="J257" s="8"/>
      <c r="K257" s="8"/>
      <c r="L257" s="1"/>
      <c r="M257" s="6">
        <f t="shared" ca="1" si="3"/>
        <v>0</v>
      </c>
      <c r="N257" s="1"/>
    </row>
    <row r="258" spans="1:14">
      <c r="A258" s="1"/>
      <c r="B258" s="1"/>
      <c r="C258" s="1"/>
      <c r="D258" s="1"/>
      <c r="E258" s="1"/>
      <c r="F258" s="1"/>
      <c r="G258" s="1"/>
      <c r="H258" s="1"/>
      <c r="I258" s="8"/>
      <c r="J258" s="8"/>
      <c r="K258" s="8"/>
      <c r="L258" s="1"/>
      <c r="M258" s="6">
        <f t="shared" ref="M258:M321" ca="1" si="4">IF(AND(L258&lt;&gt;"Clôturée",J258&lt;&gt;"",TODAY()&gt;J258),TODAY()-J258,0)</f>
        <v>0</v>
      </c>
      <c r="N258" s="1"/>
    </row>
    <row r="259" spans="1:14">
      <c r="A259" s="1"/>
      <c r="B259" s="1"/>
      <c r="C259" s="1"/>
      <c r="D259" s="1"/>
      <c r="E259" s="1"/>
      <c r="F259" s="1"/>
      <c r="G259" s="1"/>
      <c r="H259" s="1"/>
      <c r="I259" s="8"/>
      <c r="J259" s="8"/>
      <c r="K259" s="8"/>
      <c r="L259" s="1"/>
      <c r="M259" s="6">
        <f t="shared" ca="1" si="4"/>
        <v>0</v>
      </c>
      <c r="N259" s="1"/>
    </row>
    <row r="260" spans="1:14">
      <c r="A260" s="1"/>
      <c r="B260" s="1"/>
      <c r="C260" s="1"/>
      <c r="D260" s="1"/>
      <c r="E260" s="1"/>
      <c r="F260" s="1"/>
      <c r="G260" s="1"/>
      <c r="H260" s="1"/>
      <c r="I260" s="8"/>
      <c r="J260" s="8"/>
      <c r="K260" s="8"/>
      <c r="L260" s="1"/>
      <c r="M260" s="6">
        <f t="shared" ca="1" si="4"/>
        <v>0</v>
      </c>
      <c r="N260" s="1"/>
    </row>
    <row r="261" spans="1:14">
      <c r="A261" s="1"/>
      <c r="B261" s="1"/>
      <c r="C261" s="1"/>
      <c r="D261" s="1"/>
      <c r="E261" s="1"/>
      <c r="F261" s="1"/>
      <c r="G261" s="1"/>
      <c r="H261" s="1"/>
      <c r="I261" s="8"/>
      <c r="J261" s="8"/>
      <c r="K261" s="8"/>
      <c r="L261" s="1"/>
      <c r="M261" s="6">
        <f t="shared" ca="1" si="4"/>
        <v>0</v>
      </c>
      <c r="N261" s="1"/>
    </row>
    <row r="262" spans="1:14">
      <c r="A262" s="1"/>
      <c r="B262" s="1"/>
      <c r="C262" s="1"/>
      <c r="D262" s="1"/>
      <c r="E262" s="1"/>
      <c r="F262" s="1"/>
      <c r="G262" s="1"/>
      <c r="H262" s="1"/>
      <c r="I262" s="8"/>
      <c r="J262" s="8"/>
      <c r="K262" s="8"/>
      <c r="L262" s="1"/>
      <c r="M262" s="6">
        <f t="shared" ca="1" si="4"/>
        <v>0</v>
      </c>
      <c r="N262" s="1"/>
    </row>
    <row r="263" spans="1:14">
      <c r="A263" s="1"/>
      <c r="B263" s="1"/>
      <c r="C263" s="1"/>
      <c r="D263" s="1"/>
      <c r="E263" s="1"/>
      <c r="F263" s="1"/>
      <c r="G263" s="1"/>
      <c r="H263" s="1"/>
      <c r="I263" s="8"/>
      <c r="J263" s="8"/>
      <c r="K263" s="8"/>
      <c r="L263" s="1"/>
      <c r="M263" s="6">
        <f t="shared" ca="1" si="4"/>
        <v>0</v>
      </c>
      <c r="N263" s="1"/>
    </row>
    <row r="264" spans="1:14">
      <c r="A264" s="1"/>
      <c r="B264" s="1"/>
      <c r="C264" s="1"/>
      <c r="D264" s="1"/>
      <c r="E264" s="1"/>
      <c r="F264" s="1"/>
      <c r="G264" s="1"/>
      <c r="H264" s="1"/>
      <c r="I264" s="8"/>
      <c r="J264" s="8"/>
      <c r="K264" s="8"/>
      <c r="L264" s="1"/>
      <c r="M264" s="6">
        <f t="shared" ca="1" si="4"/>
        <v>0</v>
      </c>
      <c r="N264" s="1"/>
    </row>
    <row r="265" spans="1:14">
      <c r="A265" s="1"/>
      <c r="B265" s="1"/>
      <c r="C265" s="1"/>
      <c r="D265" s="1"/>
      <c r="E265" s="1"/>
      <c r="F265" s="1"/>
      <c r="G265" s="1"/>
      <c r="H265" s="1"/>
      <c r="I265" s="8"/>
      <c r="J265" s="8"/>
      <c r="K265" s="8"/>
      <c r="L265" s="1"/>
      <c r="M265" s="6">
        <f t="shared" ca="1" si="4"/>
        <v>0</v>
      </c>
      <c r="N265" s="1"/>
    </row>
    <row r="266" spans="1:14">
      <c r="A266" s="1"/>
      <c r="B266" s="1"/>
      <c r="C266" s="1"/>
      <c r="D266" s="1"/>
      <c r="E266" s="1"/>
      <c r="F266" s="1"/>
      <c r="G266" s="1"/>
      <c r="H266" s="1"/>
      <c r="I266" s="8"/>
      <c r="J266" s="8"/>
      <c r="K266" s="8"/>
      <c r="L266" s="1"/>
      <c r="M266" s="6">
        <f t="shared" ca="1" si="4"/>
        <v>0</v>
      </c>
      <c r="N266" s="1"/>
    </row>
    <row r="267" spans="1:14">
      <c r="A267" s="1"/>
      <c r="B267" s="1"/>
      <c r="C267" s="1"/>
      <c r="D267" s="1"/>
      <c r="E267" s="1"/>
      <c r="F267" s="1"/>
      <c r="G267" s="1"/>
      <c r="H267" s="1"/>
      <c r="I267" s="8"/>
      <c r="J267" s="8"/>
      <c r="K267" s="8"/>
      <c r="L267" s="1"/>
      <c r="M267" s="6">
        <f t="shared" ca="1" si="4"/>
        <v>0</v>
      </c>
      <c r="N267" s="1"/>
    </row>
    <row r="268" spans="1:14">
      <c r="A268" s="1"/>
      <c r="B268" s="1"/>
      <c r="C268" s="1"/>
      <c r="D268" s="1"/>
      <c r="E268" s="1"/>
      <c r="F268" s="1"/>
      <c r="G268" s="1"/>
      <c r="H268" s="1"/>
      <c r="I268" s="8"/>
      <c r="J268" s="8"/>
      <c r="K268" s="8"/>
      <c r="L268" s="1"/>
      <c r="M268" s="6">
        <f t="shared" ca="1" si="4"/>
        <v>0</v>
      </c>
      <c r="N268" s="1"/>
    </row>
    <row r="269" spans="1:14">
      <c r="A269" s="1"/>
      <c r="B269" s="1"/>
      <c r="C269" s="1"/>
      <c r="D269" s="1"/>
      <c r="E269" s="1"/>
      <c r="F269" s="1"/>
      <c r="G269" s="1"/>
      <c r="H269" s="1"/>
      <c r="I269" s="8"/>
      <c r="J269" s="8"/>
      <c r="K269" s="8"/>
      <c r="L269" s="1"/>
      <c r="M269" s="6">
        <f t="shared" ca="1" si="4"/>
        <v>0</v>
      </c>
      <c r="N269" s="1"/>
    </row>
    <row r="270" spans="1:14">
      <c r="A270" s="1"/>
      <c r="B270" s="1"/>
      <c r="C270" s="1"/>
      <c r="D270" s="1"/>
      <c r="E270" s="1"/>
      <c r="F270" s="1"/>
      <c r="G270" s="1"/>
      <c r="H270" s="1"/>
      <c r="I270" s="8"/>
      <c r="J270" s="8"/>
      <c r="K270" s="8"/>
      <c r="L270" s="1"/>
      <c r="M270" s="6">
        <f t="shared" ca="1" si="4"/>
        <v>0</v>
      </c>
      <c r="N270" s="1"/>
    </row>
    <row r="271" spans="1:14">
      <c r="A271" s="1"/>
      <c r="B271" s="1"/>
      <c r="C271" s="1"/>
      <c r="D271" s="1"/>
      <c r="E271" s="1"/>
      <c r="F271" s="1"/>
      <c r="G271" s="1"/>
      <c r="H271" s="1"/>
      <c r="I271" s="8"/>
      <c r="J271" s="8"/>
      <c r="K271" s="8"/>
      <c r="L271" s="1"/>
      <c r="M271" s="6">
        <f t="shared" ca="1" si="4"/>
        <v>0</v>
      </c>
      <c r="N271" s="1"/>
    </row>
    <row r="272" spans="1:14">
      <c r="A272" s="1"/>
      <c r="B272" s="1"/>
      <c r="C272" s="1"/>
      <c r="D272" s="1"/>
      <c r="E272" s="1"/>
      <c r="F272" s="1"/>
      <c r="G272" s="1"/>
      <c r="H272" s="1"/>
      <c r="I272" s="8"/>
      <c r="J272" s="8"/>
      <c r="K272" s="8"/>
      <c r="L272" s="1"/>
      <c r="M272" s="6">
        <f t="shared" ca="1" si="4"/>
        <v>0</v>
      </c>
      <c r="N272" s="1"/>
    </row>
    <row r="273" spans="1:14">
      <c r="A273" s="1"/>
      <c r="B273" s="1"/>
      <c r="C273" s="1"/>
      <c r="D273" s="1"/>
      <c r="E273" s="1"/>
      <c r="F273" s="1"/>
      <c r="G273" s="1"/>
      <c r="H273" s="1"/>
      <c r="I273" s="8"/>
      <c r="J273" s="8"/>
      <c r="K273" s="8"/>
      <c r="L273" s="1"/>
      <c r="M273" s="6">
        <f t="shared" ca="1" si="4"/>
        <v>0</v>
      </c>
      <c r="N273" s="1"/>
    </row>
    <row r="274" spans="1:14">
      <c r="A274" s="1"/>
      <c r="B274" s="1"/>
      <c r="C274" s="1"/>
      <c r="D274" s="1"/>
      <c r="E274" s="1"/>
      <c r="F274" s="1"/>
      <c r="G274" s="1"/>
      <c r="H274" s="1"/>
      <c r="I274" s="8"/>
      <c r="J274" s="8"/>
      <c r="K274" s="8"/>
      <c r="L274" s="1"/>
      <c r="M274" s="6">
        <f t="shared" ca="1" si="4"/>
        <v>0</v>
      </c>
      <c r="N274" s="1"/>
    </row>
    <row r="275" spans="1:14">
      <c r="A275" s="1"/>
      <c r="B275" s="1"/>
      <c r="C275" s="1"/>
      <c r="D275" s="1"/>
      <c r="E275" s="1"/>
      <c r="F275" s="1"/>
      <c r="G275" s="1"/>
      <c r="H275" s="1"/>
      <c r="I275" s="8"/>
      <c r="J275" s="8"/>
      <c r="K275" s="8"/>
      <c r="L275" s="1"/>
      <c r="M275" s="6">
        <f t="shared" ca="1" si="4"/>
        <v>0</v>
      </c>
      <c r="N275" s="1"/>
    </row>
    <row r="276" spans="1:14">
      <c r="A276" s="1"/>
      <c r="B276" s="1"/>
      <c r="C276" s="1"/>
      <c r="D276" s="1"/>
      <c r="E276" s="1"/>
      <c r="F276" s="1"/>
      <c r="G276" s="1"/>
      <c r="H276" s="1"/>
      <c r="I276" s="8"/>
      <c r="J276" s="8"/>
      <c r="K276" s="8"/>
      <c r="L276" s="1"/>
      <c r="M276" s="6">
        <f t="shared" ca="1" si="4"/>
        <v>0</v>
      </c>
      <c r="N276" s="1"/>
    </row>
    <row r="277" spans="1:14">
      <c r="A277" s="1"/>
      <c r="B277" s="1"/>
      <c r="C277" s="1"/>
      <c r="D277" s="1"/>
      <c r="E277" s="1"/>
      <c r="F277" s="1"/>
      <c r="G277" s="1"/>
      <c r="H277" s="1"/>
      <c r="I277" s="8"/>
      <c r="J277" s="8"/>
      <c r="K277" s="8"/>
      <c r="L277" s="1"/>
      <c r="M277" s="6">
        <f t="shared" ca="1" si="4"/>
        <v>0</v>
      </c>
      <c r="N277" s="1"/>
    </row>
    <row r="278" spans="1:14">
      <c r="A278" s="1"/>
      <c r="B278" s="1"/>
      <c r="C278" s="1"/>
      <c r="D278" s="1"/>
      <c r="E278" s="1"/>
      <c r="F278" s="1"/>
      <c r="G278" s="1"/>
      <c r="H278" s="1"/>
      <c r="I278" s="8"/>
      <c r="J278" s="8"/>
      <c r="K278" s="8"/>
      <c r="L278" s="1"/>
      <c r="M278" s="6">
        <f t="shared" ca="1" si="4"/>
        <v>0</v>
      </c>
      <c r="N278" s="1"/>
    </row>
    <row r="279" spans="1:14">
      <c r="A279" s="1"/>
      <c r="B279" s="1"/>
      <c r="C279" s="1"/>
      <c r="D279" s="1"/>
      <c r="E279" s="1"/>
      <c r="F279" s="1"/>
      <c r="G279" s="1"/>
      <c r="H279" s="1"/>
      <c r="I279" s="8"/>
      <c r="J279" s="8"/>
      <c r="K279" s="8"/>
      <c r="L279" s="1"/>
      <c r="M279" s="6">
        <f t="shared" ca="1" si="4"/>
        <v>0</v>
      </c>
      <c r="N279" s="1"/>
    </row>
    <row r="280" spans="1:14">
      <c r="A280" s="1"/>
      <c r="B280" s="1"/>
      <c r="C280" s="1"/>
      <c r="D280" s="1"/>
      <c r="E280" s="1"/>
      <c r="F280" s="1"/>
      <c r="G280" s="1"/>
      <c r="H280" s="1"/>
      <c r="I280" s="8"/>
      <c r="J280" s="8"/>
      <c r="K280" s="8"/>
      <c r="L280" s="1"/>
      <c r="M280" s="6">
        <f t="shared" ca="1" si="4"/>
        <v>0</v>
      </c>
      <c r="N280" s="1"/>
    </row>
    <row r="281" spans="1:14">
      <c r="A281" s="1"/>
      <c r="B281" s="1"/>
      <c r="C281" s="1"/>
      <c r="D281" s="1"/>
      <c r="E281" s="1"/>
      <c r="F281" s="1"/>
      <c r="G281" s="1"/>
      <c r="H281" s="1"/>
      <c r="I281" s="8"/>
      <c r="J281" s="8"/>
      <c r="K281" s="8"/>
      <c r="L281" s="1"/>
      <c r="M281" s="6">
        <f t="shared" ca="1" si="4"/>
        <v>0</v>
      </c>
      <c r="N281" s="1"/>
    </row>
    <row r="282" spans="1:14">
      <c r="A282" s="1"/>
      <c r="B282" s="1"/>
      <c r="C282" s="1"/>
      <c r="D282" s="1"/>
      <c r="E282" s="1"/>
      <c r="F282" s="1"/>
      <c r="G282" s="1"/>
      <c r="H282" s="1"/>
      <c r="I282" s="8"/>
      <c r="J282" s="8"/>
      <c r="K282" s="8"/>
      <c r="L282" s="1"/>
      <c r="M282" s="6">
        <f t="shared" ca="1" si="4"/>
        <v>0</v>
      </c>
      <c r="N282" s="1"/>
    </row>
    <row r="283" spans="1:14">
      <c r="A283" s="1"/>
      <c r="B283" s="1"/>
      <c r="C283" s="1"/>
      <c r="D283" s="1"/>
      <c r="E283" s="1"/>
      <c r="F283" s="1"/>
      <c r="G283" s="1"/>
      <c r="H283" s="1"/>
      <c r="I283" s="8"/>
      <c r="J283" s="8"/>
      <c r="K283" s="8"/>
      <c r="L283" s="1"/>
      <c r="M283" s="6">
        <f t="shared" ca="1" si="4"/>
        <v>0</v>
      </c>
      <c r="N283" s="1"/>
    </row>
    <row r="284" spans="1:14">
      <c r="A284" s="1"/>
      <c r="B284" s="1"/>
      <c r="C284" s="1"/>
      <c r="D284" s="1"/>
      <c r="E284" s="1"/>
      <c r="F284" s="1"/>
      <c r="G284" s="1"/>
      <c r="H284" s="1"/>
      <c r="I284" s="8"/>
      <c r="J284" s="8"/>
      <c r="K284" s="8"/>
      <c r="L284" s="1"/>
      <c r="M284" s="6">
        <f t="shared" ca="1" si="4"/>
        <v>0</v>
      </c>
      <c r="N284" s="1"/>
    </row>
    <row r="285" spans="1:14">
      <c r="A285" s="1"/>
      <c r="B285" s="1"/>
      <c r="C285" s="1"/>
      <c r="D285" s="1"/>
      <c r="E285" s="1"/>
      <c r="F285" s="1"/>
      <c r="G285" s="1"/>
      <c r="H285" s="1"/>
      <c r="I285" s="8"/>
      <c r="J285" s="8"/>
      <c r="K285" s="8"/>
      <c r="L285" s="1"/>
      <c r="M285" s="6">
        <f t="shared" ca="1" si="4"/>
        <v>0</v>
      </c>
      <c r="N285" s="1"/>
    </row>
    <row r="286" spans="1:14">
      <c r="A286" s="1"/>
      <c r="B286" s="1"/>
      <c r="C286" s="1"/>
      <c r="D286" s="1"/>
      <c r="E286" s="1"/>
      <c r="F286" s="1"/>
      <c r="G286" s="1"/>
      <c r="H286" s="1"/>
      <c r="I286" s="8"/>
      <c r="J286" s="8"/>
      <c r="K286" s="8"/>
      <c r="L286" s="1"/>
      <c r="M286" s="6">
        <f t="shared" ca="1" si="4"/>
        <v>0</v>
      </c>
      <c r="N286" s="1"/>
    </row>
    <row r="287" spans="1:14">
      <c r="A287" s="1"/>
      <c r="B287" s="1"/>
      <c r="C287" s="1"/>
      <c r="D287" s="1"/>
      <c r="E287" s="1"/>
      <c r="F287" s="1"/>
      <c r="G287" s="1"/>
      <c r="H287" s="1"/>
      <c r="I287" s="8"/>
      <c r="J287" s="8"/>
      <c r="K287" s="8"/>
      <c r="L287" s="1"/>
      <c r="M287" s="6">
        <f t="shared" ca="1" si="4"/>
        <v>0</v>
      </c>
      <c r="N287" s="1"/>
    </row>
    <row r="288" spans="1:14">
      <c r="A288" s="1"/>
      <c r="B288" s="1"/>
      <c r="C288" s="1"/>
      <c r="D288" s="1"/>
      <c r="E288" s="1"/>
      <c r="F288" s="1"/>
      <c r="G288" s="1"/>
      <c r="H288" s="1"/>
      <c r="I288" s="8"/>
      <c r="J288" s="8"/>
      <c r="K288" s="8"/>
      <c r="L288" s="1"/>
      <c r="M288" s="6">
        <f t="shared" ca="1" si="4"/>
        <v>0</v>
      </c>
      <c r="N288" s="1"/>
    </row>
    <row r="289" spans="1:14">
      <c r="A289" s="1"/>
      <c r="B289" s="1"/>
      <c r="C289" s="1"/>
      <c r="D289" s="1"/>
      <c r="E289" s="1"/>
      <c r="F289" s="1"/>
      <c r="G289" s="1"/>
      <c r="H289" s="1"/>
      <c r="I289" s="8"/>
      <c r="J289" s="8"/>
      <c r="K289" s="8"/>
      <c r="L289" s="1"/>
      <c r="M289" s="6">
        <f t="shared" ca="1" si="4"/>
        <v>0</v>
      </c>
      <c r="N289" s="1"/>
    </row>
    <row r="290" spans="1:14">
      <c r="A290" s="1"/>
      <c r="B290" s="1"/>
      <c r="C290" s="1"/>
      <c r="D290" s="1"/>
      <c r="E290" s="1"/>
      <c r="F290" s="1"/>
      <c r="G290" s="1"/>
      <c r="H290" s="1"/>
      <c r="I290" s="8"/>
      <c r="J290" s="8"/>
      <c r="K290" s="8"/>
      <c r="L290" s="1"/>
      <c r="M290" s="6">
        <f t="shared" ca="1" si="4"/>
        <v>0</v>
      </c>
      <c r="N290" s="1"/>
    </row>
    <row r="291" spans="1:14">
      <c r="A291" s="1"/>
      <c r="B291" s="1"/>
      <c r="C291" s="1"/>
      <c r="D291" s="1"/>
      <c r="E291" s="1"/>
      <c r="F291" s="1"/>
      <c r="G291" s="1"/>
      <c r="H291" s="1"/>
      <c r="I291" s="8"/>
      <c r="J291" s="8"/>
      <c r="K291" s="8"/>
      <c r="L291" s="1"/>
      <c r="M291" s="6">
        <f t="shared" ca="1" si="4"/>
        <v>0</v>
      </c>
      <c r="N291" s="1"/>
    </row>
    <row r="292" spans="1:14">
      <c r="A292" s="1"/>
      <c r="B292" s="1"/>
      <c r="C292" s="1"/>
      <c r="D292" s="1"/>
      <c r="E292" s="1"/>
      <c r="F292" s="1"/>
      <c r="G292" s="1"/>
      <c r="H292" s="1"/>
      <c r="I292" s="8"/>
      <c r="J292" s="8"/>
      <c r="K292" s="8"/>
      <c r="L292" s="1"/>
      <c r="M292" s="6">
        <f t="shared" ca="1" si="4"/>
        <v>0</v>
      </c>
      <c r="N292" s="1"/>
    </row>
    <row r="293" spans="1:14">
      <c r="A293" s="1"/>
      <c r="B293" s="1"/>
      <c r="C293" s="1"/>
      <c r="D293" s="1"/>
      <c r="E293" s="1"/>
      <c r="F293" s="1"/>
      <c r="G293" s="1"/>
      <c r="H293" s="1"/>
      <c r="I293" s="8"/>
      <c r="J293" s="8"/>
      <c r="K293" s="8"/>
      <c r="L293" s="1"/>
      <c r="M293" s="6">
        <f t="shared" ca="1" si="4"/>
        <v>0</v>
      </c>
      <c r="N293" s="1"/>
    </row>
    <row r="294" spans="1:14">
      <c r="A294" s="1"/>
      <c r="B294" s="1"/>
      <c r="C294" s="1"/>
      <c r="D294" s="1"/>
      <c r="E294" s="1"/>
      <c r="F294" s="1"/>
      <c r="G294" s="1"/>
      <c r="H294" s="1"/>
      <c r="I294" s="8"/>
      <c r="J294" s="8"/>
      <c r="K294" s="8"/>
      <c r="L294" s="1"/>
      <c r="M294" s="6">
        <f t="shared" ca="1" si="4"/>
        <v>0</v>
      </c>
      <c r="N294" s="1"/>
    </row>
    <row r="295" spans="1:14">
      <c r="A295" s="1"/>
      <c r="B295" s="1"/>
      <c r="C295" s="1"/>
      <c r="D295" s="1"/>
      <c r="E295" s="1"/>
      <c r="F295" s="1"/>
      <c r="G295" s="1"/>
      <c r="H295" s="1"/>
      <c r="I295" s="8"/>
      <c r="J295" s="8"/>
      <c r="K295" s="8"/>
      <c r="L295" s="1"/>
      <c r="M295" s="6">
        <f t="shared" ca="1" si="4"/>
        <v>0</v>
      </c>
      <c r="N295" s="1"/>
    </row>
    <row r="296" spans="1:14">
      <c r="A296" s="1"/>
      <c r="B296" s="1"/>
      <c r="C296" s="1"/>
      <c r="D296" s="1"/>
      <c r="E296" s="1"/>
      <c r="F296" s="1"/>
      <c r="G296" s="1"/>
      <c r="H296" s="1"/>
      <c r="I296" s="8"/>
      <c r="J296" s="8"/>
      <c r="K296" s="8"/>
      <c r="L296" s="1"/>
      <c r="M296" s="6">
        <f t="shared" ca="1" si="4"/>
        <v>0</v>
      </c>
      <c r="N296" s="1"/>
    </row>
    <row r="297" spans="1:14">
      <c r="A297" s="1"/>
      <c r="B297" s="1"/>
      <c r="C297" s="1"/>
      <c r="D297" s="1"/>
      <c r="E297" s="1"/>
      <c r="F297" s="1"/>
      <c r="G297" s="1"/>
      <c r="H297" s="1"/>
      <c r="I297" s="8"/>
      <c r="J297" s="8"/>
      <c r="K297" s="8"/>
      <c r="L297" s="1"/>
      <c r="M297" s="6">
        <f t="shared" ca="1" si="4"/>
        <v>0</v>
      </c>
      <c r="N297" s="1"/>
    </row>
    <row r="298" spans="1:14">
      <c r="A298" s="1"/>
      <c r="B298" s="1"/>
      <c r="C298" s="1"/>
      <c r="D298" s="1"/>
      <c r="E298" s="1"/>
      <c r="F298" s="1"/>
      <c r="G298" s="1"/>
      <c r="H298" s="1"/>
      <c r="I298" s="8"/>
      <c r="J298" s="8"/>
      <c r="K298" s="8"/>
      <c r="L298" s="1"/>
      <c r="M298" s="6">
        <f t="shared" ca="1" si="4"/>
        <v>0</v>
      </c>
      <c r="N298" s="1"/>
    </row>
    <row r="299" spans="1:14">
      <c r="A299" s="1"/>
      <c r="B299" s="1"/>
      <c r="C299" s="1"/>
      <c r="D299" s="1"/>
      <c r="E299" s="1"/>
      <c r="F299" s="1"/>
      <c r="G299" s="1"/>
      <c r="H299" s="1"/>
      <c r="I299" s="8"/>
      <c r="J299" s="8"/>
      <c r="K299" s="8"/>
      <c r="L299" s="1"/>
      <c r="M299" s="6">
        <f t="shared" ca="1" si="4"/>
        <v>0</v>
      </c>
      <c r="N299" s="1"/>
    </row>
    <row r="300" spans="1:14">
      <c r="A300" s="1"/>
      <c r="B300" s="1"/>
      <c r="C300" s="1"/>
      <c r="D300" s="1"/>
      <c r="E300" s="1"/>
      <c r="F300" s="1"/>
      <c r="G300" s="1"/>
      <c r="H300" s="1"/>
      <c r="I300" s="8"/>
      <c r="J300" s="8"/>
      <c r="K300" s="8"/>
      <c r="L300" s="1"/>
      <c r="M300" s="6">
        <f t="shared" ca="1" si="4"/>
        <v>0</v>
      </c>
      <c r="N300" s="1"/>
    </row>
    <row r="301" spans="1:14">
      <c r="A301" s="1"/>
      <c r="B301" s="1"/>
      <c r="C301" s="1"/>
      <c r="D301" s="1"/>
      <c r="E301" s="1"/>
      <c r="F301" s="1"/>
      <c r="G301" s="1"/>
      <c r="H301" s="1"/>
      <c r="I301" s="8"/>
      <c r="J301" s="8"/>
      <c r="K301" s="8"/>
      <c r="L301" s="1"/>
      <c r="M301" s="6">
        <f t="shared" ca="1" si="4"/>
        <v>0</v>
      </c>
      <c r="N301" s="1"/>
    </row>
    <row r="302" spans="1:14">
      <c r="A302" s="1"/>
      <c r="B302" s="1"/>
      <c r="C302" s="1"/>
      <c r="D302" s="1"/>
      <c r="E302" s="1"/>
      <c r="F302" s="1"/>
      <c r="G302" s="1"/>
      <c r="H302" s="1"/>
      <c r="I302" s="8"/>
      <c r="J302" s="8"/>
      <c r="K302" s="8"/>
      <c r="L302" s="1"/>
      <c r="M302" s="6">
        <f t="shared" ca="1" si="4"/>
        <v>0</v>
      </c>
      <c r="N302" s="1"/>
    </row>
    <row r="303" spans="1:14">
      <c r="A303" s="1"/>
      <c r="B303" s="1"/>
      <c r="C303" s="1"/>
      <c r="D303" s="1"/>
      <c r="E303" s="1"/>
      <c r="F303" s="1"/>
      <c r="G303" s="1"/>
      <c r="H303" s="1"/>
      <c r="I303" s="8"/>
      <c r="J303" s="8"/>
      <c r="K303" s="8"/>
      <c r="L303" s="1"/>
      <c r="M303" s="6">
        <f t="shared" ca="1" si="4"/>
        <v>0</v>
      </c>
      <c r="N303" s="1"/>
    </row>
    <row r="304" spans="1:14">
      <c r="A304" s="1"/>
      <c r="B304" s="1"/>
      <c r="C304" s="1"/>
      <c r="D304" s="1"/>
      <c r="E304" s="1"/>
      <c r="F304" s="1"/>
      <c r="G304" s="1"/>
      <c r="H304" s="1"/>
      <c r="I304" s="8"/>
      <c r="J304" s="8"/>
      <c r="K304" s="8"/>
      <c r="L304" s="1"/>
      <c r="M304" s="6">
        <f t="shared" ca="1" si="4"/>
        <v>0</v>
      </c>
      <c r="N304" s="1"/>
    </row>
    <row r="305" spans="1:14">
      <c r="A305" s="1"/>
      <c r="B305" s="1"/>
      <c r="C305" s="1"/>
      <c r="D305" s="1"/>
      <c r="E305" s="1"/>
      <c r="F305" s="1"/>
      <c r="G305" s="1"/>
      <c r="H305" s="1"/>
      <c r="I305" s="8"/>
      <c r="J305" s="8"/>
      <c r="K305" s="8"/>
      <c r="L305" s="1"/>
      <c r="M305" s="6">
        <f t="shared" ca="1" si="4"/>
        <v>0</v>
      </c>
      <c r="N305" s="1"/>
    </row>
    <row r="306" spans="1:14">
      <c r="A306" s="1"/>
      <c r="B306" s="1"/>
      <c r="C306" s="1"/>
      <c r="D306" s="1"/>
      <c r="E306" s="1"/>
      <c r="F306" s="1"/>
      <c r="G306" s="1"/>
      <c r="H306" s="1"/>
      <c r="I306" s="8"/>
      <c r="J306" s="8"/>
      <c r="K306" s="8"/>
      <c r="L306" s="1"/>
      <c r="M306" s="6">
        <f t="shared" ca="1" si="4"/>
        <v>0</v>
      </c>
      <c r="N306" s="1"/>
    </row>
    <row r="307" spans="1:14">
      <c r="A307" s="1"/>
      <c r="B307" s="1"/>
      <c r="C307" s="1"/>
      <c r="D307" s="1"/>
      <c r="E307" s="1"/>
      <c r="F307" s="1"/>
      <c r="G307" s="1"/>
      <c r="H307" s="1"/>
      <c r="I307" s="8"/>
      <c r="J307" s="8"/>
      <c r="K307" s="8"/>
      <c r="L307" s="1"/>
      <c r="M307" s="6">
        <f t="shared" ca="1" si="4"/>
        <v>0</v>
      </c>
      <c r="N307" s="1"/>
    </row>
    <row r="308" spans="1:14">
      <c r="A308" s="1"/>
      <c r="B308" s="1"/>
      <c r="C308" s="1"/>
      <c r="D308" s="1"/>
      <c r="E308" s="1"/>
      <c r="F308" s="1"/>
      <c r="G308" s="1"/>
      <c r="H308" s="1"/>
      <c r="I308" s="8"/>
      <c r="J308" s="8"/>
      <c r="K308" s="8"/>
      <c r="L308" s="1"/>
      <c r="M308" s="6">
        <f t="shared" ca="1" si="4"/>
        <v>0</v>
      </c>
      <c r="N308" s="1"/>
    </row>
    <row r="309" spans="1:14">
      <c r="A309" s="1"/>
      <c r="B309" s="1"/>
      <c r="C309" s="1"/>
      <c r="D309" s="1"/>
      <c r="E309" s="1"/>
      <c r="F309" s="1"/>
      <c r="G309" s="1"/>
      <c r="H309" s="1"/>
      <c r="I309" s="8"/>
      <c r="J309" s="8"/>
      <c r="K309" s="8"/>
      <c r="L309" s="1"/>
      <c r="M309" s="6">
        <f t="shared" ca="1" si="4"/>
        <v>0</v>
      </c>
      <c r="N309" s="1"/>
    </row>
    <row r="310" spans="1:14">
      <c r="A310" s="1"/>
      <c r="B310" s="1"/>
      <c r="C310" s="1"/>
      <c r="D310" s="1"/>
      <c r="E310" s="1"/>
      <c r="F310" s="1"/>
      <c r="G310" s="1"/>
      <c r="H310" s="1"/>
      <c r="I310" s="8"/>
      <c r="J310" s="8"/>
      <c r="K310" s="8"/>
      <c r="L310" s="1"/>
      <c r="M310" s="6">
        <f t="shared" ca="1" si="4"/>
        <v>0</v>
      </c>
      <c r="N310" s="1"/>
    </row>
    <row r="311" spans="1:14">
      <c r="A311" s="1"/>
      <c r="B311" s="1"/>
      <c r="C311" s="1"/>
      <c r="D311" s="1"/>
      <c r="E311" s="1"/>
      <c r="F311" s="1"/>
      <c r="G311" s="1"/>
      <c r="H311" s="1"/>
      <c r="I311" s="8"/>
      <c r="J311" s="8"/>
      <c r="K311" s="8"/>
      <c r="L311" s="1"/>
      <c r="M311" s="6">
        <f t="shared" ca="1" si="4"/>
        <v>0</v>
      </c>
      <c r="N311" s="1"/>
    </row>
    <row r="312" spans="1:14">
      <c r="A312" s="1"/>
      <c r="B312" s="1"/>
      <c r="C312" s="1"/>
      <c r="D312" s="1"/>
      <c r="E312" s="1"/>
      <c r="F312" s="1"/>
      <c r="G312" s="1"/>
      <c r="H312" s="1"/>
      <c r="I312" s="8"/>
      <c r="J312" s="8"/>
      <c r="K312" s="8"/>
      <c r="L312" s="1"/>
      <c r="M312" s="6">
        <f t="shared" ca="1" si="4"/>
        <v>0</v>
      </c>
      <c r="N312" s="1"/>
    </row>
    <row r="313" spans="1:14">
      <c r="A313" s="1"/>
      <c r="B313" s="1"/>
      <c r="C313" s="1"/>
      <c r="D313" s="1"/>
      <c r="E313" s="1"/>
      <c r="F313" s="1"/>
      <c r="G313" s="1"/>
      <c r="H313" s="1"/>
      <c r="I313" s="8"/>
      <c r="J313" s="8"/>
      <c r="K313" s="8"/>
      <c r="L313" s="1"/>
      <c r="M313" s="6">
        <f t="shared" ca="1" si="4"/>
        <v>0</v>
      </c>
      <c r="N313" s="1"/>
    </row>
    <row r="314" spans="1:14">
      <c r="A314" s="1"/>
      <c r="B314" s="1"/>
      <c r="C314" s="1"/>
      <c r="D314" s="1"/>
      <c r="E314" s="1"/>
      <c r="F314" s="1"/>
      <c r="G314" s="1"/>
      <c r="H314" s="1"/>
      <c r="I314" s="8"/>
      <c r="J314" s="8"/>
      <c r="K314" s="8"/>
      <c r="L314" s="1"/>
      <c r="M314" s="6">
        <f t="shared" ca="1" si="4"/>
        <v>0</v>
      </c>
      <c r="N314" s="1"/>
    </row>
    <row r="315" spans="1:14">
      <c r="A315" s="1"/>
      <c r="B315" s="1"/>
      <c r="C315" s="1"/>
      <c r="D315" s="1"/>
      <c r="E315" s="1"/>
      <c r="F315" s="1"/>
      <c r="G315" s="1"/>
      <c r="H315" s="1"/>
      <c r="I315" s="8"/>
      <c r="J315" s="8"/>
      <c r="K315" s="8"/>
      <c r="L315" s="1"/>
      <c r="M315" s="6">
        <f t="shared" ca="1" si="4"/>
        <v>0</v>
      </c>
      <c r="N315" s="1"/>
    </row>
    <row r="316" spans="1:14">
      <c r="A316" s="1"/>
      <c r="B316" s="1"/>
      <c r="C316" s="1"/>
      <c r="D316" s="1"/>
      <c r="E316" s="1"/>
      <c r="F316" s="1"/>
      <c r="G316" s="1"/>
      <c r="H316" s="1"/>
      <c r="I316" s="8"/>
      <c r="J316" s="8"/>
      <c r="K316" s="8"/>
      <c r="L316" s="1"/>
      <c r="M316" s="6">
        <f t="shared" ca="1" si="4"/>
        <v>0</v>
      </c>
      <c r="N316" s="1"/>
    </row>
    <row r="317" spans="1:14">
      <c r="A317" s="1"/>
      <c r="B317" s="1"/>
      <c r="C317" s="1"/>
      <c r="D317" s="1"/>
      <c r="E317" s="1"/>
      <c r="F317" s="1"/>
      <c r="G317" s="1"/>
      <c r="H317" s="1"/>
      <c r="I317" s="8"/>
      <c r="J317" s="8"/>
      <c r="K317" s="8"/>
      <c r="L317" s="1"/>
      <c r="M317" s="6">
        <f t="shared" ca="1" si="4"/>
        <v>0</v>
      </c>
      <c r="N317" s="1"/>
    </row>
    <row r="318" spans="1:14">
      <c r="A318" s="1"/>
      <c r="B318" s="1"/>
      <c r="C318" s="1"/>
      <c r="D318" s="1"/>
      <c r="E318" s="1"/>
      <c r="F318" s="1"/>
      <c r="G318" s="1"/>
      <c r="H318" s="1"/>
      <c r="I318" s="8"/>
      <c r="J318" s="8"/>
      <c r="K318" s="8"/>
      <c r="L318" s="1"/>
      <c r="M318" s="6">
        <f t="shared" ca="1" si="4"/>
        <v>0</v>
      </c>
      <c r="N318" s="1"/>
    </row>
    <row r="319" spans="1:14">
      <c r="A319" s="1"/>
      <c r="B319" s="1"/>
      <c r="C319" s="1"/>
      <c r="D319" s="1"/>
      <c r="E319" s="1"/>
      <c r="F319" s="1"/>
      <c r="G319" s="1"/>
      <c r="H319" s="1"/>
      <c r="I319" s="8"/>
      <c r="J319" s="8"/>
      <c r="K319" s="8"/>
      <c r="L319" s="1"/>
      <c r="M319" s="6">
        <f t="shared" ca="1" si="4"/>
        <v>0</v>
      </c>
      <c r="N319" s="1"/>
    </row>
    <row r="320" spans="1:14">
      <c r="A320" s="1"/>
      <c r="B320" s="1"/>
      <c r="C320" s="1"/>
      <c r="D320" s="1"/>
      <c r="E320" s="1"/>
      <c r="F320" s="1"/>
      <c r="G320" s="1"/>
      <c r="H320" s="1"/>
      <c r="I320" s="8"/>
      <c r="J320" s="8"/>
      <c r="K320" s="8"/>
      <c r="L320" s="1"/>
      <c r="M320" s="6">
        <f t="shared" ca="1" si="4"/>
        <v>0</v>
      </c>
      <c r="N320" s="1"/>
    </row>
    <row r="321" spans="1:14">
      <c r="A321" s="1"/>
      <c r="B321" s="1"/>
      <c r="C321" s="1"/>
      <c r="D321" s="1"/>
      <c r="E321" s="1"/>
      <c r="F321" s="1"/>
      <c r="G321" s="1"/>
      <c r="H321" s="1"/>
      <c r="I321" s="8"/>
      <c r="J321" s="8"/>
      <c r="K321" s="8"/>
      <c r="L321" s="1"/>
      <c r="M321" s="6">
        <f t="shared" ca="1" si="4"/>
        <v>0</v>
      </c>
      <c r="N321" s="1"/>
    </row>
    <row r="322" spans="1:14">
      <c r="A322" s="1"/>
      <c r="B322" s="1"/>
      <c r="C322" s="1"/>
      <c r="D322" s="1"/>
      <c r="E322" s="1"/>
      <c r="F322" s="1"/>
      <c r="G322" s="1"/>
      <c r="H322" s="1"/>
      <c r="I322" s="8"/>
      <c r="J322" s="8"/>
      <c r="K322" s="8"/>
      <c r="L322" s="1"/>
      <c r="M322" s="6">
        <f t="shared" ref="M322:M385" ca="1" si="5">IF(AND(L322&lt;&gt;"Clôturée",J322&lt;&gt;"",TODAY()&gt;J322),TODAY()-J322,0)</f>
        <v>0</v>
      </c>
      <c r="N322" s="1"/>
    </row>
    <row r="323" spans="1:14">
      <c r="A323" s="1"/>
      <c r="B323" s="1"/>
      <c r="C323" s="1"/>
      <c r="D323" s="1"/>
      <c r="E323" s="1"/>
      <c r="F323" s="1"/>
      <c r="G323" s="1"/>
      <c r="H323" s="1"/>
      <c r="I323" s="8"/>
      <c r="J323" s="8"/>
      <c r="K323" s="8"/>
      <c r="L323" s="1"/>
      <c r="M323" s="6">
        <f t="shared" ca="1" si="5"/>
        <v>0</v>
      </c>
      <c r="N323" s="1"/>
    </row>
    <row r="324" spans="1:14">
      <c r="A324" s="1"/>
      <c r="B324" s="1"/>
      <c r="C324" s="1"/>
      <c r="D324" s="1"/>
      <c r="E324" s="1"/>
      <c r="F324" s="1"/>
      <c r="G324" s="1"/>
      <c r="H324" s="1"/>
      <c r="I324" s="8"/>
      <c r="J324" s="8"/>
      <c r="K324" s="8"/>
      <c r="L324" s="1"/>
      <c r="M324" s="6">
        <f t="shared" ca="1" si="5"/>
        <v>0</v>
      </c>
      <c r="N324" s="1"/>
    </row>
    <row r="325" spans="1:14">
      <c r="A325" s="1"/>
      <c r="B325" s="1"/>
      <c r="C325" s="1"/>
      <c r="D325" s="1"/>
      <c r="E325" s="1"/>
      <c r="F325" s="1"/>
      <c r="G325" s="1"/>
      <c r="H325" s="1"/>
      <c r="I325" s="8"/>
      <c r="J325" s="8"/>
      <c r="K325" s="8"/>
      <c r="L325" s="1"/>
      <c r="M325" s="6">
        <f t="shared" ca="1" si="5"/>
        <v>0</v>
      </c>
      <c r="N325" s="1"/>
    </row>
    <row r="326" spans="1:14">
      <c r="A326" s="1"/>
      <c r="B326" s="1"/>
      <c r="C326" s="1"/>
      <c r="D326" s="1"/>
      <c r="E326" s="1"/>
      <c r="F326" s="1"/>
      <c r="G326" s="1"/>
      <c r="H326" s="1"/>
      <c r="I326" s="8"/>
      <c r="J326" s="8"/>
      <c r="K326" s="8"/>
      <c r="L326" s="1"/>
      <c r="M326" s="6">
        <f t="shared" ca="1" si="5"/>
        <v>0</v>
      </c>
      <c r="N326" s="1"/>
    </row>
    <row r="327" spans="1:14">
      <c r="A327" s="1"/>
      <c r="B327" s="1"/>
      <c r="C327" s="1"/>
      <c r="D327" s="1"/>
      <c r="E327" s="1"/>
      <c r="F327" s="1"/>
      <c r="G327" s="1"/>
      <c r="H327" s="1"/>
      <c r="I327" s="8"/>
      <c r="J327" s="8"/>
      <c r="K327" s="8"/>
      <c r="L327" s="1"/>
      <c r="M327" s="6">
        <f t="shared" ca="1" si="5"/>
        <v>0</v>
      </c>
      <c r="N327" s="1"/>
    </row>
    <row r="328" spans="1:14">
      <c r="A328" s="1"/>
      <c r="B328" s="1"/>
      <c r="C328" s="1"/>
      <c r="D328" s="1"/>
      <c r="E328" s="1"/>
      <c r="F328" s="1"/>
      <c r="G328" s="1"/>
      <c r="H328" s="1"/>
      <c r="I328" s="8"/>
      <c r="J328" s="8"/>
      <c r="K328" s="8"/>
      <c r="L328" s="1"/>
      <c r="M328" s="6">
        <f t="shared" ca="1" si="5"/>
        <v>0</v>
      </c>
      <c r="N328" s="1"/>
    </row>
    <row r="329" spans="1:14">
      <c r="A329" s="1"/>
      <c r="B329" s="1"/>
      <c r="C329" s="1"/>
      <c r="D329" s="1"/>
      <c r="E329" s="1"/>
      <c r="F329" s="1"/>
      <c r="G329" s="1"/>
      <c r="H329" s="1"/>
      <c r="I329" s="8"/>
      <c r="J329" s="8"/>
      <c r="K329" s="8"/>
      <c r="L329" s="1"/>
      <c r="M329" s="6">
        <f t="shared" ca="1" si="5"/>
        <v>0</v>
      </c>
      <c r="N329" s="1"/>
    </row>
    <row r="330" spans="1:14">
      <c r="A330" s="1"/>
      <c r="B330" s="1"/>
      <c r="C330" s="1"/>
      <c r="D330" s="1"/>
      <c r="E330" s="1"/>
      <c r="F330" s="1"/>
      <c r="G330" s="1"/>
      <c r="H330" s="1"/>
      <c r="I330" s="8"/>
      <c r="J330" s="8"/>
      <c r="K330" s="8"/>
      <c r="L330" s="1"/>
      <c r="M330" s="6">
        <f t="shared" ca="1" si="5"/>
        <v>0</v>
      </c>
      <c r="N330" s="1"/>
    </row>
    <row r="331" spans="1:14">
      <c r="A331" s="1"/>
      <c r="B331" s="1"/>
      <c r="C331" s="1"/>
      <c r="D331" s="1"/>
      <c r="E331" s="1"/>
      <c r="F331" s="1"/>
      <c r="G331" s="1"/>
      <c r="H331" s="1"/>
      <c r="I331" s="8"/>
      <c r="J331" s="8"/>
      <c r="K331" s="8"/>
      <c r="L331" s="1"/>
      <c r="M331" s="6">
        <f t="shared" ca="1" si="5"/>
        <v>0</v>
      </c>
      <c r="N331" s="1"/>
    </row>
    <row r="332" spans="1:14">
      <c r="A332" s="1"/>
      <c r="B332" s="1"/>
      <c r="C332" s="1"/>
      <c r="D332" s="1"/>
      <c r="E332" s="1"/>
      <c r="F332" s="1"/>
      <c r="G332" s="1"/>
      <c r="H332" s="1"/>
      <c r="I332" s="8"/>
      <c r="J332" s="8"/>
      <c r="K332" s="8"/>
      <c r="L332" s="1"/>
      <c r="M332" s="6">
        <f t="shared" ca="1" si="5"/>
        <v>0</v>
      </c>
      <c r="N332" s="1"/>
    </row>
    <row r="333" spans="1:14">
      <c r="A333" s="1"/>
      <c r="B333" s="1"/>
      <c r="C333" s="1"/>
      <c r="D333" s="1"/>
      <c r="E333" s="1"/>
      <c r="F333" s="1"/>
      <c r="G333" s="1"/>
      <c r="H333" s="1"/>
      <c r="I333" s="8"/>
      <c r="J333" s="8"/>
      <c r="K333" s="8"/>
      <c r="L333" s="1"/>
      <c r="M333" s="6">
        <f t="shared" ca="1" si="5"/>
        <v>0</v>
      </c>
      <c r="N333" s="1"/>
    </row>
    <row r="334" spans="1:14">
      <c r="A334" s="1"/>
      <c r="B334" s="1"/>
      <c r="C334" s="1"/>
      <c r="D334" s="1"/>
      <c r="E334" s="1"/>
      <c r="F334" s="1"/>
      <c r="G334" s="1"/>
      <c r="H334" s="1"/>
      <c r="I334" s="8"/>
      <c r="J334" s="8"/>
      <c r="K334" s="8"/>
      <c r="L334" s="1"/>
      <c r="M334" s="6">
        <f t="shared" ca="1" si="5"/>
        <v>0</v>
      </c>
      <c r="N334" s="1"/>
    </row>
    <row r="335" spans="1:14">
      <c r="A335" s="1"/>
      <c r="B335" s="1"/>
      <c r="C335" s="1"/>
      <c r="D335" s="1"/>
      <c r="E335" s="1"/>
      <c r="F335" s="1"/>
      <c r="G335" s="1"/>
      <c r="H335" s="1"/>
      <c r="I335" s="8"/>
      <c r="J335" s="8"/>
      <c r="K335" s="8"/>
      <c r="L335" s="1"/>
      <c r="M335" s="6">
        <f t="shared" ca="1" si="5"/>
        <v>0</v>
      </c>
      <c r="N335" s="1"/>
    </row>
    <row r="336" spans="1:14">
      <c r="A336" s="1"/>
      <c r="B336" s="1"/>
      <c r="C336" s="1"/>
      <c r="D336" s="1"/>
      <c r="E336" s="1"/>
      <c r="F336" s="1"/>
      <c r="G336" s="1"/>
      <c r="H336" s="1"/>
      <c r="I336" s="8"/>
      <c r="J336" s="8"/>
      <c r="K336" s="8"/>
      <c r="L336" s="1"/>
      <c r="M336" s="6">
        <f t="shared" ca="1" si="5"/>
        <v>0</v>
      </c>
      <c r="N336" s="1"/>
    </row>
    <row r="337" spans="1:14">
      <c r="A337" s="1"/>
      <c r="B337" s="1"/>
      <c r="C337" s="1"/>
      <c r="D337" s="1"/>
      <c r="E337" s="1"/>
      <c r="F337" s="1"/>
      <c r="G337" s="1"/>
      <c r="H337" s="1"/>
      <c r="I337" s="8"/>
      <c r="J337" s="8"/>
      <c r="K337" s="8"/>
      <c r="L337" s="1"/>
      <c r="M337" s="6">
        <f t="shared" ca="1" si="5"/>
        <v>0</v>
      </c>
      <c r="N337" s="1"/>
    </row>
    <row r="338" spans="1:14">
      <c r="A338" s="1"/>
      <c r="B338" s="1"/>
      <c r="C338" s="1"/>
      <c r="D338" s="1"/>
      <c r="E338" s="1"/>
      <c r="F338" s="1"/>
      <c r="G338" s="1"/>
      <c r="H338" s="1"/>
      <c r="I338" s="8"/>
      <c r="J338" s="8"/>
      <c r="K338" s="8"/>
      <c r="L338" s="1"/>
      <c r="M338" s="6">
        <f t="shared" ca="1" si="5"/>
        <v>0</v>
      </c>
      <c r="N338" s="1"/>
    </row>
    <row r="339" spans="1:14">
      <c r="A339" s="1"/>
      <c r="B339" s="1"/>
      <c r="C339" s="1"/>
      <c r="D339" s="1"/>
      <c r="E339" s="1"/>
      <c r="F339" s="1"/>
      <c r="G339" s="1"/>
      <c r="H339" s="1"/>
      <c r="I339" s="8"/>
      <c r="J339" s="8"/>
      <c r="K339" s="8"/>
      <c r="L339" s="1"/>
      <c r="M339" s="6">
        <f t="shared" ca="1" si="5"/>
        <v>0</v>
      </c>
      <c r="N339" s="1"/>
    </row>
    <row r="340" spans="1:14">
      <c r="A340" s="1"/>
      <c r="B340" s="1"/>
      <c r="C340" s="1"/>
      <c r="D340" s="1"/>
      <c r="E340" s="1"/>
      <c r="F340" s="1"/>
      <c r="G340" s="1"/>
      <c r="H340" s="1"/>
      <c r="I340" s="8"/>
      <c r="J340" s="8"/>
      <c r="K340" s="8"/>
      <c r="L340" s="1"/>
      <c r="M340" s="6">
        <f t="shared" ca="1" si="5"/>
        <v>0</v>
      </c>
      <c r="N340" s="1"/>
    </row>
    <row r="341" spans="1:14">
      <c r="A341" s="1"/>
      <c r="B341" s="1"/>
      <c r="C341" s="1"/>
      <c r="D341" s="1"/>
      <c r="E341" s="1"/>
      <c r="F341" s="1"/>
      <c r="G341" s="1"/>
      <c r="H341" s="1"/>
      <c r="I341" s="8"/>
      <c r="J341" s="8"/>
      <c r="K341" s="8"/>
      <c r="L341" s="1"/>
      <c r="M341" s="6">
        <f t="shared" ca="1" si="5"/>
        <v>0</v>
      </c>
      <c r="N341" s="1"/>
    </row>
    <row r="342" spans="1:14">
      <c r="A342" s="1"/>
      <c r="B342" s="1"/>
      <c r="C342" s="1"/>
      <c r="D342" s="1"/>
      <c r="E342" s="1"/>
      <c r="F342" s="1"/>
      <c r="G342" s="1"/>
      <c r="H342" s="1"/>
      <c r="I342" s="8"/>
      <c r="J342" s="8"/>
      <c r="K342" s="8"/>
      <c r="L342" s="1"/>
      <c r="M342" s="6">
        <f t="shared" ca="1" si="5"/>
        <v>0</v>
      </c>
      <c r="N342" s="1"/>
    </row>
    <row r="343" spans="1:14">
      <c r="A343" s="1"/>
      <c r="B343" s="1"/>
      <c r="C343" s="1"/>
      <c r="D343" s="1"/>
      <c r="E343" s="1"/>
      <c r="F343" s="1"/>
      <c r="G343" s="1"/>
      <c r="H343" s="1"/>
      <c r="I343" s="8"/>
      <c r="J343" s="8"/>
      <c r="K343" s="8"/>
      <c r="L343" s="1"/>
      <c r="M343" s="6">
        <f t="shared" ca="1" si="5"/>
        <v>0</v>
      </c>
      <c r="N343" s="1"/>
    </row>
    <row r="344" spans="1:14">
      <c r="A344" s="1"/>
      <c r="B344" s="1"/>
      <c r="C344" s="1"/>
      <c r="D344" s="1"/>
      <c r="E344" s="1"/>
      <c r="F344" s="1"/>
      <c r="G344" s="1"/>
      <c r="H344" s="1"/>
      <c r="I344" s="8"/>
      <c r="J344" s="8"/>
      <c r="K344" s="8"/>
      <c r="L344" s="1"/>
      <c r="M344" s="6">
        <f t="shared" ca="1" si="5"/>
        <v>0</v>
      </c>
      <c r="N344" s="1"/>
    </row>
    <row r="345" spans="1:14">
      <c r="A345" s="1"/>
      <c r="B345" s="1"/>
      <c r="C345" s="1"/>
      <c r="D345" s="1"/>
      <c r="E345" s="1"/>
      <c r="F345" s="1"/>
      <c r="G345" s="1"/>
      <c r="H345" s="1"/>
      <c r="I345" s="8"/>
      <c r="J345" s="8"/>
      <c r="K345" s="8"/>
      <c r="L345" s="1"/>
      <c r="M345" s="6">
        <f t="shared" ca="1" si="5"/>
        <v>0</v>
      </c>
      <c r="N345" s="1"/>
    </row>
    <row r="346" spans="1:14">
      <c r="A346" s="1"/>
      <c r="B346" s="1"/>
      <c r="C346" s="1"/>
      <c r="D346" s="1"/>
      <c r="E346" s="1"/>
      <c r="F346" s="1"/>
      <c r="G346" s="1"/>
      <c r="H346" s="1"/>
      <c r="I346" s="8"/>
      <c r="J346" s="8"/>
      <c r="K346" s="8"/>
      <c r="L346" s="1"/>
      <c r="M346" s="6">
        <f t="shared" ca="1" si="5"/>
        <v>0</v>
      </c>
      <c r="N346" s="1"/>
    </row>
    <row r="347" spans="1:14">
      <c r="A347" s="1"/>
      <c r="B347" s="1"/>
      <c r="C347" s="1"/>
      <c r="D347" s="1"/>
      <c r="E347" s="1"/>
      <c r="F347" s="1"/>
      <c r="G347" s="1"/>
      <c r="H347" s="1"/>
      <c r="I347" s="8"/>
      <c r="J347" s="8"/>
      <c r="K347" s="8"/>
      <c r="L347" s="1"/>
      <c r="M347" s="6">
        <f t="shared" ca="1" si="5"/>
        <v>0</v>
      </c>
      <c r="N347" s="1"/>
    </row>
    <row r="348" spans="1:14">
      <c r="A348" s="1"/>
      <c r="B348" s="1"/>
      <c r="C348" s="1"/>
      <c r="D348" s="1"/>
      <c r="E348" s="1"/>
      <c r="F348" s="1"/>
      <c r="G348" s="1"/>
      <c r="H348" s="1"/>
      <c r="I348" s="8"/>
      <c r="J348" s="8"/>
      <c r="K348" s="8"/>
      <c r="L348" s="1"/>
      <c r="M348" s="6">
        <f t="shared" ca="1" si="5"/>
        <v>0</v>
      </c>
      <c r="N348" s="1"/>
    </row>
    <row r="349" spans="1:14">
      <c r="A349" s="1"/>
      <c r="B349" s="1"/>
      <c r="C349" s="1"/>
      <c r="D349" s="1"/>
      <c r="E349" s="1"/>
      <c r="F349" s="1"/>
      <c r="G349" s="1"/>
      <c r="H349" s="1"/>
      <c r="I349" s="8"/>
      <c r="J349" s="8"/>
      <c r="K349" s="8"/>
      <c r="L349" s="1"/>
      <c r="M349" s="6">
        <f t="shared" ca="1" si="5"/>
        <v>0</v>
      </c>
      <c r="N349" s="1"/>
    </row>
    <row r="350" spans="1:14">
      <c r="A350" s="1"/>
      <c r="B350" s="1"/>
      <c r="C350" s="1"/>
      <c r="D350" s="1"/>
      <c r="E350" s="1"/>
      <c r="F350" s="1"/>
      <c r="G350" s="1"/>
      <c r="H350" s="1"/>
      <c r="I350" s="8"/>
      <c r="J350" s="8"/>
      <c r="K350" s="8"/>
      <c r="L350" s="1"/>
      <c r="M350" s="6">
        <f t="shared" ca="1" si="5"/>
        <v>0</v>
      </c>
      <c r="N350" s="1"/>
    </row>
    <row r="351" spans="1:14">
      <c r="A351" s="1"/>
      <c r="B351" s="1"/>
      <c r="C351" s="1"/>
      <c r="D351" s="1"/>
      <c r="E351" s="1"/>
      <c r="F351" s="1"/>
      <c r="G351" s="1"/>
      <c r="H351" s="1"/>
      <c r="I351" s="8"/>
      <c r="J351" s="8"/>
      <c r="K351" s="8"/>
      <c r="L351" s="1"/>
      <c r="M351" s="6">
        <f t="shared" ca="1" si="5"/>
        <v>0</v>
      </c>
      <c r="N351" s="1"/>
    </row>
    <row r="352" spans="1:14">
      <c r="A352" s="1"/>
      <c r="B352" s="1"/>
      <c r="C352" s="1"/>
      <c r="D352" s="1"/>
      <c r="E352" s="1"/>
      <c r="F352" s="1"/>
      <c r="G352" s="1"/>
      <c r="H352" s="1"/>
      <c r="I352" s="8"/>
      <c r="J352" s="8"/>
      <c r="K352" s="8"/>
      <c r="L352" s="1"/>
      <c r="M352" s="6">
        <f t="shared" ca="1" si="5"/>
        <v>0</v>
      </c>
      <c r="N352" s="1"/>
    </row>
    <row r="353" spans="1:14">
      <c r="A353" s="1"/>
      <c r="B353" s="1"/>
      <c r="C353" s="1"/>
      <c r="D353" s="1"/>
      <c r="E353" s="1"/>
      <c r="F353" s="1"/>
      <c r="G353" s="1"/>
      <c r="H353" s="1"/>
      <c r="I353" s="8"/>
      <c r="J353" s="8"/>
      <c r="K353" s="8"/>
      <c r="L353" s="1"/>
      <c r="M353" s="6">
        <f t="shared" ca="1" si="5"/>
        <v>0</v>
      </c>
      <c r="N353" s="1"/>
    </row>
    <row r="354" spans="1:14">
      <c r="A354" s="1"/>
      <c r="B354" s="1"/>
      <c r="C354" s="1"/>
      <c r="D354" s="1"/>
      <c r="E354" s="1"/>
      <c r="F354" s="1"/>
      <c r="G354" s="1"/>
      <c r="H354" s="1"/>
      <c r="I354" s="8"/>
      <c r="J354" s="8"/>
      <c r="K354" s="8"/>
      <c r="L354" s="1"/>
      <c r="M354" s="6">
        <f t="shared" ca="1" si="5"/>
        <v>0</v>
      </c>
      <c r="N354" s="1"/>
    </row>
    <row r="355" spans="1:14">
      <c r="A355" s="1"/>
      <c r="B355" s="1"/>
      <c r="C355" s="1"/>
      <c r="D355" s="1"/>
      <c r="E355" s="1"/>
      <c r="F355" s="1"/>
      <c r="G355" s="1"/>
      <c r="H355" s="1"/>
      <c r="I355" s="8"/>
      <c r="J355" s="8"/>
      <c r="K355" s="8"/>
      <c r="L355" s="1"/>
      <c r="M355" s="6">
        <f t="shared" ca="1" si="5"/>
        <v>0</v>
      </c>
      <c r="N355" s="1"/>
    </row>
    <row r="356" spans="1:14">
      <c r="A356" s="1"/>
      <c r="B356" s="1"/>
      <c r="C356" s="1"/>
      <c r="D356" s="1"/>
      <c r="E356" s="1"/>
      <c r="F356" s="1"/>
      <c r="G356" s="1"/>
      <c r="H356" s="1"/>
      <c r="I356" s="8"/>
      <c r="J356" s="8"/>
      <c r="K356" s="8"/>
      <c r="L356" s="1"/>
      <c r="M356" s="6">
        <f t="shared" ca="1" si="5"/>
        <v>0</v>
      </c>
      <c r="N356" s="1"/>
    </row>
    <row r="357" spans="1:14">
      <c r="A357" s="1"/>
      <c r="B357" s="1"/>
      <c r="C357" s="1"/>
      <c r="D357" s="1"/>
      <c r="E357" s="1"/>
      <c r="F357" s="1"/>
      <c r="G357" s="1"/>
      <c r="H357" s="1"/>
      <c r="I357" s="8"/>
      <c r="J357" s="8"/>
      <c r="K357" s="8"/>
      <c r="L357" s="1"/>
      <c r="M357" s="6">
        <f t="shared" ca="1" si="5"/>
        <v>0</v>
      </c>
      <c r="N357" s="1"/>
    </row>
    <row r="358" spans="1:14">
      <c r="A358" s="1"/>
      <c r="B358" s="1"/>
      <c r="C358" s="1"/>
      <c r="D358" s="1"/>
      <c r="E358" s="1"/>
      <c r="F358" s="1"/>
      <c r="G358" s="1"/>
      <c r="H358" s="1"/>
      <c r="I358" s="8"/>
      <c r="J358" s="8"/>
      <c r="K358" s="8"/>
      <c r="L358" s="1"/>
      <c r="M358" s="6">
        <f t="shared" ca="1" si="5"/>
        <v>0</v>
      </c>
      <c r="N358" s="1"/>
    </row>
    <row r="359" spans="1:14">
      <c r="A359" s="1"/>
      <c r="B359" s="1"/>
      <c r="C359" s="1"/>
      <c r="D359" s="1"/>
      <c r="E359" s="1"/>
      <c r="F359" s="1"/>
      <c r="G359" s="1"/>
      <c r="H359" s="1"/>
      <c r="I359" s="8"/>
      <c r="J359" s="8"/>
      <c r="K359" s="8"/>
      <c r="L359" s="1"/>
      <c r="M359" s="6">
        <f t="shared" ca="1" si="5"/>
        <v>0</v>
      </c>
      <c r="N359" s="1"/>
    </row>
    <row r="360" spans="1:14">
      <c r="A360" s="1"/>
      <c r="B360" s="1"/>
      <c r="C360" s="1"/>
      <c r="D360" s="1"/>
      <c r="E360" s="1"/>
      <c r="F360" s="1"/>
      <c r="G360" s="1"/>
      <c r="H360" s="1"/>
      <c r="I360" s="8"/>
      <c r="J360" s="8"/>
      <c r="K360" s="8"/>
      <c r="L360" s="1"/>
      <c r="M360" s="6">
        <f t="shared" ca="1" si="5"/>
        <v>0</v>
      </c>
      <c r="N360" s="1"/>
    </row>
    <row r="361" spans="1:14">
      <c r="A361" s="1"/>
      <c r="B361" s="1"/>
      <c r="C361" s="1"/>
      <c r="D361" s="1"/>
      <c r="E361" s="1"/>
      <c r="F361" s="1"/>
      <c r="G361" s="1"/>
      <c r="H361" s="1"/>
      <c r="I361" s="8"/>
      <c r="J361" s="8"/>
      <c r="K361" s="8"/>
      <c r="L361" s="1"/>
      <c r="M361" s="6">
        <f t="shared" ca="1" si="5"/>
        <v>0</v>
      </c>
      <c r="N361" s="1"/>
    </row>
    <row r="362" spans="1:14">
      <c r="A362" s="1"/>
      <c r="B362" s="1"/>
      <c r="C362" s="1"/>
      <c r="D362" s="1"/>
      <c r="E362" s="1"/>
      <c r="F362" s="1"/>
      <c r="G362" s="1"/>
      <c r="H362" s="1"/>
      <c r="I362" s="8"/>
      <c r="J362" s="8"/>
      <c r="K362" s="8"/>
      <c r="L362" s="1"/>
      <c r="M362" s="6">
        <f t="shared" ca="1" si="5"/>
        <v>0</v>
      </c>
      <c r="N362" s="1"/>
    </row>
    <row r="363" spans="1:14">
      <c r="A363" s="1"/>
      <c r="B363" s="1"/>
      <c r="C363" s="1"/>
      <c r="D363" s="1"/>
      <c r="E363" s="1"/>
      <c r="F363" s="1"/>
      <c r="G363" s="1"/>
      <c r="H363" s="1"/>
      <c r="I363" s="8"/>
      <c r="J363" s="8"/>
      <c r="K363" s="8"/>
      <c r="L363" s="1"/>
      <c r="M363" s="6">
        <f t="shared" ca="1" si="5"/>
        <v>0</v>
      </c>
      <c r="N363" s="1"/>
    </row>
    <row r="364" spans="1:14">
      <c r="A364" s="1"/>
      <c r="B364" s="1"/>
      <c r="C364" s="1"/>
      <c r="D364" s="1"/>
      <c r="E364" s="1"/>
      <c r="F364" s="1"/>
      <c r="G364" s="1"/>
      <c r="H364" s="1"/>
      <c r="I364" s="8"/>
      <c r="J364" s="8"/>
      <c r="K364" s="8"/>
      <c r="L364" s="1"/>
      <c r="M364" s="6">
        <f t="shared" ca="1" si="5"/>
        <v>0</v>
      </c>
      <c r="N364" s="1"/>
    </row>
    <row r="365" spans="1:14">
      <c r="A365" s="1"/>
      <c r="B365" s="1"/>
      <c r="C365" s="1"/>
      <c r="D365" s="1"/>
      <c r="E365" s="1"/>
      <c r="F365" s="1"/>
      <c r="G365" s="1"/>
      <c r="H365" s="1"/>
      <c r="I365" s="8"/>
      <c r="J365" s="8"/>
      <c r="K365" s="8"/>
      <c r="L365" s="1"/>
      <c r="M365" s="6">
        <f t="shared" ca="1" si="5"/>
        <v>0</v>
      </c>
      <c r="N365" s="1"/>
    </row>
    <row r="366" spans="1:14">
      <c r="A366" s="1"/>
      <c r="B366" s="1"/>
      <c r="C366" s="1"/>
      <c r="D366" s="1"/>
      <c r="E366" s="1"/>
      <c r="F366" s="1"/>
      <c r="G366" s="1"/>
      <c r="H366" s="1"/>
      <c r="I366" s="8"/>
      <c r="J366" s="8"/>
      <c r="K366" s="8"/>
      <c r="L366" s="1"/>
      <c r="M366" s="6">
        <f t="shared" ca="1" si="5"/>
        <v>0</v>
      </c>
      <c r="N366" s="1"/>
    </row>
    <row r="367" spans="1:14">
      <c r="A367" s="1"/>
      <c r="B367" s="1"/>
      <c r="C367" s="1"/>
      <c r="D367" s="1"/>
      <c r="E367" s="1"/>
      <c r="F367" s="1"/>
      <c r="G367" s="1"/>
      <c r="H367" s="1"/>
      <c r="I367" s="8"/>
      <c r="J367" s="8"/>
      <c r="K367" s="8"/>
      <c r="L367" s="1"/>
      <c r="M367" s="6">
        <f t="shared" ca="1" si="5"/>
        <v>0</v>
      </c>
      <c r="N367" s="1"/>
    </row>
    <row r="368" spans="1:14">
      <c r="A368" s="1"/>
      <c r="B368" s="1"/>
      <c r="C368" s="1"/>
      <c r="D368" s="1"/>
      <c r="E368" s="1"/>
      <c r="F368" s="1"/>
      <c r="G368" s="1"/>
      <c r="H368" s="1"/>
      <c r="I368" s="8"/>
      <c r="J368" s="8"/>
      <c r="K368" s="8"/>
      <c r="L368" s="1"/>
      <c r="M368" s="6">
        <f t="shared" ca="1" si="5"/>
        <v>0</v>
      </c>
      <c r="N368" s="1"/>
    </row>
    <row r="369" spans="1:14">
      <c r="A369" s="1"/>
      <c r="B369" s="1"/>
      <c r="C369" s="1"/>
      <c r="D369" s="1"/>
      <c r="E369" s="1"/>
      <c r="F369" s="1"/>
      <c r="G369" s="1"/>
      <c r="H369" s="1"/>
      <c r="I369" s="8"/>
      <c r="J369" s="8"/>
      <c r="K369" s="8"/>
      <c r="L369" s="1"/>
      <c r="M369" s="6">
        <f t="shared" ca="1" si="5"/>
        <v>0</v>
      </c>
      <c r="N369" s="1"/>
    </row>
    <row r="370" spans="1:14">
      <c r="A370" s="1"/>
      <c r="B370" s="1"/>
      <c r="C370" s="1"/>
      <c r="D370" s="1"/>
      <c r="E370" s="1"/>
      <c r="F370" s="1"/>
      <c r="G370" s="1"/>
      <c r="H370" s="1"/>
      <c r="I370" s="8"/>
      <c r="J370" s="8"/>
      <c r="K370" s="8"/>
      <c r="L370" s="1"/>
      <c r="M370" s="6">
        <f t="shared" ca="1" si="5"/>
        <v>0</v>
      </c>
      <c r="N370" s="1"/>
    </row>
    <row r="371" spans="1:14">
      <c r="A371" s="1"/>
      <c r="B371" s="1"/>
      <c r="C371" s="1"/>
      <c r="D371" s="1"/>
      <c r="E371" s="1"/>
      <c r="F371" s="1"/>
      <c r="G371" s="1"/>
      <c r="H371" s="1"/>
      <c r="I371" s="8"/>
      <c r="J371" s="8"/>
      <c r="K371" s="8"/>
      <c r="L371" s="1"/>
      <c r="M371" s="6">
        <f t="shared" ca="1" si="5"/>
        <v>0</v>
      </c>
      <c r="N371" s="1"/>
    </row>
    <row r="372" spans="1:14">
      <c r="A372" s="1"/>
      <c r="B372" s="1"/>
      <c r="C372" s="1"/>
      <c r="D372" s="1"/>
      <c r="E372" s="1"/>
      <c r="F372" s="1"/>
      <c r="G372" s="1"/>
      <c r="H372" s="1"/>
      <c r="I372" s="8"/>
      <c r="J372" s="8"/>
      <c r="K372" s="8"/>
      <c r="L372" s="1"/>
      <c r="M372" s="6">
        <f t="shared" ca="1" si="5"/>
        <v>0</v>
      </c>
      <c r="N372" s="1"/>
    </row>
    <row r="373" spans="1:14">
      <c r="A373" s="1"/>
      <c r="B373" s="1"/>
      <c r="C373" s="1"/>
      <c r="D373" s="1"/>
      <c r="E373" s="1"/>
      <c r="F373" s="1"/>
      <c r="G373" s="1"/>
      <c r="H373" s="1"/>
      <c r="I373" s="8"/>
      <c r="J373" s="8"/>
      <c r="K373" s="8"/>
      <c r="L373" s="1"/>
      <c r="M373" s="6">
        <f t="shared" ca="1" si="5"/>
        <v>0</v>
      </c>
      <c r="N373" s="1"/>
    </row>
    <row r="374" spans="1:14">
      <c r="A374" s="1"/>
      <c r="B374" s="1"/>
      <c r="C374" s="1"/>
      <c r="D374" s="1"/>
      <c r="E374" s="1"/>
      <c r="F374" s="1"/>
      <c r="G374" s="1"/>
      <c r="H374" s="1"/>
      <c r="I374" s="8"/>
      <c r="J374" s="8"/>
      <c r="K374" s="8"/>
      <c r="L374" s="1"/>
      <c r="M374" s="6">
        <f t="shared" ca="1" si="5"/>
        <v>0</v>
      </c>
      <c r="N374" s="1"/>
    </row>
    <row r="375" spans="1:14">
      <c r="A375" s="1"/>
      <c r="B375" s="1"/>
      <c r="C375" s="1"/>
      <c r="D375" s="1"/>
      <c r="E375" s="1"/>
      <c r="F375" s="1"/>
      <c r="G375" s="1"/>
      <c r="H375" s="1"/>
      <c r="I375" s="8"/>
      <c r="J375" s="8"/>
      <c r="K375" s="8"/>
      <c r="L375" s="1"/>
      <c r="M375" s="6">
        <f t="shared" ca="1" si="5"/>
        <v>0</v>
      </c>
      <c r="N375" s="1"/>
    </row>
    <row r="376" spans="1:14">
      <c r="A376" s="1"/>
      <c r="B376" s="1"/>
      <c r="C376" s="1"/>
      <c r="D376" s="1"/>
      <c r="E376" s="1"/>
      <c r="F376" s="1"/>
      <c r="G376" s="1"/>
      <c r="H376" s="1"/>
      <c r="I376" s="8"/>
      <c r="J376" s="8"/>
      <c r="K376" s="8"/>
      <c r="L376" s="1"/>
      <c r="M376" s="6">
        <f t="shared" ca="1" si="5"/>
        <v>0</v>
      </c>
      <c r="N376" s="1"/>
    </row>
    <row r="377" spans="1:14">
      <c r="A377" s="1"/>
      <c r="B377" s="1"/>
      <c r="C377" s="1"/>
      <c r="D377" s="1"/>
      <c r="E377" s="1"/>
      <c r="F377" s="1"/>
      <c r="G377" s="1"/>
      <c r="H377" s="1"/>
      <c r="I377" s="8"/>
      <c r="J377" s="8"/>
      <c r="K377" s="8"/>
      <c r="L377" s="1"/>
      <c r="M377" s="6">
        <f t="shared" ca="1" si="5"/>
        <v>0</v>
      </c>
      <c r="N377" s="1"/>
    </row>
    <row r="378" spans="1:14">
      <c r="A378" s="1"/>
      <c r="B378" s="1"/>
      <c r="C378" s="1"/>
      <c r="D378" s="1"/>
      <c r="E378" s="1"/>
      <c r="F378" s="1"/>
      <c r="G378" s="1"/>
      <c r="H378" s="1"/>
      <c r="I378" s="8"/>
      <c r="J378" s="8"/>
      <c r="K378" s="8"/>
      <c r="L378" s="1"/>
      <c r="M378" s="6">
        <f t="shared" ca="1" si="5"/>
        <v>0</v>
      </c>
      <c r="N378" s="1"/>
    </row>
    <row r="379" spans="1:14">
      <c r="A379" s="1"/>
      <c r="B379" s="1"/>
      <c r="C379" s="1"/>
      <c r="D379" s="1"/>
      <c r="E379" s="1"/>
      <c r="F379" s="1"/>
      <c r="G379" s="1"/>
      <c r="H379" s="1"/>
      <c r="I379" s="8"/>
      <c r="J379" s="8"/>
      <c r="K379" s="8"/>
      <c r="L379" s="1"/>
      <c r="M379" s="6">
        <f t="shared" ca="1" si="5"/>
        <v>0</v>
      </c>
      <c r="N379" s="1"/>
    </row>
    <row r="380" spans="1:14">
      <c r="A380" s="1"/>
      <c r="B380" s="1"/>
      <c r="C380" s="1"/>
      <c r="D380" s="1"/>
      <c r="E380" s="1"/>
      <c r="F380" s="1"/>
      <c r="G380" s="1"/>
      <c r="H380" s="1"/>
      <c r="I380" s="8"/>
      <c r="J380" s="8"/>
      <c r="K380" s="8"/>
      <c r="L380" s="1"/>
      <c r="M380" s="6">
        <f t="shared" ca="1" si="5"/>
        <v>0</v>
      </c>
      <c r="N380" s="1"/>
    </row>
    <row r="381" spans="1:14">
      <c r="A381" s="1"/>
      <c r="B381" s="1"/>
      <c r="C381" s="1"/>
      <c r="D381" s="1"/>
      <c r="E381" s="1"/>
      <c r="F381" s="1"/>
      <c r="G381" s="1"/>
      <c r="H381" s="1"/>
      <c r="I381" s="8"/>
      <c r="J381" s="8"/>
      <c r="K381" s="8"/>
      <c r="L381" s="1"/>
      <c r="M381" s="6">
        <f t="shared" ca="1" si="5"/>
        <v>0</v>
      </c>
      <c r="N381" s="1"/>
    </row>
    <row r="382" spans="1:14">
      <c r="A382" s="1"/>
      <c r="B382" s="1"/>
      <c r="C382" s="1"/>
      <c r="D382" s="1"/>
      <c r="E382" s="1"/>
      <c r="F382" s="1"/>
      <c r="G382" s="1"/>
      <c r="H382" s="1"/>
      <c r="I382" s="8"/>
      <c r="J382" s="8"/>
      <c r="K382" s="8"/>
      <c r="L382" s="1"/>
      <c r="M382" s="6">
        <f t="shared" ca="1" si="5"/>
        <v>0</v>
      </c>
      <c r="N382" s="1"/>
    </row>
    <row r="383" spans="1:14">
      <c r="A383" s="1"/>
      <c r="B383" s="1"/>
      <c r="C383" s="1"/>
      <c r="D383" s="1"/>
      <c r="E383" s="1"/>
      <c r="F383" s="1"/>
      <c r="G383" s="1"/>
      <c r="H383" s="1"/>
      <c r="I383" s="8"/>
      <c r="J383" s="8"/>
      <c r="K383" s="8"/>
      <c r="L383" s="1"/>
      <c r="M383" s="6">
        <f t="shared" ca="1" si="5"/>
        <v>0</v>
      </c>
      <c r="N383" s="1"/>
    </row>
    <row r="384" spans="1:14">
      <c r="A384" s="1"/>
      <c r="B384" s="1"/>
      <c r="C384" s="1"/>
      <c r="D384" s="1"/>
      <c r="E384" s="1"/>
      <c r="F384" s="1"/>
      <c r="G384" s="1"/>
      <c r="H384" s="1"/>
      <c r="I384" s="8"/>
      <c r="J384" s="8"/>
      <c r="K384" s="8"/>
      <c r="L384" s="1"/>
      <c r="M384" s="6">
        <f t="shared" ca="1" si="5"/>
        <v>0</v>
      </c>
      <c r="N384" s="1"/>
    </row>
    <row r="385" spans="1:14">
      <c r="A385" s="1"/>
      <c r="B385" s="1"/>
      <c r="C385" s="1"/>
      <c r="D385" s="1"/>
      <c r="E385" s="1"/>
      <c r="F385" s="1"/>
      <c r="G385" s="1"/>
      <c r="H385" s="1"/>
      <c r="I385" s="8"/>
      <c r="J385" s="8"/>
      <c r="K385" s="8"/>
      <c r="L385" s="1"/>
      <c r="M385" s="6">
        <f t="shared" ca="1" si="5"/>
        <v>0</v>
      </c>
      <c r="N385" s="1"/>
    </row>
    <row r="386" spans="1:14">
      <c r="A386" s="1"/>
      <c r="B386" s="1"/>
      <c r="C386" s="1"/>
      <c r="D386" s="1"/>
      <c r="E386" s="1"/>
      <c r="F386" s="1"/>
      <c r="G386" s="1"/>
      <c r="H386" s="1"/>
      <c r="I386" s="8"/>
      <c r="J386" s="8"/>
      <c r="K386" s="8"/>
      <c r="L386" s="1"/>
      <c r="M386" s="6">
        <f t="shared" ref="M386:M449" ca="1" si="6">IF(AND(L386&lt;&gt;"Clôturée",J386&lt;&gt;"",TODAY()&gt;J386),TODAY()-J386,0)</f>
        <v>0</v>
      </c>
      <c r="N386" s="1"/>
    </row>
    <row r="387" spans="1:14">
      <c r="A387" s="1"/>
      <c r="B387" s="1"/>
      <c r="C387" s="1"/>
      <c r="D387" s="1"/>
      <c r="E387" s="1"/>
      <c r="F387" s="1"/>
      <c r="G387" s="1"/>
      <c r="H387" s="1"/>
      <c r="I387" s="8"/>
      <c r="J387" s="8"/>
      <c r="K387" s="8"/>
      <c r="L387" s="1"/>
      <c r="M387" s="6">
        <f t="shared" ca="1" si="6"/>
        <v>0</v>
      </c>
      <c r="N387" s="1"/>
    </row>
    <row r="388" spans="1:14">
      <c r="A388" s="1"/>
      <c r="B388" s="1"/>
      <c r="C388" s="1"/>
      <c r="D388" s="1"/>
      <c r="E388" s="1"/>
      <c r="F388" s="1"/>
      <c r="G388" s="1"/>
      <c r="H388" s="1"/>
      <c r="I388" s="8"/>
      <c r="J388" s="8"/>
      <c r="K388" s="8"/>
      <c r="L388" s="1"/>
      <c r="M388" s="6">
        <f t="shared" ca="1" si="6"/>
        <v>0</v>
      </c>
      <c r="N388" s="1"/>
    </row>
    <row r="389" spans="1:14">
      <c r="A389" s="1"/>
      <c r="B389" s="1"/>
      <c r="C389" s="1"/>
      <c r="D389" s="1"/>
      <c r="E389" s="1"/>
      <c r="F389" s="1"/>
      <c r="G389" s="1"/>
      <c r="H389" s="1"/>
      <c r="I389" s="8"/>
      <c r="J389" s="8"/>
      <c r="K389" s="8"/>
      <c r="L389" s="1"/>
      <c r="M389" s="6">
        <f t="shared" ca="1" si="6"/>
        <v>0</v>
      </c>
      <c r="N389" s="1"/>
    </row>
    <row r="390" spans="1:14">
      <c r="A390" s="1"/>
      <c r="B390" s="1"/>
      <c r="C390" s="1"/>
      <c r="D390" s="1"/>
      <c r="E390" s="1"/>
      <c r="F390" s="1"/>
      <c r="G390" s="1"/>
      <c r="H390" s="1"/>
      <c r="I390" s="8"/>
      <c r="J390" s="8"/>
      <c r="K390" s="8"/>
      <c r="L390" s="1"/>
      <c r="M390" s="6">
        <f t="shared" ca="1" si="6"/>
        <v>0</v>
      </c>
      <c r="N390" s="1"/>
    </row>
    <row r="391" spans="1:14">
      <c r="A391" s="1"/>
      <c r="B391" s="1"/>
      <c r="C391" s="1"/>
      <c r="D391" s="1"/>
      <c r="E391" s="1"/>
      <c r="F391" s="1"/>
      <c r="G391" s="1"/>
      <c r="H391" s="1"/>
      <c r="I391" s="8"/>
      <c r="J391" s="8"/>
      <c r="K391" s="8"/>
      <c r="L391" s="1"/>
      <c r="M391" s="6">
        <f t="shared" ca="1" si="6"/>
        <v>0</v>
      </c>
      <c r="N391" s="1"/>
    </row>
    <row r="392" spans="1:14">
      <c r="A392" s="1"/>
      <c r="B392" s="1"/>
      <c r="C392" s="1"/>
      <c r="D392" s="1"/>
      <c r="E392" s="1"/>
      <c r="F392" s="1"/>
      <c r="G392" s="1"/>
      <c r="H392" s="1"/>
      <c r="I392" s="8"/>
      <c r="J392" s="8"/>
      <c r="K392" s="8"/>
      <c r="L392" s="1"/>
      <c r="M392" s="6">
        <f t="shared" ca="1" si="6"/>
        <v>0</v>
      </c>
      <c r="N392" s="1"/>
    </row>
    <row r="393" spans="1:14">
      <c r="A393" s="1"/>
      <c r="B393" s="1"/>
      <c r="C393" s="1"/>
      <c r="D393" s="1"/>
      <c r="E393" s="1"/>
      <c r="F393" s="1"/>
      <c r="G393" s="1"/>
      <c r="H393" s="1"/>
      <c r="I393" s="8"/>
      <c r="J393" s="8"/>
      <c r="K393" s="8"/>
      <c r="L393" s="1"/>
      <c r="M393" s="6">
        <f t="shared" ca="1" si="6"/>
        <v>0</v>
      </c>
      <c r="N393" s="1"/>
    </row>
    <row r="394" spans="1:14">
      <c r="A394" s="1"/>
      <c r="B394" s="1"/>
      <c r="C394" s="1"/>
      <c r="D394" s="1"/>
      <c r="E394" s="1"/>
      <c r="F394" s="1"/>
      <c r="G394" s="1"/>
      <c r="H394" s="1"/>
      <c r="I394" s="8"/>
      <c r="J394" s="8"/>
      <c r="K394" s="8"/>
      <c r="L394" s="1"/>
      <c r="M394" s="6">
        <f t="shared" ca="1" si="6"/>
        <v>0</v>
      </c>
      <c r="N394" s="1"/>
    </row>
    <row r="395" spans="1:14">
      <c r="A395" s="1"/>
      <c r="B395" s="1"/>
      <c r="C395" s="1"/>
      <c r="D395" s="1"/>
      <c r="E395" s="1"/>
      <c r="F395" s="1"/>
      <c r="G395" s="1"/>
      <c r="H395" s="1"/>
      <c r="I395" s="8"/>
      <c r="J395" s="8"/>
      <c r="K395" s="8"/>
      <c r="L395" s="1"/>
      <c r="M395" s="6">
        <f t="shared" ca="1" si="6"/>
        <v>0</v>
      </c>
      <c r="N395" s="1"/>
    </row>
    <row r="396" spans="1:14">
      <c r="A396" s="1"/>
      <c r="B396" s="1"/>
      <c r="C396" s="1"/>
      <c r="D396" s="1"/>
      <c r="E396" s="1"/>
      <c r="F396" s="1"/>
      <c r="G396" s="1"/>
      <c r="H396" s="1"/>
      <c r="I396" s="8"/>
      <c r="J396" s="8"/>
      <c r="K396" s="8"/>
      <c r="L396" s="1"/>
      <c r="M396" s="6">
        <f t="shared" ca="1" si="6"/>
        <v>0</v>
      </c>
      <c r="N396" s="1"/>
    </row>
    <row r="397" spans="1:14">
      <c r="A397" s="1"/>
      <c r="B397" s="1"/>
      <c r="C397" s="1"/>
      <c r="D397" s="1"/>
      <c r="E397" s="1"/>
      <c r="F397" s="1"/>
      <c r="G397" s="1"/>
      <c r="H397" s="1"/>
      <c r="I397" s="8"/>
      <c r="J397" s="8"/>
      <c r="K397" s="8"/>
      <c r="L397" s="1"/>
      <c r="M397" s="6">
        <f t="shared" ca="1" si="6"/>
        <v>0</v>
      </c>
      <c r="N397" s="1"/>
    </row>
    <row r="398" spans="1:14">
      <c r="A398" s="1"/>
      <c r="B398" s="1"/>
      <c r="C398" s="1"/>
      <c r="D398" s="1"/>
      <c r="E398" s="1"/>
      <c r="F398" s="1"/>
      <c r="G398" s="1"/>
      <c r="H398" s="1"/>
      <c r="I398" s="8"/>
      <c r="J398" s="8"/>
      <c r="K398" s="8"/>
      <c r="L398" s="1"/>
      <c r="M398" s="6">
        <f t="shared" ca="1" si="6"/>
        <v>0</v>
      </c>
      <c r="N398" s="1"/>
    </row>
    <row r="399" spans="1:14">
      <c r="A399" s="1"/>
      <c r="B399" s="1"/>
      <c r="C399" s="1"/>
      <c r="D399" s="1"/>
      <c r="E399" s="1"/>
      <c r="F399" s="1"/>
      <c r="G399" s="1"/>
      <c r="H399" s="1"/>
      <c r="I399" s="8"/>
      <c r="J399" s="8"/>
      <c r="K399" s="8"/>
      <c r="L399" s="1"/>
      <c r="M399" s="6">
        <f t="shared" ca="1" si="6"/>
        <v>0</v>
      </c>
      <c r="N399" s="1"/>
    </row>
    <row r="400" spans="1:14">
      <c r="A400" s="1"/>
      <c r="B400" s="1"/>
      <c r="C400" s="1"/>
      <c r="D400" s="1"/>
      <c r="E400" s="1"/>
      <c r="F400" s="1"/>
      <c r="G400" s="1"/>
      <c r="H400" s="1"/>
      <c r="I400" s="8"/>
      <c r="J400" s="8"/>
      <c r="K400" s="8"/>
      <c r="L400" s="1"/>
      <c r="M400" s="6">
        <f t="shared" ca="1" si="6"/>
        <v>0</v>
      </c>
      <c r="N400" s="1"/>
    </row>
    <row r="401" spans="1:14">
      <c r="A401" s="1"/>
      <c r="B401" s="1"/>
      <c r="C401" s="1"/>
      <c r="D401" s="1"/>
      <c r="E401" s="1"/>
      <c r="F401" s="1"/>
      <c r="G401" s="1"/>
      <c r="H401" s="1"/>
      <c r="I401" s="8"/>
      <c r="J401" s="8"/>
      <c r="K401" s="8"/>
      <c r="L401" s="1"/>
      <c r="M401" s="6">
        <f t="shared" ca="1" si="6"/>
        <v>0</v>
      </c>
      <c r="N401" s="1"/>
    </row>
    <row r="402" spans="1:14">
      <c r="A402" s="1"/>
      <c r="B402" s="1"/>
      <c r="C402" s="1"/>
      <c r="D402" s="1"/>
      <c r="E402" s="1"/>
      <c r="F402" s="1"/>
      <c r="G402" s="1"/>
      <c r="H402" s="1"/>
      <c r="I402" s="8"/>
      <c r="J402" s="8"/>
      <c r="K402" s="8"/>
      <c r="L402" s="1"/>
      <c r="M402" s="6">
        <f t="shared" ca="1" si="6"/>
        <v>0</v>
      </c>
      <c r="N402" s="1"/>
    </row>
    <row r="403" spans="1:14">
      <c r="A403" s="1"/>
      <c r="B403" s="1"/>
      <c r="C403" s="1"/>
      <c r="D403" s="1"/>
      <c r="E403" s="1"/>
      <c r="F403" s="1"/>
      <c r="G403" s="1"/>
      <c r="H403" s="1"/>
      <c r="I403" s="8"/>
      <c r="J403" s="8"/>
      <c r="K403" s="8"/>
      <c r="L403" s="1"/>
      <c r="M403" s="6">
        <f t="shared" ca="1" si="6"/>
        <v>0</v>
      </c>
      <c r="N403" s="1"/>
    </row>
    <row r="404" spans="1:14">
      <c r="A404" s="1"/>
      <c r="B404" s="1"/>
      <c r="C404" s="1"/>
      <c r="D404" s="1"/>
      <c r="E404" s="1"/>
      <c r="F404" s="1"/>
      <c r="G404" s="1"/>
      <c r="H404" s="1"/>
      <c r="I404" s="8"/>
      <c r="J404" s="8"/>
      <c r="K404" s="8"/>
      <c r="L404" s="1"/>
      <c r="M404" s="6">
        <f t="shared" ca="1" si="6"/>
        <v>0</v>
      </c>
      <c r="N404" s="1"/>
    </row>
    <row r="405" spans="1:14">
      <c r="A405" s="1"/>
      <c r="B405" s="1"/>
      <c r="C405" s="1"/>
      <c r="D405" s="1"/>
      <c r="E405" s="1"/>
      <c r="F405" s="1"/>
      <c r="G405" s="1"/>
      <c r="H405" s="1"/>
      <c r="I405" s="8"/>
      <c r="J405" s="8"/>
      <c r="K405" s="8"/>
      <c r="L405" s="1"/>
      <c r="M405" s="6">
        <f t="shared" ca="1" si="6"/>
        <v>0</v>
      </c>
      <c r="N405" s="1"/>
    </row>
    <row r="406" spans="1:14">
      <c r="A406" s="1"/>
      <c r="B406" s="1"/>
      <c r="C406" s="1"/>
      <c r="D406" s="1"/>
      <c r="E406" s="1"/>
      <c r="F406" s="1"/>
      <c r="G406" s="1"/>
      <c r="H406" s="1"/>
      <c r="I406" s="8"/>
      <c r="J406" s="8"/>
      <c r="K406" s="8"/>
      <c r="L406" s="1"/>
      <c r="M406" s="6">
        <f t="shared" ca="1" si="6"/>
        <v>0</v>
      </c>
      <c r="N406" s="1"/>
    </row>
    <row r="407" spans="1:14">
      <c r="A407" s="1"/>
      <c r="B407" s="1"/>
      <c r="C407" s="1"/>
      <c r="D407" s="1"/>
      <c r="E407" s="1"/>
      <c r="F407" s="1"/>
      <c r="G407" s="1"/>
      <c r="H407" s="1"/>
      <c r="I407" s="8"/>
      <c r="J407" s="8"/>
      <c r="K407" s="8"/>
      <c r="L407" s="1"/>
      <c r="M407" s="6">
        <f t="shared" ca="1" si="6"/>
        <v>0</v>
      </c>
      <c r="N407" s="1"/>
    </row>
    <row r="408" spans="1:14">
      <c r="A408" s="1"/>
      <c r="B408" s="1"/>
      <c r="C408" s="1"/>
      <c r="D408" s="1"/>
      <c r="E408" s="1"/>
      <c r="F408" s="1"/>
      <c r="G408" s="1"/>
      <c r="H408" s="1"/>
      <c r="I408" s="8"/>
      <c r="J408" s="8"/>
      <c r="K408" s="8"/>
      <c r="L408" s="1"/>
      <c r="M408" s="6">
        <f t="shared" ca="1" si="6"/>
        <v>0</v>
      </c>
      <c r="N408" s="1"/>
    </row>
    <row r="409" spans="1:14">
      <c r="A409" s="1"/>
      <c r="B409" s="1"/>
      <c r="C409" s="1"/>
      <c r="D409" s="1"/>
      <c r="E409" s="1"/>
      <c r="F409" s="1"/>
      <c r="G409" s="1"/>
      <c r="H409" s="1"/>
      <c r="I409" s="8"/>
      <c r="J409" s="8"/>
      <c r="K409" s="8"/>
      <c r="L409" s="1"/>
      <c r="M409" s="6">
        <f t="shared" ca="1" si="6"/>
        <v>0</v>
      </c>
      <c r="N409" s="1"/>
    </row>
    <row r="410" spans="1:14">
      <c r="A410" s="1"/>
      <c r="B410" s="1"/>
      <c r="C410" s="1"/>
      <c r="D410" s="1"/>
      <c r="E410" s="1"/>
      <c r="F410" s="1"/>
      <c r="G410" s="1"/>
      <c r="H410" s="1"/>
      <c r="I410" s="8"/>
      <c r="J410" s="8"/>
      <c r="K410" s="8"/>
      <c r="L410" s="1"/>
      <c r="M410" s="6">
        <f t="shared" ca="1" si="6"/>
        <v>0</v>
      </c>
      <c r="N410" s="1"/>
    </row>
    <row r="411" spans="1:14">
      <c r="A411" s="1"/>
      <c r="B411" s="1"/>
      <c r="C411" s="1"/>
      <c r="D411" s="1"/>
      <c r="E411" s="1"/>
      <c r="F411" s="1"/>
      <c r="G411" s="1"/>
      <c r="H411" s="1"/>
      <c r="I411" s="8"/>
      <c r="J411" s="8"/>
      <c r="K411" s="8"/>
      <c r="L411" s="1"/>
      <c r="M411" s="6">
        <f t="shared" ca="1" si="6"/>
        <v>0</v>
      </c>
      <c r="N411" s="1"/>
    </row>
    <row r="412" spans="1:14">
      <c r="A412" s="1"/>
      <c r="B412" s="1"/>
      <c r="C412" s="1"/>
      <c r="D412" s="1"/>
      <c r="E412" s="1"/>
      <c r="F412" s="1"/>
      <c r="G412" s="1"/>
      <c r="H412" s="1"/>
      <c r="I412" s="8"/>
      <c r="J412" s="8"/>
      <c r="K412" s="8"/>
      <c r="L412" s="1"/>
      <c r="M412" s="6">
        <f t="shared" ca="1" si="6"/>
        <v>0</v>
      </c>
      <c r="N412" s="1"/>
    </row>
    <row r="413" spans="1:14">
      <c r="A413" s="1"/>
      <c r="B413" s="1"/>
      <c r="C413" s="1"/>
      <c r="D413" s="1"/>
      <c r="E413" s="1"/>
      <c r="F413" s="1"/>
      <c r="G413" s="1"/>
      <c r="H413" s="1"/>
      <c r="I413" s="8"/>
      <c r="J413" s="8"/>
      <c r="K413" s="8"/>
      <c r="L413" s="1"/>
      <c r="M413" s="6">
        <f t="shared" ca="1" si="6"/>
        <v>0</v>
      </c>
      <c r="N413" s="1"/>
    </row>
    <row r="414" spans="1:14">
      <c r="A414" s="1"/>
      <c r="B414" s="1"/>
      <c r="C414" s="1"/>
      <c r="D414" s="1"/>
      <c r="E414" s="1"/>
      <c r="F414" s="1"/>
      <c r="G414" s="1"/>
      <c r="H414" s="1"/>
      <c r="I414" s="8"/>
      <c r="J414" s="8"/>
      <c r="K414" s="8"/>
      <c r="L414" s="1"/>
      <c r="M414" s="6">
        <f t="shared" ca="1" si="6"/>
        <v>0</v>
      </c>
      <c r="N414" s="1"/>
    </row>
    <row r="415" spans="1:14">
      <c r="A415" s="1"/>
      <c r="B415" s="1"/>
      <c r="C415" s="1"/>
      <c r="D415" s="1"/>
      <c r="E415" s="1"/>
      <c r="F415" s="1"/>
      <c r="G415" s="1"/>
      <c r="H415" s="1"/>
      <c r="I415" s="8"/>
      <c r="J415" s="8"/>
      <c r="K415" s="8"/>
      <c r="L415" s="1"/>
      <c r="M415" s="6">
        <f t="shared" ca="1" si="6"/>
        <v>0</v>
      </c>
      <c r="N415" s="1"/>
    </row>
    <row r="416" spans="1:14">
      <c r="A416" s="1"/>
      <c r="B416" s="1"/>
      <c r="C416" s="1"/>
      <c r="D416" s="1"/>
      <c r="E416" s="1"/>
      <c r="F416" s="1"/>
      <c r="G416" s="1"/>
      <c r="H416" s="1"/>
      <c r="I416" s="8"/>
      <c r="J416" s="8"/>
      <c r="K416" s="8"/>
      <c r="L416" s="1"/>
      <c r="M416" s="6">
        <f t="shared" ca="1" si="6"/>
        <v>0</v>
      </c>
      <c r="N416" s="1"/>
    </row>
    <row r="417" spans="1:14">
      <c r="A417" s="1"/>
      <c r="B417" s="1"/>
      <c r="C417" s="1"/>
      <c r="D417" s="1"/>
      <c r="E417" s="1"/>
      <c r="F417" s="1"/>
      <c r="G417" s="1"/>
      <c r="H417" s="1"/>
      <c r="I417" s="8"/>
      <c r="J417" s="8"/>
      <c r="K417" s="8"/>
      <c r="L417" s="1"/>
      <c r="M417" s="6">
        <f t="shared" ca="1" si="6"/>
        <v>0</v>
      </c>
      <c r="N417" s="1"/>
    </row>
    <row r="418" spans="1:14">
      <c r="A418" s="1"/>
      <c r="B418" s="1"/>
      <c r="C418" s="1"/>
      <c r="D418" s="1"/>
      <c r="E418" s="1"/>
      <c r="F418" s="1"/>
      <c r="G418" s="1"/>
      <c r="H418" s="1"/>
      <c r="I418" s="8"/>
      <c r="J418" s="8"/>
      <c r="K418" s="8"/>
      <c r="L418" s="1"/>
      <c r="M418" s="6">
        <f t="shared" ca="1" si="6"/>
        <v>0</v>
      </c>
      <c r="N418" s="1"/>
    </row>
    <row r="419" spans="1:14">
      <c r="A419" s="1"/>
      <c r="B419" s="1"/>
      <c r="C419" s="1"/>
      <c r="D419" s="1"/>
      <c r="E419" s="1"/>
      <c r="F419" s="1"/>
      <c r="G419" s="1"/>
      <c r="H419" s="1"/>
      <c r="I419" s="8"/>
      <c r="J419" s="8"/>
      <c r="K419" s="8"/>
      <c r="L419" s="1"/>
      <c r="M419" s="6">
        <f t="shared" ca="1" si="6"/>
        <v>0</v>
      </c>
      <c r="N419" s="1"/>
    </row>
    <row r="420" spans="1:14">
      <c r="A420" s="1"/>
      <c r="B420" s="1"/>
      <c r="C420" s="1"/>
      <c r="D420" s="1"/>
      <c r="E420" s="1"/>
      <c r="F420" s="1"/>
      <c r="G420" s="1"/>
      <c r="H420" s="1"/>
      <c r="I420" s="8"/>
      <c r="J420" s="8"/>
      <c r="K420" s="8"/>
      <c r="L420" s="1"/>
      <c r="M420" s="6">
        <f t="shared" ca="1" si="6"/>
        <v>0</v>
      </c>
      <c r="N420" s="1"/>
    </row>
    <row r="421" spans="1:14">
      <c r="A421" s="1"/>
      <c r="B421" s="1"/>
      <c r="C421" s="1"/>
      <c r="D421" s="1"/>
      <c r="E421" s="1"/>
      <c r="F421" s="1"/>
      <c r="G421" s="1"/>
      <c r="H421" s="1"/>
      <c r="I421" s="8"/>
      <c r="J421" s="8"/>
      <c r="K421" s="8"/>
      <c r="L421" s="1"/>
      <c r="M421" s="6">
        <f t="shared" ca="1" si="6"/>
        <v>0</v>
      </c>
      <c r="N421" s="1"/>
    </row>
    <row r="422" spans="1:14">
      <c r="A422" s="1"/>
      <c r="B422" s="1"/>
      <c r="C422" s="1"/>
      <c r="D422" s="1"/>
      <c r="E422" s="1"/>
      <c r="F422" s="1"/>
      <c r="G422" s="1"/>
      <c r="H422" s="1"/>
      <c r="I422" s="8"/>
      <c r="J422" s="8"/>
      <c r="K422" s="8"/>
      <c r="L422" s="1"/>
      <c r="M422" s="6">
        <f t="shared" ca="1" si="6"/>
        <v>0</v>
      </c>
      <c r="N422" s="1"/>
    </row>
    <row r="423" spans="1:14">
      <c r="A423" s="1"/>
      <c r="B423" s="1"/>
      <c r="C423" s="1"/>
      <c r="D423" s="1"/>
      <c r="E423" s="1"/>
      <c r="F423" s="1"/>
      <c r="G423" s="1"/>
      <c r="H423" s="1"/>
      <c r="I423" s="8"/>
      <c r="J423" s="8"/>
      <c r="K423" s="8"/>
      <c r="L423" s="1"/>
      <c r="M423" s="6">
        <f t="shared" ca="1" si="6"/>
        <v>0</v>
      </c>
      <c r="N423" s="1"/>
    </row>
    <row r="424" spans="1:14">
      <c r="A424" s="1"/>
      <c r="B424" s="1"/>
      <c r="C424" s="1"/>
      <c r="D424" s="1"/>
      <c r="E424" s="1"/>
      <c r="F424" s="1"/>
      <c r="G424" s="1"/>
      <c r="H424" s="1"/>
      <c r="I424" s="8"/>
      <c r="J424" s="8"/>
      <c r="K424" s="8"/>
      <c r="L424" s="1"/>
      <c r="M424" s="6">
        <f t="shared" ca="1" si="6"/>
        <v>0</v>
      </c>
      <c r="N424" s="1"/>
    </row>
    <row r="425" spans="1:14">
      <c r="A425" s="1"/>
      <c r="B425" s="1"/>
      <c r="C425" s="1"/>
      <c r="D425" s="1"/>
      <c r="E425" s="1"/>
      <c r="F425" s="1"/>
      <c r="G425" s="1"/>
      <c r="H425" s="1"/>
      <c r="I425" s="8"/>
      <c r="J425" s="8"/>
      <c r="K425" s="8"/>
      <c r="L425" s="1"/>
      <c r="M425" s="6">
        <f t="shared" ca="1" si="6"/>
        <v>0</v>
      </c>
      <c r="N425" s="1"/>
    </row>
    <row r="426" spans="1:14">
      <c r="A426" s="1"/>
      <c r="B426" s="1"/>
      <c r="C426" s="1"/>
      <c r="D426" s="1"/>
      <c r="E426" s="1"/>
      <c r="F426" s="1"/>
      <c r="G426" s="1"/>
      <c r="H426" s="1"/>
      <c r="I426" s="8"/>
      <c r="J426" s="8"/>
      <c r="K426" s="8"/>
      <c r="L426" s="1"/>
      <c r="M426" s="6">
        <f t="shared" ca="1" si="6"/>
        <v>0</v>
      </c>
      <c r="N426" s="1"/>
    </row>
    <row r="427" spans="1:14">
      <c r="A427" s="1"/>
      <c r="B427" s="1"/>
      <c r="C427" s="1"/>
      <c r="D427" s="1"/>
      <c r="E427" s="1"/>
      <c r="F427" s="1"/>
      <c r="G427" s="1"/>
      <c r="H427" s="1"/>
      <c r="I427" s="8"/>
      <c r="J427" s="8"/>
      <c r="K427" s="8"/>
      <c r="L427" s="1"/>
      <c r="M427" s="6">
        <f t="shared" ca="1" si="6"/>
        <v>0</v>
      </c>
      <c r="N427" s="1"/>
    </row>
    <row r="428" spans="1:14">
      <c r="A428" s="1"/>
      <c r="B428" s="1"/>
      <c r="C428" s="1"/>
      <c r="D428" s="1"/>
      <c r="E428" s="1"/>
      <c r="F428" s="1"/>
      <c r="G428" s="1"/>
      <c r="H428" s="1"/>
      <c r="I428" s="8"/>
      <c r="J428" s="8"/>
      <c r="K428" s="8"/>
      <c r="L428" s="1"/>
      <c r="M428" s="6">
        <f t="shared" ca="1" si="6"/>
        <v>0</v>
      </c>
      <c r="N428" s="1"/>
    </row>
    <row r="429" spans="1:14">
      <c r="A429" s="1"/>
      <c r="B429" s="1"/>
      <c r="C429" s="1"/>
      <c r="D429" s="1"/>
      <c r="E429" s="1"/>
      <c r="F429" s="1"/>
      <c r="G429" s="1"/>
      <c r="H429" s="1"/>
      <c r="I429" s="8"/>
      <c r="J429" s="8"/>
      <c r="K429" s="8"/>
      <c r="L429" s="1"/>
      <c r="M429" s="6">
        <f t="shared" ca="1" si="6"/>
        <v>0</v>
      </c>
      <c r="N429" s="1"/>
    </row>
    <row r="430" spans="1:14">
      <c r="A430" s="1"/>
      <c r="B430" s="1"/>
      <c r="C430" s="1"/>
      <c r="D430" s="1"/>
      <c r="E430" s="1"/>
      <c r="F430" s="1"/>
      <c r="G430" s="1"/>
      <c r="H430" s="1"/>
      <c r="I430" s="8"/>
      <c r="J430" s="8"/>
      <c r="K430" s="8"/>
      <c r="L430" s="1"/>
      <c r="M430" s="6">
        <f t="shared" ca="1" si="6"/>
        <v>0</v>
      </c>
      <c r="N430" s="1"/>
    </row>
    <row r="431" spans="1:14">
      <c r="A431" s="1"/>
      <c r="B431" s="1"/>
      <c r="C431" s="1"/>
      <c r="D431" s="1"/>
      <c r="E431" s="1"/>
      <c r="F431" s="1"/>
      <c r="G431" s="1"/>
      <c r="H431" s="1"/>
      <c r="I431" s="8"/>
      <c r="J431" s="8"/>
      <c r="K431" s="8"/>
      <c r="L431" s="1"/>
      <c r="M431" s="6">
        <f t="shared" ca="1" si="6"/>
        <v>0</v>
      </c>
      <c r="N431" s="1"/>
    </row>
    <row r="432" spans="1:14">
      <c r="A432" s="1"/>
      <c r="B432" s="1"/>
      <c r="C432" s="1"/>
      <c r="D432" s="1"/>
      <c r="E432" s="1"/>
      <c r="F432" s="1"/>
      <c r="G432" s="1"/>
      <c r="H432" s="1"/>
      <c r="I432" s="8"/>
      <c r="J432" s="8"/>
      <c r="K432" s="8"/>
      <c r="L432" s="1"/>
      <c r="M432" s="6">
        <f t="shared" ca="1" si="6"/>
        <v>0</v>
      </c>
      <c r="N432" s="1"/>
    </row>
    <row r="433" spans="1:14">
      <c r="A433" s="1"/>
      <c r="B433" s="1"/>
      <c r="C433" s="1"/>
      <c r="D433" s="1"/>
      <c r="E433" s="1"/>
      <c r="F433" s="1"/>
      <c r="G433" s="1"/>
      <c r="H433" s="1"/>
      <c r="I433" s="8"/>
      <c r="J433" s="8"/>
      <c r="K433" s="8"/>
      <c r="L433" s="1"/>
      <c r="M433" s="6">
        <f t="shared" ca="1" si="6"/>
        <v>0</v>
      </c>
      <c r="N433" s="1"/>
    </row>
    <row r="434" spans="1:14">
      <c r="A434" s="1"/>
      <c r="B434" s="1"/>
      <c r="C434" s="1"/>
      <c r="D434" s="1"/>
      <c r="E434" s="1"/>
      <c r="F434" s="1"/>
      <c r="G434" s="1"/>
      <c r="H434" s="1"/>
      <c r="I434" s="8"/>
      <c r="J434" s="8"/>
      <c r="K434" s="8"/>
      <c r="L434" s="1"/>
      <c r="M434" s="6">
        <f t="shared" ca="1" si="6"/>
        <v>0</v>
      </c>
      <c r="N434" s="1"/>
    </row>
    <row r="435" spans="1:14">
      <c r="A435" s="1"/>
      <c r="B435" s="1"/>
      <c r="C435" s="1"/>
      <c r="D435" s="1"/>
      <c r="E435" s="1"/>
      <c r="F435" s="1"/>
      <c r="G435" s="1"/>
      <c r="H435" s="1"/>
      <c r="I435" s="8"/>
      <c r="J435" s="8"/>
      <c r="K435" s="8"/>
      <c r="L435" s="1"/>
      <c r="M435" s="6">
        <f t="shared" ca="1" si="6"/>
        <v>0</v>
      </c>
      <c r="N435" s="1"/>
    </row>
    <row r="436" spans="1:14">
      <c r="A436" s="1"/>
      <c r="B436" s="1"/>
      <c r="C436" s="1"/>
      <c r="D436" s="1"/>
      <c r="E436" s="1"/>
      <c r="F436" s="1"/>
      <c r="G436" s="1"/>
      <c r="H436" s="1"/>
      <c r="I436" s="8"/>
      <c r="J436" s="8"/>
      <c r="K436" s="8"/>
      <c r="L436" s="1"/>
      <c r="M436" s="6">
        <f t="shared" ca="1" si="6"/>
        <v>0</v>
      </c>
      <c r="N436" s="1"/>
    </row>
    <row r="437" spans="1:14">
      <c r="A437" s="1"/>
      <c r="B437" s="1"/>
      <c r="C437" s="1"/>
      <c r="D437" s="1"/>
      <c r="E437" s="1"/>
      <c r="F437" s="1"/>
      <c r="G437" s="1"/>
      <c r="H437" s="1"/>
      <c r="I437" s="8"/>
      <c r="J437" s="8"/>
      <c r="K437" s="8"/>
      <c r="L437" s="1"/>
      <c r="M437" s="6">
        <f t="shared" ca="1" si="6"/>
        <v>0</v>
      </c>
      <c r="N437" s="1"/>
    </row>
    <row r="438" spans="1:14">
      <c r="A438" s="1"/>
      <c r="B438" s="1"/>
      <c r="C438" s="1"/>
      <c r="D438" s="1"/>
      <c r="E438" s="1"/>
      <c r="F438" s="1"/>
      <c r="G438" s="1"/>
      <c r="H438" s="1"/>
      <c r="I438" s="8"/>
      <c r="J438" s="8"/>
      <c r="K438" s="8"/>
      <c r="L438" s="1"/>
      <c r="M438" s="6">
        <f t="shared" ca="1" si="6"/>
        <v>0</v>
      </c>
      <c r="N438" s="1"/>
    </row>
    <row r="439" spans="1:14">
      <c r="A439" s="1"/>
      <c r="B439" s="1"/>
      <c r="C439" s="1"/>
      <c r="D439" s="1"/>
      <c r="E439" s="1"/>
      <c r="F439" s="1"/>
      <c r="G439" s="1"/>
      <c r="H439" s="1"/>
      <c r="I439" s="8"/>
      <c r="J439" s="8"/>
      <c r="K439" s="8"/>
      <c r="L439" s="1"/>
      <c r="M439" s="6">
        <f t="shared" ca="1" si="6"/>
        <v>0</v>
      </c>
      <c r="N439" s="1"/>
    </row>
    <row r="440" spans="1:14">
      <c r="A440" s="1"/>
      <c r="B440" s="1"/>
      <c r="C440" s="1"/>
      <c r="D440" s="1"/>
      <c r="E440" s="1"/>
      <c r="F440" s="1"/>
      <c r="G440" s="1"/>
      <c r="H440" s="1"/>
      <c r="I440" s="8"/>
      <c r="J440" s="8"/>
      <c r="K440" s="8"/>
      <c r="L440" s="1"/>
      <c r="M440" s="6">
        <f t="shared" ca="1" si="6"/>
        <v>0</v>
      </c>
      <c r="N440" s="1"/>
    </row>
    <row r="441" spans="1:14">
      <c r="A441" s="1"/>
      <c r="B441" s="1"/>
      <c r="C441" s="1"/>
      <c r="D441" s="1"/>
      <c r="E441" s="1"/>
      <c r="F441" s="1"/>
      <c r="G441" s="1"/>
      <c r="H441" s="1"/>
      <c r="I441" s="8"/>
      <c r="J441" s="8"/>
      <c r="K441" s="8"/>
      <c r="L441" s="1"/>
      <c r="M441" s="6">
        <f t="shared" ca="1" si="6"/>
        <v>0</v>
      </c>
      <c r="N441" s="1"/>
    </row>
    <row r="442" spans="1:14">
      <c r="A442" s="1"/>
      <c r="B442" s="1"/>
      <c r="C442" s="1"/>
      <c r="D442" s="1"/>
      <c r="E442" s="1"/>
      <c r="F442" s="1"/>
      <c r="G442" s="1"/>
      <c r="H442" s="1"/>
      <c r="I442" s="8"/>
      <c r="J442" s="8"/>
      <c r="K442" s="8"/>
      <c r="L442" s="1"/>
      <c r="M442" s="6">
        <f t="shared" ca="1" si="6"/>
        <v>0</v>
      </c>
      <c r="N442" s="1"/>
    </row>
    <row r="443" spans="1:14">
      <c r="A443" s="1"/>
      <c r="B443" s="1"/>
      <c r="C443" s="1"/>
      <c r="D443" s="1"/>
      <c r="E443" s="1"/>
      <c r="F443" s="1"/>
      <c r="G443" s="1"/>
      <c r="H443" s="1"/>
      <c r="I443" s="8"/>
      <c r="J443" s="8"/>
      <c r="K443" s="8"/>
      <c r="L443" s="1"/>
      <c r="M443" s="6">
        <f t="shared" ca="1" si="6"/>
        <v>0</v>
      </c>
      <c r="N443" s="1"/>
    </row>
    <row r="444" spans="1:14">
      <c r="A444" s="1"/>
      <c r="B444" s="1"/>
      <c r="C444" s="1"/>
      <c r="D444" s="1"/>
      <c r="E444" s="1"/>
      <c r="F444" s="1"/>
      <c r="G444" s="1"/>
      <c r="H444" s="1"/>
      <c r="I444" s="8"/>
      <c r="J444" s="8"/>
      <c r="K444" s="8"/>
      <c r="L444" s="1"/>
      <c r="M444" s="6">
        <f t="shared" ca="1" si="6"/>
        <v>0</v>
      </c>
      <c r="N444" s="1"/>
    </row>
    <row r="445" spans="1:14">
      <c r="A445" s="1"/>
      <c r="B445" s="1"/>
      <c r="C445" s="1"/>
      <c r="D445" s="1"/>
      <c r="E445" s="1"/>
      <c r="F445" s="1"/>
      <c r="G445" s="1"/>
      <c r="H445" s="1"/>
      <c r="I445" s="8"/>
      <c r="J445" s="8"/>
      <c r="K445" s="8"/>
      <c r="L445" s="1"/>
      <c r="M445" s="6">
        <f t="shared" ca="1" si="6"/>
        <v>0</v>
      </c>
      <c r="N445" s="1"/>
    </row>
    <row r="446" spans="1:14">
      <c r="A446" s="1"/>
      <c r="B446" s="1"/>
      <c r="C446" s="1"/>
      <c r="D446" s="1"/>
      <c r="E446" s="1"/>
      <c r="F446" s="1"/>
      <c r="G446" s="1"/>
      <c r="H446" s="1"/>
      <c r="I446" s="8"/>
      <c r="J446" s="8"/>
      <c r="K446" s="8"/>
      <c r="L446" s="1"/>
      <c r="M446" s="6">
        <f t="shared" ca="1" si="6"/>
        <v>0</v>
      </c>
      <c r="N446" s="1"/>
    </row>
    <row r="447" spans="1:14">
      <c r="A447" s="1"/>
      <c r="B447" s="1"/>
      <c r="C447" s="1"/>
      <c r="D447" s="1"/>
      <c r="E447" s="1"/>
      <c r="F447" s="1"/>
      <c r="G447" s="1"/>
      <c r="H447" s="1"/>
      <c r="I447" s="8"/>
      <c r="J447" s="8"/>
      <c r="K447" s="8"/>
      <c r="L447" s="1"/>
      <c r="M447" s="6">
        <f t="shared" ca="1" si="6"/>
        <v>0</v>
      </c>
      <c r="N447" s="1"/>
    </row>
    <row r="448" spans="1:14">
      <c r="A448" s="1"/>
      <c r="B448" s="1"/>
      <c r="C448" s="1"/>
      <c r="D448" s="1"/>
      <c r="E448" s="1"/>
      <c r="F448" s="1"/>
      <c r="G448" s="1"/>
      <c r="H448" s="1"/>
      <c r="I448" s="8"/>
      <c r="J448" s="8"/>
      <c r="K448" s="8"/>
      <c r="L448" s="1"/>
      <c r="M448" s="6">
        <f t="shared" ca="1" si="6"/>
        <v>0</v>
      </c>
      <c r="N448" s="1"/>
    </row>
    <row r="449" spans="1:14">
      <c r="A449" s="1"/>
      <c r="B449" s="1"/>
      <c r="C449" s="1"/>
      <c r="D449" s="1"/>
      <c r="E449" s="1"/>
      <c r="F449" s="1"/>
      <c r="G449" s="1"/>
      <c r="H449" s="1"/>
      <c r="I449" s="8"/>
      <c r="J449" s="8"/>
      <c r="K449" s="8"/>
      <c r="L449" s="1"/>
      <c r="M449" s="6">
        <f t="shared" ca="1" si="6"/>
        <v>0</v>
      </c>
      <c r="N449" s="1"/>
    </row>
    <row r="450" spans="1:14">
      <c r="A450" s="1"/>
      <c r="B450" s="1"/>
      <c r="C450" s="1"/>
      <c r="D450" s="1"/>
      <c r="E450" s="1"/>
      <c r="F450" s="1"/>
      <c r="G450" s="1"/>
      <c r="H450" s="1"/>
      <c r="I450" s="8"/>
      <c r="J450" s="8"/>
      <c r="K450" s="8"/>
      <c r="L450" s="1"/>
      <c r="M450" s="6">
        <f t="shared" ref="M450:M497" ca="1" si="7">IF(AND(L450&lt;&gt;"Clôturée",J450&lt;&gt;"",TODAY()&gt;J450),TODAY()-J450,0)</f>
        <v>0</v>
      </c>
      <c r="N450" s="1"/>
    </row>
    <row r="451" spans="1:14">
      <c r="A451" s="1"/>
      <c r="B451" s="1"/>
      <c r="C451" s="1"/>
      <c r="D451" s="1"/>
      <c r="E451" s="1"/>
      <c r="F451" s="1"/>
      <c r="G451" s="1"/>
      <c r="H451" s="1"/>
      <c r="I451" s="8"/>
      <c r="J451" s="8"/>
      <c r="K451" s="8"/>
      <c r="L451" s="1"/>
      <c r="M451" s="6">
        <f t="shared" ca="1" si="7"/>
        <v>0</v>
      </c>
      <c r="N451" s="1"/>
    </row>
    <row r="452" spans="1:14">
      <c r="A452" s="1"/>
      <c r="B452" s="1"/>
      <c r="C452" s="1"/>
      <c r="D452" s="1"/>
      <c r="E452" s="1"/>
      <c r="F452" s="1"/>
      <c r="G452" s="1"/>
      <c r="H452" s="1"/>
      <c r="I452" s="8"/>
      <c r="J452" s="8"/>
      <c r="K452" s="8"/>
      <c r="L452" s="1"/>
      <c r="M452" s="6">
        <f t="shared" ca="1" si="7"/>
        <v>0</v>
      </c>
      <c r="N452" s="1"/>
    </row>
    <row r="453" spans="1:14">
      <c r="A453" s="1"/>
      <c r="B453" s="1"/>
      <c r="C453" s="1"/>
      <c r="D453" s="1"/>
      <c r="E453" s="1"/>
      <c r="F453" s="1"/>
      <c r="G453" s="1"/>
      <c r="H453" s="1"/>
      <c r="I453" s="8"/>
      <c r="J453" s="8"/>
      <c r="K453" s="8"/>
      <c r="L453" s="1"/>
      <c r="M453" s="6">
        <f t="shared" ca="1" si="7"/>
        <v>0</v>
      </c>
      <c r="N453" s="1"/>
    </row>
    <row r="454" spans="1:14">
      <c r="A454" s="1"/>
      <c r="B454" s="1"/>
      <c r="C454" s="1"/>
      <c r="D454" s="1"/>
      <c r="E454" s="1"/>
      <c r="F454" s="1"/>
      <c r="G454" s="1"/>
      <c r="H454" s="1"/>
      <c r="I454" s="8"/>
      <c r="J454" s="8"/>
      <c r="K454" s="8"/>
      <c r="L454" s="1"/>
      <c r="M454" s="6">
        <f t="shared" ca="1" si="7"/>
        <v>0</v>
      </c>
      <c r="N454" s="1"/>
    </row>
    <row r="455" spans="1:14">
      <c r="A455" s="1"/>
      <c r="B455" s="1"/>
      <c r="C455" s="1"/>
      <c r="D455" s="1"/>
      <c r="E455" s="1"/>
      <c r="F455" s="1"/>
      <c r="G455" s="1"/>
      <c r="H455" s="1"/>
      <c r="I455" s="8"/>
      <c r="J455" s="8"/>
      <c r="K455" s="8"/>
      <c r="L455" s="1"/>
      <c r="M455" s="6">
        <f t="shared" ca="1" si="7"/>
        <v>0</v>
      </c>
      <c r="N455" s="1"/>
    </row>
    <row r="456" spans="1:14">
      <c r="A456" s="1"/>
      <c r="B456" s="1"/>
      <c r="C456" s="1"/>
      <c r="D456" s="1"/>
      <c r="E456" s="1"/>
      <c r="F456" s="1"/>
      <c r="G456" s="1"/>
      <c r="H456" s="1"/>
      <c r="I456" s="8"/>
      <c r="J456" s="8"/>
      <c r="K456" s="8"/>
      <c r="L456" s="1"/>
      <c r="M456" s="6">
        <f t="shared" ca="1" si="7"/>
        <v>0</v>
      </c>
      <c r="N456" s="1"/>
    </row>
    <row r="457" spans="1:14">
      <c r="A457" s="1"/>
      <c r="B457" s="1"/>
      <c r="C457" s="1"/>
      <c r="D457" s="1"/>
      <c r="E457" s="1"/>
      <c r="F457" s="1"/>
      <c r="G457" s="1"/>
      <c r="H457" s="1"/>
      <c r="I457" s="8"/>
      <c r="J457" s="8"/>
      <c r="K457" s="8"/>
      <c r="L457" s="1"/>
      <c r="M457" s="6">
        <f t="shared" ca="1" si="7"/>
        <v>0</v>
      </c>
      <c r="N457" s="1"/>
    </row>
    <row r="458" spans="1:14">
      <c r="A458" s="1"/>
      <c r="B458" s="1"/>
      <c r="C458" s="1"/>
      <c r="D458" s="1"/>
      <c r="E458" s="1"/>
      <c r="F458" s="1"/>
      <c r="G458" s="1"/>
      <c r="H458" s="1"/>
      <c r="I458" s="8"/>
      <c r="J458" s="8"/>
      <c r="K458" s="8"/>
      <c r="L458" s="1"/>
      <c r="M458" s="6">
        <f t="shared" ca="1" si="7"/>
        <v>0</v>
      </c>
      <c r="N458" s="1"/>
    </row>
    <row r="459" spans="1:14">
      <c r="A459" s="1"/>
      <c r="B459" s="1"/>
      <c r="C459" s="1"/>
      <c r="D459" s="1"/>
      <c r="E459" s="1"/>
      <c r="F459" s="1"/>
      <c r="G459" s="1"/>
      <c r="H459" s="1"/>
      <c r="I459" s="8"/>
      <c r="J459" s="8"/>
      <c r="K459" s="8"/>
      <c r="L459" s="1"/>
      <c r="M459" s="6">
        <f t="shared" ca="1" si="7"/>
        <v>0</v>
      </c>
      <c r="N459" s="1"/>
    </row>
    <row r="460" spans="1:14">
      <c r="A460" s="1"/>
      <c r="B460" s="1"/>
      <c r="C460" s="1"/>
      <c r="D460" s="1"/>
      <c r="E460" s="1"/>
      <c r="F460" s="1"/>
      <c r="G460" s="1"/>
      <c r="H460" s="1"/>
      <c r="I460" s="8"/>
      <c r="J460" s="8"/>
      <c r="K460" s="8"/>
      <c r="L460" s="1"/>
      <c r="M460" s="6">
        <f t="shared" ca="1" si="7"/>
        <v>0</v>
      </c>
      <c r="N460" s="1"/>
    </row>
    <row r="461" spans="1:14">
      <c r="A461" s="1"/>
      <c r="B461" s="1"/>
      <c r="C461" s="1"/>
      <c r="D461" s="1"/>
      <c r="E461" s="1"/>
      <c r="F461" s="1"/>
      <c r="G461" s="1"/>
      <c r="H461" s="1"/>
      <c r="I461" s="8"/>
      <c r="J461" s="8"/>
      <c r="K461" s="8"/>
      <c r="L461" s="1"/>
      <c r="M461" s="6">
        <f t="shared" ca="1" si="7"/>
        <v>0</v>
      </c>
      <c r="N461" s="1"/>
    </row>
    <row r="462" spans="1:14">
      <c r="A462" s="1"/>
      <c r="B462" s="1"/>
      <c r="C462" s="1"/>
      <c r="D462" s="1"/>
      <c r="E462" s="1"/>
      <c r="F462" s="1"/>
      <c r="G462" s="1"/>
      <c r="H462" s="1"/>
      <c r="I462" s="8"/>
      <c r="J462" s="8"/>
      <c r="K462" s="8"/>
      <c r="L462" s="1"/>
      <c r="M462" s="6">
        <f t="shared" ca="1" si="7"/>
        <v>0</v>
      </c>
      <c r="N462" s="1"/>
    </row>
    <row r="463" spans="1:14">
      <c r="A463" s="1"/>
      <c r="B463" s="1"/>
      <c r="C463" s="1"/>
      <c r="D463" s="1"/>
      <c r="E463" s="1"/>
      <c r="F463" s="1"/>
      <c r="G463" s="1"/>
      <c r="H463" s="1"/>
      <c r="I463" s="8"/>
      <c r="J463" s="8"/>
      <c r="K463" s="8"/>
      <c r="L463" s="1"/>
      <c r="M463" s="6">
        <f t="shared" ca="1" si="7"/>
        <v>0</v>
      </c>
      <c r="N463" s="1"/>
    </row>
    <row r="464" spans="1:14">
      <c r="A464" s="1"/>
      <c r="B464" s="1"/>
      <c r="C464" s="1"/>
      <c r="D464" s="1"/>
      <c r="E464" s="1"/>
      <c r="F464" s="1"/>
      <c r="G464" s="1"/>
      <c r="H464" s="1"/>
      <c r="I464" s="8"/>
      <c r="J464" s="8"/>
      <c r="K464" s="8"/>
      <c r="L464" s="1"/>
      <c r="M464" s="6">
        <f t="shared" ca="1" si="7"/>
        <v>0</v>
      </c>
      <c r="N464" s="1"/>
    </row>
    <row r="465" spans="1:14">
      <c r="A465" s="1"/>
      <c r="B465" s="1"/>
      <c r="C465" s="1"/>
      <c r="D465" s="1"/>
      <c r="E465" s="1"/>
      <c r="F465" s="1"/>
      <c r="G465" s="1"/>
      <c r="H465" s="1"/>
      <c r="I465" s="8"/>
      <c r="J465" s="8"/>
      <c r="K465" s="8"/>
      <c r="L465" s="1"/>
      <c r="M465" s="6">
        <f t="shared" ca="1" si="7"/>
        <v>0</v>
      </c>
      <c r="N465" s="1"/>
    </row>
    <row r="466" spans="1:14">
      <c r="A466" s="1"/>
      <c r="B466" s="1"/>
      <c r="C466" s="1"/>
      <c r="D466" s="1"/>
      <c r="E466" s="1"/>
      <c r="F466" s="1"/>
      <c r="G466" s="1"/>
      <c r="H466" s="1"/>
      <c r="I466" s="8"/>
      <c r="J466" s="8"/>
      <c r="K466" s="8"/>
      <c r="L466" s="1"/>
      <c r="M466" s="6">
        <f t="shared" ca="1" si="7"/>
        <v>0</v>
      </c>
      <c r="N466" s="1"/>
    </row>
    <row r="467" spans="1:14">
      <c r="A467" s="1"/>
      <c r="B467" s="1"/>
      <c r="C467" s="1"/>
      <c r="D467" s="1"/>
      <c r="E467" s="1"/>
      <c r="F467" s="1"/>
      <c r="G467" s="1"/>
      <c r="H467" s="1"/>
      <c r="I467" s="8"/>
      <c r="J467" s="8"/>
      <c r="K467" s="8"/>
      <c r="L467" s="1"/>
      <c r="M467" s="6">
        <f t="shared" ca="1" si="7"/>
        <v>0</v>
      </c>
      <c r="N467" s="1"/>
    </row>
    <row r="468" spans="1:14">
      <c r="A468" s="1"/>
      <c r="B468" s="1"/>
      <c r="C468" s="1"/>
      <c r="D468" s="1"/>
      <c r="E468" s="1"/>
      <c r="F468" s="1"/>
      <c r="G468" s="1"/>
      <c r="H468" s="1"/>
      <c r="I468" s="8"/>
      <c r="J468" s="8"/>
      <c r="K468" s="8"/>
      <c r="L468" s="1"/>
      <c r="M468" s="6">
        <f t="shared" ca="1" si="7"/>
        <v>0</v>
      </c>
      <c r="N468" s="1"/>
    </row>
    <row r="469" spans="1:14">
      <c r="A469" s="1"/>
      <c r="B469" s="1"/>
      <c r="C469" s="1"/>
      <c r="D469" s="1"/>
      <c r="E469" s="1"/>
      <c r="F469" s="1"/>
      <c r="G469" s="1"/>
      <c r="H469" s="1"/>
      <c r="I469" s="8"/>
      <c r="J469" s="8"/>
      <c r="K469" s="8"/>
      <c r="L469" s="1"/>
      <c r="M469" s="6">
        <f t="shared" ca="1" si="7"/>
        <v>0</v>
      </c>
      <c r="N469" s="1"/>
    </row>
    <row r="470" spans="1:14">
      <c r="A470" s="1"/>
      <c r="B470" s="1"/>
      <c r="C470" s="1"/>
      <c r="D470" s="1"/>
      <c r="E470" s="1"/>
      <c r="F470" s="1"/>
      <c r="G470" s="1"/>
      <c r="H470" s="1"/>
      <c r="I470" s="8"/>
      <c r="J470" s="8"/>
      <c r="K470" s="8"/>
      <c r="L470" s="1"/>
      <c r="M470" s="6">
        <f t="shared" ca="1" si="7"/>
        <v>0</v>
      </c>
      <c r="N470" s="1"/>
    </row>
    <row r="471" spans="1:14">
      <c r="A471" s="1"/>
      <c r="B471" s="1"/>
      <c r="C471" s="1"/>
      <c r="D471" s="1"/>
      <c r="E471" s="1"/>
      <c r="F471" s="1"/>
      <c r="G471" s="1"/>
      <c r="H471" s="1"/>
      <c r="I471" s="8"/>
      <c r="J471" s="8"/>
      <c r="K471" s="8"/>
      <c r="L471" s="1"/>
      <c r="M471" s="6">
        <f t="shared" ca="1" si="7"/>
        <v>0</v>
      </c>
      <c r="N471" s="1"/>
    </row>
    <row r="472" spans="1:14">
      <c r="A472" s="1"/>
      <c r="B472" s="1"/>
      <c r="C472" s="1"/>
      <c r="D472" s="1"/>
      <c r="E472" s="1"/>
      <c r="F472" s="1"/>
      <c r="G472" s="1"/>
      <c r="H472" s="1"/>
      <c r="I472" s="8"/>
      <c r="J472" s="8"/>
      <c r="K472" s="8"/>
      <c r="L472" s="1"/>
      <c r="M472" s="6">
        <f t="shared" ca="1" si="7"/>
        <v>0</v>
      </c>
      <c r="N472" s="1"/>
    </row>
    <row r="473" spans="1:14">
      <c r="A473" s="1"/>
      <c r="B473" s="1"/>
      <c r="C473" s="1"/>
      <c r="D473" s="1"/>
      <c r="E473" s="1"/>
      <c r="F473" s="1"/>
      <c r="G473" s="1"/>
      <c r="H473" s="1"/>
      <c r="I473" s="8"/>
      <c r="J473" s="8"/>
      <c r="K473" s="8"/>
      <c r="L473" s="1"/>
      <c r="M473" s="6">
        <f t="shared" ca="1" si="7"/>
        <v>0</v>
      </c>
      <c r="N473" s="1"/>
    </row>
    <row r="474" spans="1:14">
      <c r="A474" s="1"/>
      <c r="B474" s="1"/>
      <c r="C474" s="1"/>
      <c r="D474" s="1"/>
      <c r="E474" s="1"/>
      <c r="F474" s="1"/>
      <c r="G474" s="1"/>
      <c r="H474" s="1"/>
      <c r="I474" s="8"/>
      <c r="J474" s="8"/>
      <c r="K474" s="8"/>
      <c r="L474" s="1"/>
      <c r="M474" s="6">
        <f t="shared" ca="1" si="7"/>
        <v>0</v>
      </c>
      <c r="N474" s="1"/>
    </row>
    <row r="475" spans="1:14">
      <c r="A475" s="1"/>
      <c r="B475" s="1"/>
      <c r="C475" s="1"/>
      <c r="D475" s="1"/>
      <c r="E475" s="1"/>
      <c r="F475" s="1"/>
      <c r="G475" s="1"/>
      <c r="H475" s="1"/>
      <c r="I475" s="8"/>
      <c r="J475" s="8"/>
      <c r="K475" s="8"/>
      <c r="L475" s="1"/>
      <c r="M475" s="6">
        <f t="shared" ca="1" si="7"/>
        <v>0</v>
      </c>
      <c r="N475" s="1"/>
    </row>
    <row r="476" spans="1:14">
      <c r="A476" s="1"/>
      <c r="B476" s="1"/>
      <c r="C476" s="1"/>
      <c r="D476" s="1"/>
      <c r="E476" s="1"/>
      <c r="F476" s="1"/>
      <c r="G476" s="1"/>
      <c r="H476" s="1"/>
      <c r="I476" s="8"/>
      <c r="J476" s="8"/>
      <c r="K476" s="8"/>
      <c r="L476" s="1"/>
      <c r="M476" s="6">
        <f t="shared" ca="1" si="7"/>
        <v>0</v>
      </c>
      <c r="N476" s="1"/>
    </row>
    <row r="477" spans="1:14">
      <c r="A477" s="1"/>
      <c r="B477" s="1"/>
      <c r="C477" s="1"/>
      <c r="D477" s="1"/>
      <c r="E477" s="1"/>
      <c r="F477" s="1"/>
      <c r="G477" s="1"/>
      <c r="H477" s="1"/>
      <c r="I477" s="8"/>
      <c r="J477" s="8"/>
      <c r="K477" s="8"/>
      <c r="L477" s="1"/>
      <c r="M477" s="6">
        <f t="shared" ca="1" si="7"/>
        <v>0</v>
      </c>
      <c r="N477" s="1"/>
    </row>
    <row r="478" spans="1:14">
      <c r="A478" s="1"/>
      <c r="B478" s="1"/>
      <c r="C478" s="1"/>
      <c r="D478" s="1"/>
      <c r="E478" s="1"/>
      <c r="F478" s="1"/>
      <c r="G478" s="1"/>
      <c r="H478" s="1"/>
      <c r="I478" s="8"/>
      <c r="J478" s="8"/>
      <c r="K478" s="8"/>
      <c r="L478" s="1"/>
      <c r="M478" s="6">
        <f t="shared" ca="1" si="7"/>
        <v>0</v>
      </c>
      <c r="N478" s="1"/>
    </row>
    <row r="479" spans="1:14">
      <c r="A479" s="1"/>
      <c r="B479" s="1"/>
      <c r="C479" s="1"/>
      <c r="D479" s="1"/>
      <c r="E479" s="1"/>
      <c r="F479" s="1"/>
      <c r="G479" s="1"/>
      <c r="H479" s="1"/>
      <c r="I479" s="8"/>
      <c r="J479" s="8"/>
      <c r="K479" s="8"/>
      <c r="L479" s="1"/>
      <c r="M479" s="6">
        <f t="shared" ca="1" si="7"/>
        <v>0</v>
      </c>
      <c r="N479" s="1"/>
    </row>
    <row r="480" spans="1:14">
      <c r="A480" s="1"/>
      <c r="B480" s="1"/>
      <c r="C480" s="1"/>
      <c r="D480" s="1"/>
      <c r="E480" s="1"/>
      <c r="F480" s="1"/>
      <c r="G480" s="1"/>
      <c r="H480" s="1"/>
      <c r="I480" s="8"/>
      <c r="J480" s="8"/>
      <c r="K480" s="8"/>
      <c r="L480" s="1"/>
      <c r="M480" s="6">
        <f t="shared" ca="1" si="7"/>
        <v>0</v>
      </c>
      <c r="N480" s="1"/>
    </row>
    <row r="481" spans="1:14">
      <c r="A481" s="1"/>
      <c r="B481" s="1"/>
      <c r="C481" s="1"/>
      <c r="D481" s="1"/>
      <c r="E481" s="1"/>
      <c r="F481" s="1"/>
      <c r="G481" s="1"/>
      <c r="H481" s="1"/>
      <c r="I481" s="8"/>
      <c r="J481" s="8"/>
      <c r="K481" s="8"/>
      <c r="L481" s="1"/>
      <c r="M481" s="6">
        <f t="shared" ca="1" si="7"/>
        <v>0</v>
      </c>
      <c r="N481" s="1"/>
    </row>
    <row r="482" spans="1:14">
      <c r="A482" s="1"/>
      <c r="B482" s="1"/>
      <c r="C482" s="1"/>
      <c r="D482" s="1"/>
      <c r="E482" s="1"/>
      <c r="F482" s="1"/>
      <c r="G482" s="1"/>
      <c r="H482" s="1"/>
      <c r="I482" s="8"/>
      <c r="J482" s="8"/>
      <c r="K482" s="8"/>
      <c r="L482" s="1"/>
      <c r="M482" s="6">
        <f t="shared" ca="1" si="7"/>
        <v>0</v>
      </c>
      <c r="N482" s="1"/>
    </row>
    <row r="483" spans="1:14">
      <c r="A483" s="1"/>
      <c r="B483" s="1"/>
      <c r="C483" s="1"/>
      <c r="D483" s="1"/>
      <c r="E483" s="1"/>
      <c r="F483" s="1"/>
      <c r="G483" s="1"/>
      <c r="H483" s="1"/>
      <c r="I483" s="8"/>
      <c r="J483" s="8"/>
      <c r="K483" s="8"/>
      <c r="L483" s="1"/>
      <c r="M483" s="6">
        <f t="shared" ca="1" si="7"/>
        <v>0</v>
      </c>
      <c r="N483" s="1"/>
    </row>
    <row r="484" spans="1:14">
      <c r="A484" s="1"/>
      <c r="B484" s="1"/>
      <c r="C484" s="1"/>
      <c r="D484" s="1"/>
      <c r="E484" s="1"/>
      <c r="F484" s="1"/>
      <c r="G484" s="1"/>
      <c r="H484" s="1"/>
      <c r="I484" s="8"/>
      <c r="J484" s="8"/>
      <c r="K484" s="8"/>
      <c r="L484" s="1"/>
      <c r="M484" s="6">
        <f t="shared" ca="1" si="7"/>
        <v>0</v>
      </c>
      <c r="N484" s="1"/>
    </row>
    <row r="485" spans="1:14">
      <c r="A485" s="1"/>
      <c r="B485" s="1"/>
      <c r="C485" s="1"/>
      <c r="D485" s="1"/>
      <c r="E485" s="1"/>
      <c r="F485" s="1"/>
      <c r="G485" s="1"/>
      <c r="H485" s="1"/>
      <c r="I485" s="8"/>
      <c r="J485" s="8"/>
      <c r="K485" s="8"/>
      <c r="L485" s="1"/>
      <c r="M485" s="6">
        <f t="shared" ca="1" si="7"/>
        <v>0</v>
      </c>
      <c r="N485" s="1"/>
    </row>
    <row r="486" spans="1:14">
      <c r="A486" s="1"/>
      <c r="B486" s="1"/>
      <c r="C486" s="1"/>
      <c r="D486" s="1"/>
      <c r="E486" s="1"/>
      <c r="F486" s="1"/>
      <c r="G486" s="1"/>
      <c r="H486" s="1"/>
      <c r="I486" s="8"/>
      <c r="J486" s="8"/>
      <c r="K486" s="8"/>
      <c r="L486" s="1"/>
      <c r="M486" s="6">
        <f t="shared" ca="1" si="7"/>
        <v>0</v>
      </c>
      <c r="N486" s="1"/>
    </row>
    <row r="487" spans="1:14">
      <c r="A487" s="1"/>
      <c r="B487" s="1"/>
      <c r="C487" s="1"/>
      <c r="D487" s="1"/>
      <c r="E487" s="1"/>
      <c r="F487" s="1"/>
      <c r="G487" s="1"/>
      <c r="H487" s="1"/>
      <c r="I487" s="8"/>
      <c r="J487" s="8"/>
      <c r="K487" s="8"/>
      <c r="L487" s="1"/>
      <c r="M487" s="6">
        <f t="shared" ca="1" si="7"/>
        <v>0</v>
      </c>
      <c r="N487" s="1"/>
    </row>
    <row r="488" spans="1:14">
      <c r="A488" s="1"/>
      <c r="B488" s="1"/>
      <c r="C488" s="1"/>
      <c r="D488" s="1"/>
      <c r="E488" s="1"/>
      <c r="F488" s="1"/>
      <c r="G488" s="1"/>
      <c r="H488" s="1"/>
      <c r="I488" s="8"/>
      <c r="J488" s="8"/>
      <c r="K488" s="8"/>
      <c r="L488" s="1"/>
      <c r="M488" s="6">
        <f t="shared" ca="1" si="7"/>
        <v>0</v>
      </c>
      <c r="N488" s="1"/>
    </row>
    <row r="489" spans="1:14">
      <c r="A489" s="1"/>
      <c r="B489" s="1"/>
      <c r="C489" s="1"/>
      <c r="D489" s="1"/>
      <c r="E489" s="1"/>
      <c r="F489" s="1"/>
      <c r="G489" s="1"/>
      <c r="H489" s="1"/>
      <c r="I489" s="8"/>
      <c r="J489" s="8"/>
      <c r="K489" s="8"/>
      <c r="L489" s="1"/>
      <c r="M489" s="6">
        <f t="shared" ca="1" si="7"/>
        <v>0</v>
      </c>
      <c r="N489" s="1"/>
    </row>
    <row r="490" spans="1:14">
      <c r="A490" s="1"/>
      <c r="B490" s="1"/>
      <c r="C490" s="1"/>
      <c r="D490" s="1"/>
      <c r="E490" s="1"/>
      <c r="F490" s="1"/>
      <c r="G490" s="1"/>
      <c r="H490" s="1"/>
      <c r="I490" s="8"/>
      <c r="J490" s="8"/>
      <c r="K490" s="8"/>
      <c r="L490" s="1"/>
      <c r="M490" s="6">
        <f t="shared" ca="1" si="7"/>
        <v>0</v>
      </c>
      <c r="N490" s="1"/>
    </row>
    <row r="491" spans="1:14">
      <c r="A491" s="1"/>
      <c r="B491" s="1"/>
      <c r="C491" s="1"/>
      <c r="D491" s="1"/>
      <c r="E491" s="1"/>
      <c r="F491" s="1"/>
      <c r="G491" s="1"/>
      <c r="H491" s="1"/>
      <c r="I491" s="8"/>
      <c r="J491" s="8"/>
      <c r="K491" s="8"/>
      <c r="L491" s="1"/>
      <c r="M491" s="6">
        <f t="shared" ca="1" si="7"/>
        <v>0</v>
      </c>
      <c r="N491" s="1"/>
    </row>
    <row r="492" spans="1:14">
      <c r="A492" s="1"/>
      <c r="B492" s="1"/>
      <c r="C492" s="1"/>
      <c r="D492" s="1"/>
      <c r="E492" s="1"/>
      <c r="F492" s="1"/>
      <c r="G492" s="1"/>
      <c r="H492" s="1"/>
      <c r="I492" s="8"/>
      <c r="J492" s="8"/>
      <c r="K492" s="8"/>
      <c r="L492" s="1"/>
      <c r="M492" s="6">
        <f t="shared" ca="1" si="7"/>
        <v>0</v>
      </c>
      <c r="N492" s="1"/>
    </row>
    <row r="493" spans="1:14">
      <c r="A493" s="1"/>
      <c r="B493" s="1"/>
      <c r="C493" s="1"/>
      <c r="D493" s="1"/>
      <c r="E493" s="1"/>
      <c r="F493" s="1"/>
      <c r="G493" s="1"/>
      <c r="H493" s="1"/>
      <c r="I493" s="8"/>
      <c r="J493" s="8"/>
      <c r="K493" s="8"/>
      <c r="L493" s="1"/>
      <c r="M493" s="6">
        <f t="shared" ca="1" si="7"/>
        <v>0</v>
      </c>
      <c r="N493" s="1"/>
    </row>
    <row r="494" spans="1:14">
      <c r="A494" s="1"/>
      <c r="B494" s="1"/>
      <c r="C494" s="1"/>
      <c r="D494" s="1"/>
      <c r="E494" s="1"/>
      <c r="F494" s="1"/>
      <c r="G494" s="1"/>
      <c r="H494" s="1"/>
      <c r="I494" s="8"/>
      <c r="J494" s="8"/>
      <c r="K494" s="8"/>
      <c r="L494" s="1"/>
      <c r="M494" s="6">
        <f t="shared" ca="1" si="7"/>
        <v>0</v>
      </c>
      <c r="N494" s="1"/>
    </row>
    <row r="495" spans="1:14">
      <c r="A495" s="1"/>
      <c r="B495" s="1"/>
      <c r="C495" s="1"/>
      <c r="D495" s="1"/>
      <c r="E495" s="1"/>
      <c r="F495" s="1"/>
      <c r="G495" s="1"/>
      <c r="H495" s="1"/>
      <c r="I495" s="8"/>
      <c r="J495" s="8"/>
      <c r="K495" s="8"/>
      <c r="L495" s="1"/>
      <c r="M495" s="6">
        <f t="shared" ca="1" si="7"/>
        <v>0</v>
      </c>
      <c r="N495" s="1"/>
    </row>
    <row r="496" spans="1:14">
      <c r="A496" s="1"/>
      <c r="B496" s="1"/>
      <c r="C496" s="1"/>
      <c r="D496" s="1"/>
      <c r="E496" s="1"/>
      <c r="F496" s="1"/>
      <c r="G496" s="1"/>
      <c r="H496" s="1"/>
      <c r="I496" s="8"/>
      <c r="J496" s="8"/>
      <c r="K496" s="8"/>
      <c r="L496" s="1"/>
      <c r="M496" s="6">
        <f t="shared" ca="1" si="7"/>
        <v>0</v>
      </c>
      <c r="N496" s="1"/>
    </row>
    <row r="497" spans="1:14">
      <c r="A497" s="1"/>
      <c r="B497" s="1"/>
      <c r="C497" s="1"/>
      <c r="D497" s="1"/>
      <c r="E497" s="1"/>
      <c r="F497" s="1"/>
      <c r="G497" s="1"/>
      <c r="H497" s="1"/>
      <c r="I497" s="8"/>
      <c r="J497" s="8"/>
      <c r="K497" s="8"/>
      <c r="L497" s="1"/>
      <c r="M497" s="6">
        <f t="shared" ca="1" si="7"/>
        <v>0</v>
      </c>
      <c r="N497" s="1"/>
    </row>
  </sheetData>
  <conditionalFormatting sqref="M2:M497">
    <cfRule type="cellIs" dxfId="32" priority="1" operator="greaterThan">
      <formula>0</formula>
    </cfRule>
  </conditionalFormatting>
  <dataValidations count="5">
    <dataValidation type="list" allowBlank="1" showErrorMessage="1" errorTitle="Valeur non autorisée" error="Veuillez choisir une valeur depuis la liste dynamique REF_SOURCES_RECO." sqref="B2:B1000" xr:uid="{00000000-0002-0000-0800-000000000000}">
      <formula1>REF_SOURCES_RECO</formula1>
    </dataValidation>
    <dataValidation type="list" allowBlank="1" showErrorMessage="1" errorTitle="Valeur non autorisée" error="Veuillez choisir une valeur depuis la liste dynamique REF_CYCLES." sqref="C2:C1000" xr:uid="{00000000-0002-0000-0800-000001000000}">
      <formula1>REF_CYCLES</formula1>
    </dataValidation>
    <dataValidation type="list" allowBlank="1" showErrorMessage="1" errorTitle="Valeur non autorisée" error="Veuillez choisir une valeur depuis la liste dynamique REF_AGENCES." sqref="D2:D1000" xr:uid="{00000000-0002-0000-0800-000002000000}">
      <formula1>REF_AGENCES</formula1>
    </dataValidation>
    <dataValidation type="list" allowBlank="1" showErrorMessage="1" errorTitle="Valeur non autorisée" error="Veuillez choisir une valeur depuis la liste dynamique REF_RESPONSABLES." sqref="H2:H1000" xr:uid="{00000000-0002-0000-0800-000003000000}">
      <formula1>REF_RESPONSABLES</formula1>
    </dataValidation>
    <dataValidation type="list" allowBlank="1" showErrorMessage="1" errorTitle="Valeur non autorisée" error="Veuillez choisir une valeur depuis la liste dynamique REF_STATUTS_ACTION." sqref="L2:L1000" xr:uid="{00000000-0002-0000-0800-000004000000}">
      <formula1>REF_STATUTS_ACTION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97"/>
  <sheetViews>
    <sheetView workbookViewId="0"/>
  </sheetViews>
  <sheetFormatPr baseColWidth="10" defaultColWidth="9" defaultRowHeight="14.25"/>
  <cols>
    <col min="1" max="2" width="14" customWidth="1"/>
    <col min="3" max="3" width="18" customWidth="1"/>
    <col min="4" max="4" width="28" customWidth="1"/>
    <col min="5" max="5" width="26" customWidth="1"/>
    <col min="6" max="6" width="42" customWidth="1"/>
    <col min="7" max="7" width="48" customWidth="1"/>
    <col min="8" max="8" width="16" customWidth="1"/>
    <col min="9" max="9" width="24" customWidth="1"/>
    <col min="10" max="10" width="14" customWidth="1"/>
    <col min="11" max="11" width="34" customWidth="1"/>
    <col min="12" max="12" width="18" customWidth="1"/>
    <col min="13" max="13" width="16" customWidth="1"/>
    <col min="14" max="14" width="42" customWidth="1"/>
    <col min="15" max="15" width="48" customWidth="1"/>
    <col min="16" max="16" width="22" customWidth="1"/>
    <col min="17" max="18" width="14" customWidth="1"/>
    <col min="19" max="19" width="16" customWidth="1"/>
    <col min="20" max="20" width="12" customWidth="1"/>
    <col min="21" max="21" width="10" customWidth="1"/>
    <col min="22" max="22" width="20" customWidth="1"/>
    <col min="23" max="23" width="36" customWidth="1"/>
  </cols>
  <sheetData>
    <row r="1" spans="1:23" ht="32.1" customHeight="1">
      <c r="A1" s="2" t="s">
        <v>39</v>
      </c>
      <c r="B1" s="2" t="s">
        <v>166</v>
      </c>
      <c r="C1" s="2" t="s">
        <v>167</v>
      </c>
      <c r="D1" s="2" t="s">
        <v>18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47</v>
      </c>
      <c r="N1" s="2" t="s">
        <v>176</v>
      </c>
      <c r="O1" s="2" t="s">
        <v>177</v>
      </c>
      <c r="P1" s="2" t="s">
        <v>178</v>
      </c>
      <c r="Q1" s="2" t="s">
        <v>179</v>
      </c>
      <c r="R1" s="2" t="s">
        <v>180</v>
      </c>
      <c r="S1" s="2" t="s">
        <v>181</v>
      </c>
      <c r="T1" s="2" t="s">
        <v>182</v>
      </c>
      <c r="U1" s="2" t="s">
        <v>183</v>
      </c>
      <c r="V1" s="2" t="s">
        <v>184</v>
      </c>
      <c r="W1" s="2" t="s">
        <v>185</v>
      </c>
    </row>
    <row r="2" spans="1:23">
      <c r="A2" s="1" t="s">
        <v>267</v>
      </c>
      <c r="B2" s="8"/>
      <c r="C2" s="1"/>
      <c r="D2" s="1" t="s">
        <v>69</v>
      </c>
      <c r="E2" s="1" t="s">
        <v>268</v>
      </c>
      <c r="F2" s="1" t="s">
        <v>269</v>
      </c>
      <c r="G2" s="1" t="s">
        <v>270</v>
      </c>
      <c r="H2" s="1" t="s">
        <v>84</v>
      </c>
      <c r="I2" s="1" t="s">
        <v>64</v>
      </c>
      <c r="J2" s="1" t="s">
        <v>85</v>
      </c>
      <c r="K2" s="1" t="s">
        <v>271</v>
      </c>
      <c r="L2" s="1"/>
      <c r="M2" s="1" t="s">
        <v>61</v>
      </c>
      <c r="N2" s="1"/>
      <c r="O2" s="1"/>
      <c r="P2" s="1"/>
      <c r="Q2" s="8"/>
      <c r="R2" s="8"/>
      <c r="S2" s="1" t="s">
        <v>62</v>
      </c>
      <c r="T2" s="6">
        <f t="shared" ref="T2:T65" ca="1" si="0">IF(AND(S2&lt;&gt;"Clôturée",Q2&lt;&gt;"",TODAY()&gt;Q2),TODAY()-Q2,0)</f>
        <v>0</v>
      </c>
      <c r="U2" s="1" t="str">
        <f t="shared" ref="U2:U65" si="1">IF(M2="Critique","P1",IF(M2="Majeure","P2",IF(M2="Mineure","P3","")))</f>
        <v/>
      </c>
      <c r="V2" s="1" t="s">
        <v>272</v>
      </c>
      <c r="W2" s="1"/>
    </row>
    <row r="3" spans="1:23">
      <c r="A3" s="1" t="s">
        <v>273</v>
      </c>
      <c r="B3" s="8"/>
      <c r="C3" s="1"/>
      <c r="D3" s="1" t="s">
        <v>69</v>
      </c>
      <c r="E3" s="1" t="s">
        <v>268</v>
      </c>
      <c r="F3" s="1" t="s">
        <v>274</v>
      </c>
      <c r="G3" s="1" t="s">
        <v>275</v>
      </c>
      <c r="H3" s="1" t="s">
        <v>84</v>
      </c>
      <c r="I3" s="1" t="s">
        <v>64</v>
      </c>
      <c r="J3" s="1" t="s">
        <v>85</v>
      </c>
      <c r="K3" s="1" t="s">
        <v>276</v>
      </c>
      <c r="L3" s="1"/>
      <c r="M3" s="1" t="s">
        <v>61</v>
      </c>
      <c r="N3" s="1"/>
      <c r="O3" s="1"/>
      <c r="P3" s="1"/>
      <c r="Q3" s="8"/>
      <c r="R3" s="8"/>
      <c r="S3" s="1" t="s">
        <v>62</v>
      </c>
      <c r="T3" s="6">
        <f t="shared" ca="1" si="0"/>
        <v>0</v>
      </c>
      <c r="U3" s="1" t="str">
        <f t="shared" si="1"/>
        <v/>
      </c>
      <c r="V3" s="1" t="s">
        <v>272</v>
      </c>
      <c r="W3" s="1"/>
    </row>
    <row r="4" spans="1:23">
      <c r="A4" s="1" t="s">
        <v>277</v>
      </c>
      <c r="B4" s="8"/>
      <c r="C4" s="1"/>
      <c r="D4" s="1" t="s">
        <v>69</v>
      </c>
      <c r="E4" s="1" t="s">
        <v>278</v>
      </c>
      <c r="F4" s="1" t="s">
        <v>279</v>
      </c>
      <c r="G4" s="1" t="s">
        <v>280</v>
      </c>
      <c r="H4" s="1" t="s">
        <v>84</v>
      </c>
      <c r="I4" s="1" t="s">
        <v>64</v>
      </c>
      <c r="J4" s="1" t="s">
        <v>85</v>
      </c>
      <c r="K4" s="1" t="s">
        <v>281</v>
      </c>
      <c r="L4" s="1"/>
      <c r="M4" s="1" t="s">
        <v>61</v>
      </c>
      <c r="N4" s="1"/>
      <c r="O4" s="1"/>
      <c r="P4" s="1"/>
      <c r="Q4" s="8"/>
      <c r="R4" s="8"/>
      <c r="S4" s="1" t="s">
        <v>62</v>
      </c>
      <c r="T4" s="6">
        <f t="shared" ca="1" si="0"/>
        <v>0</v>
      </c>
      <c r="U4" s="1" t="str">
        <f t="shared" si="1"/>
        <v/>
      </c>
      <c r="V4" s="1" t="s">
        <v>272</v>
      </c>
      <c r="W4" s="1"/>
    </row>
    <row r="5" spans="1:23" ht="28.5">
      <c r="A5" s="1" t="s">
        <v>282</v>
      </c>
      <c r="B5" s="8"/>
      <c r="C5" s="1"/>
      <c r="D5" s="1" t="s">
        <v>69</v>
      </c>
      <c r="E5" s="1" t="s">
        <v>283</v>
      </c>
      <c r="F5" s="1" t="s">
        <v>284</v>
      </c>
      <c r="G5" s="1" t="s">
        <v>285</v>
      </c>
      <c r="H5" s="1" t="s">
        <v>84</v>
      </c>
      <c r="I5" s="1" t="s">
        <v>64</v>
      </c>
      <c r="J5" s="1" t="s">
        <v>85</v>
      </c>
      <c r="K5" s="1" t="s">
        <v>286</v>
      </c>
      <c r="L5" s="1"/>
      <c r="M5" s="1" t="s">
        <v>61</v>
      </c>
      <c r="N5" s="1"/>
      <c r="O5" s="1"/>
      <c r="P5" s="1"/>
      <c r="Q5" s="8"/>
      <c r="R5" s="8"/>
      <c r="S5" s="1" t="s">
        <v>62</v>
      </c>
      <c r="T5" s="6">
        <f t="shared" ca="1" si="0"/>
        <v>0</v>
      </c>
      <c r="U5" s="1" t="str">
        <f t="shared" si="1"/>
        <v/>
      </c>
      <c r="V5" s="1" t="s">
        <v>272</v>
      </c>
      <c r="W5" s="1"/>
    </row>
    <row r="6" spans="1:23">
      <c r="A6" s="1" t="s">
        <v>287</v>
      </c>
      <c r="B6" s="8"/>
      <c r="C6" s="1"/>
      <c r="D6" s="1" t="s">
        <v>69</v>
      </c>
      <c r="E6" s="1" t="s">
        <v>288</v>
      </c>
      <c r="F6" s="1" t="s">
        <v>289</v>
      </c>
      <c r="G6" s="1" t="s">
        <v>290</v>
      </c>
      <c r="H6" s="1" t="s">
        <v>84</v>
      </c>
      <c r="I6" s="1" t="s">
        <v>64</v>
      </c>
      <c r="J6" s="1" t="s">
        <v>85</v>
      </c>
      <c r="K6" s="1" t="s">
        <v>291</v>
      </c>
      <c r="L6" s="1"/>
      <c r="M6" s="1" t="s">
        <v>61</v>
      </c>
      <c r="N6" s="1"/>
      <c r="O6" s="1"/>
      <c r="P6" s="1"/>
      <c r="Q6" s="8"/>
      <c r="R6" s="8"/>
      <c r="S6" s="1" t="s">
        <v>62</v>
      </c>
      <c r="T6" s="6">
        <f t="shared" ca="1" si="0"/>
        <v>0</v>
      </c>
      <c r="U6" s="1" t="str">
        <f t="shared" si="1"/>
        <v/>
      </c>
      <c r="V6" s="1" t="s">
        <v>272</v>
      </c>
      <c r="W6" s="1"/>
    </row>
    <row r="7" spans="1:23" ht="28.5">
      <c r="A7" s="1" t="s">
        <v>292</v>
      </c>
      <c r="B7" s="8"/>
      <c r="C7" s="1"/>
      <c r="D7" s="1" t="s">
        <v>69</v>
      </c>
      <c r="E7" s="1" t="s">
        <v>293</v>
      </c>
      <c r="F7" s="1" t="s">
        <v>294</v>
      </c>
      <c r="G7" s="1" t="s">
        <v>295</v>
      </c>
      <c r="H7" s="1" t="s">
        <v>84</v>
      </c>
      <c r="I7" s="1" t="s">
        <v>64</v>
      </c>
      <c r="J7" s="1" t="s">
        <v>85</v>
      </c>
      <c r="K7" s="1" t="s">
        <v>296</v>
      </c>
      <c r="L7" s="1"/>
      <c r="M7" s="1" t="s">
        <v>61</v>
      </c>
      <c r="N7" s="1"/>
      <c r="O7" s="1"/>
      <c r="P7" s="1"/>
      <c r="Q7" s="8"/>
      <c r="R7" s="8"/>
      <c r="S7" s="1" t="s">
        <v>62</v>
      </c>
      <c r="T7" s="6">
        <f t="shared" ca="1" si="0"/>
        <v>0</v>
      </c>
      <c r="U7" s="1" t="str">
        <f t="shared" si="1"/>
        <v/>
      </c>
      <c r="V7" s="1" t="s">
        <v>272</v>
      </c>
      <c r="W7" s="1"/>
    </row>
    <row r="8" spans="1:23" ht="28.5">
      <c r="A8" s="1" t="s">
        <v>297</v>
      </c>
      <c r="B8" s="8"/>
      <c r="C8" s="1"/>
      <c r="D8" s="1" t="s">
        <v>69</v>
      </c>
      <c r="E8" s="1" t="s">
        <v>298</v>
      </c>
      <c r="F8" s="1" t="s">
        <v>299</v>
      </c>
      <c r="G8" s="1" t="s">
        <v>300</v>
      </c>
      <c r="H8" s="1" t="s">
        <v>84</v>
      </c>
      <c r="I8" s="1" t="s">
        <v>64</v>
      </c>
      <c r="J8" s="1" t="s">
        <v>85</v>
      </c>
      <c r="K8" s="1" t="s">
        <v>301</v>
      </c>
      <c r="L8" s="1"/>
      <c r="M8" s="1" t="s">
        <v>61</v>
      </c>
      <c r="N8" s="1"/>
      <c r="O8" s="1"/>
      <c r="P8" s="1"/>
      <c r="Q8" s="8"/>
      <c r="R8" s="8"/>
      <c r="S8" s="1" t="s">
        <v>62</v>
      </c>
      <c r="T8" s="6">
        <f t="shared" ca="1" si="0"/>
        <v>0</v>
      </c>
      <c r="U8" s="1" t="str">
        <f t="shared" si="1"/>
        <v/>
      </c>
      <c r="V8" s="1" t="s">
        <v>272</v>
      </c>
      <c r="W8" s="1"/>
    </row>
    <row r="9" spans="1:23" ht="28.5">
      <c r="A9" s="1" t="s">
        <v>302</v>
      </c>
      <c r="B9" s="8"/>
      <c r="C9" s="1"/>
      <c r="D9" s="1" t="s">
        <v>69</v>
      </c>
      <c r="E9" s="1" t="s">
        <v>303</v>
      </c>
      <c r="F9" s="1" t="s">
        <v>304</v>
      </c>
      <c r="G9" s="1" t="s">
        <v>305</v>
      </c>
      <c r="H9" s="1" t="s">
        <v>84</v>
      </c>
      <c r="I9" s="1" t="s">
        <v>64</v>
      </c>
      <c r="J9" s="1" t="s">
        <v>85</v>
      </c>
      <c r="K9" s="1" t="s">
        <v>306</v>
      </c>
      <c r="L9" s="1"/>
      <c r="M9" s="1" t="s">
        <v>61</v>
      </c>
      <c r="N9" s="1"/>
      <c r="O9" s="1"/>
      <c r="P9" s="1"/>
      <c r="Q9" s="8"/>
      <c r="R9" s="8"/>
      <c r="S9" s="1" t="s">
        <v>62</v>
      </c>
      <c r="T9" s="6">
        <f t="shared" ca="1" si="0"/>
        <v>0</v>
      </c>
      <c r="U9" s="1" t="str">
        <f t="shared" si="1"/>
        <v/>
      </c>
      <c r="V9" s="1" t="s">
        <v>272</v>
      </c>
      <c r="W9" s="1"/>
    </row>
    <row r="10" spans="1:23">
      <c r="A10" s="1"/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8"/>
      <c r="R10" s="8"/>
      <c r="S10" s="1"/>
      <c r="T10" s="6">
        <f t="shared" ca="1" si="0"/>
        <v>0</v>
      </c>
      <c r="U10" s="1" t="str">
        <f t="shared" si="1"/>
        <v/>
      </c>
      <c r="V10" s="1"/>
      <c r="W10" s="1"/>
    </row>
    <row r="11" spans="1:23">
      <c r="A11" s="1"/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8"/>
      <c r="R11" s="8"/>
      <c r="S11" s="1"/>
      <c r="T11" s="6">
        <f t="shared" ca="1" si="0"/>
        <v>0</v>
      </c>
      <c r="U11" s="1" t="str">
        <f t="shared" si="1"/>
        <v/>
      </c>
      <c r="V11" s="1"/>
      <c r="W11" s="1"/>
    </row>
    <row r="12" spans="1:23">
      <c r="A12" s="1"/>
      <c r="B12" s="8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8"/>
      <c r="R12" s="8"/>
      <c r="S12" s="1"/>
      <c r="T12" s="6">
        <f t="shared" ca="1" si="0"/>
        <v>0</v>
      </c>
      <c r="U12" s="1" t="str">
        <f t="shared" si="1"/>
        <v/>
      </c>
      <c r="V12" s="1"/>
      <c r="W12" s="1"/>
    </row>
    <row r="13" spans="1:23">
      <c r="A13" s="1"/>
      <c r="B13" s="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8"/>
      <c r="R13" s="8"/>
      <c r="S13" s="1"/>
      <c r="T13" s="6">
        <f t="shared" ca="1" si="0"/>
        <v>0</v>
      </c>
      <c r="U13" s="1" t="str">
        <f t="shared" si="1"/>
        <v/>
      </c>
      <c r="V13" s="1"/>
      <c r="W13" s="1"/>
    </row>
    <row r="14" spans="1:23">
      <c r="A14" s="1"/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8"/>
      <c r="R14" s="8"/>
      <c r="S14" s="1"/>
      <c r="T14" s="6">
        <f t="shared" ca="1" si="0"/>
        <v>0</v>
      </c>
      <c r="U14" s="1" t="str">
        <f t="shared" si="1"/>
        <v/>
      </c>
      <c r="V14" s="1"/>
      <c r="W14" s="1"/>
    </row>
    <row r="15" spans="1:23">
      <c r="A15" s="1"/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8"/>
      <c r="R15" s="8"/>
      <c r="S15" s="1"/>
      <c r="T15" s="6">
        <f t="shared" ca="1" si="0"/>
        <v>0</v>
      </c>
      <c r="U15" s="1" t="str">
        <f t="shared" si="1"/>
        <v/>
      </c>
      <c r="V15" s="1"/>
      <c r="W15" s="1"/>
    </row>
    <row r="16" spans="1:23">
      <c r="A16" s="1"/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8"/>
      <c r="R16" s="8"/>
      <c r="S16" s="1"/>
      <c r="T16" s="6">
        <f t="shared" ca="1" si="0"/>
        <v>0</v>
      </c>
      <c r="U16" s="1" t="str">
        <f t="shared" si="1"/>
        <v/>
      </c>
      <c r="V16" s="1"/>
      <c r="W16" s="1"/>
    </row>
    <row r="17" spans="1:23">
      <c r="A17" s="1"/>
      <c r="B17" s="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8"/>
      <c r="R17" s="8"/>
      <c r="S17" s="1"/>
      <c r="T17" s="6">
        <f t="shared" ca="1" si="0"/>
        <v>0</v>
      </c>
      <c r="U17" s="1" t="str">
        <f t="shared" si="1"/>
        <v/>
      </c>
      <c r="V17" s="1"/>
      <c r="W17" s="1"/>
    </row>
    <row r="18" spans="1:23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8"/>
      <c r="R18" s="8"/>
      <c r="S18" s="1"/>
      <c r="T18" s="6">
        <f t="shared" ca="1" si="0"/>
        <v>0</v>
      </c>
      <c r="U18" s="1" t="str">
        <f t="shared" si="1"/>
        <v/>
      </c>
      <c r="V18" s="1"/>
      <c r="W18" s="1"/>
    </row>
    <row r="19" spans="1:23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8"/>
      <c r="R19" s="8"/>
      <c r="S19" s="1"/>
      <c r="T19" s="6">
        <f t="shared" ca="1" si="0"/>
        <v>0</v>
      </c>
      <c r="U19" s="1" t="str">
        <f t="shared" si="1"/>
        <v/>
      </c>
      <c r="V19" s="1"/>
      <c r="W19" s="1"/>
    </row>
    <row r="20" spans="1:23">
      <c r="A20" s="1"/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8"/>
      <c r="R20" s="8"/>
      <c r="S20" s="1"/>
      <c r="T20" s="6">
        <f t="shared" ca="1" si="0"/>
        <v>0</v>
      </c>
      <c r="U20" s="1" t="str">
        <f t="shared" si="1"/>
        <v/>
      </c>
      <c r="V20" s="1"/>
      <c r="W20" s="1"/>
    </row>
    <row r="21" spans="1:23">
      <c r="A21" s="1"/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8"/>
      <c r="R21" s="8"/>
      <c r="S21" s="1"/>
      <c r="T21" s="6">
        <f t="shared" ca="1" si="0"/>
        <v>0</v>
      </c>
      <c r="U21" s="1" t="str">
        <f t="shared" si="1"/>
        <v/>
      </c>
      <c r="V21" s="1"/>
      <c r="W21" s="1"/>
    </row>
    <row r="22" spans="1:23">
      <c r="A22" s="1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8"/>
      <c r="R22" s="8"/>
      <c r="S22" s="1"/>
      <c r="T22" s="6">
        <f t="shared" ca="1" si="0"/>
        <v>0</v>
      </c>
      <c r="U22" s="1" t="str">
        <f t="shared" si="1"/>
        <v/>
      </c>
      <c r="V22" s="1"/>
      <c r="W22" s="1"/>
    </row>
    <row r="23" spans="1:23">
      <c r="A23" s="1"/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8"/>
      <c r="R23" s="8"/>
      <c r="S23" s="1"/>
      <c r="T23" s="6">
        <f t="shared" ca="1" si="0"/>
        <v>0</v>
      </c>
      <c r="U23" s="1" t="str">
        <f t="shared" si="1"/>
        <v/>
      </c>
      <c r="V23" s="1"/>
      <c r="W23" s="1"/>
    </row>
    <row r="24" spans="1:23">
      <c r="A24" s="1"/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8"/>
      <c r="R24" s="8"/>
      <c r="S24" s="1"/>
      <c r="T24" s="6">
        <f t="shared" ca="1" si="0"/>
        <v>0</v>
      </c>
      <c r="U24" s="1" t="str">
        <f t="shared" si="1"/>
        <v/>
      </c>
      <c r="V24" s="1"/>
      <c r="W24" s="1"/>
    </row>
    <row r="25" spans="1:23">
      <c r="A25" s="1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8"/>
      <c r="R25" s="8"/>
      <c r="S25" s="1"/>
      <c r="T25" s="6">
        <f t="shared" ca="1" si="0"/>
        <v>0</v>
      </c>
      <c r="U25" s="1" t="str">
        <f t="shared" si="1"/>
        <v/>
      </c>
      <c r="V25" s="1"/>
      <c r="W25" s="1"/>
    </row>
    <row r="26" spans="1:23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8"/>
      <c r="R26" s="8"/>
      <c r="S26" s="1"/>
      <c r="T26" s="6">
        <f t="shared" ca="1" si="0"/>
        <v>0</v>
      </c>
      <c r="U26" s="1" t="str">
        <f t="shared" si="1"/>
        <v/>
      </c>
      <c r="V26" s="1"/>
      <c r="W26" s="1"/>
    </row>
    <row r="27" spans="1:23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8"/>
      <c r="R27" s="8"/>
      <c r="S27" s="1"/>
      <c r="T27" s="6">
        <f t="shared" ca="1" si="0"/>
        <v>0</v>
      </c>
      <c r="U27" s="1" t="str">
        <f t="shared" si="1"/>
        <v/>
      </c>
      <c r="V27" s="1"/>
      <c r="W27" s="1"/>
    </row>
    <row r="28" spans="1:23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8"/>
      <c r="R28" s="8"/>
      <c r="S28" s="1"/>
      <c r="T28" s="6">
        <f t="shared" ca="1" si="0"/>
        <v>0</v>
      </c>
      <c r="U28" s="1" t="str">
        <f t="shared" si="1"/>
        <v/>
      </c>
      <c r="V28" s="1"/>
      <c r="W28" s="1"/>
    </row>
    <row r="29" spans="1:23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8"/>
      <c r="R29" s="8"/>
      <c r="S29" s="1"/>
      <c r="T29" s="6">
        <f t="shared" ca="1" si="0"/>
        <v>0</v>
      </c>
      <c r="U29" s="1" t="str">
        <f t="shared" si="1"/>
        <v/>
      </c>
      <c r="V29" s="1"/>
      <c r="W29" s="1"/>
    </row>
    <row r="30" spans="1:23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8"/>
      <c r="R30" s="8"/>
      <c r="S30" s="1"/>
      <c r="T30" s="6">
        <f t="shared" ca="1" si="0"/>
        <v>0</v>
      </c>
      <c r="U30" s="1" t="str">
        <f t="shared" si="1"/>
        <v/>
      </c>
      <c r="V30" s="1"/>
      <c r="W30" s="1"/>
    </row>
    <row r="31" spans="1:23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8"/>
      <c r="R31" s="8"/>
      <c r="S31" s="1"/>
      <c r="T31" s="6">
        <f t="shared" ca="1" si="0"/>
        <v>0</v>
      </c>
      <c r="U31" s="1" t="str">
        <f t="shared" si="1"/>
        <v/>
      </c>
      <c r="V31" s="1"/>
      <c r="W31" s="1"/>
    </row>
    <row r="32" spans="1:23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8"/>
      <c r="R32" s="8"/>
      <c r="S32" s="1"/>
      <c r="T32" s="6">
        <f t="shared" ca="1" si="0"/>
        <v>0</v>
      </c>
      <c r="U32" s="1" t="str">
        <f t="shared" si="1"/>
        <v/>
      </c>
      <c r="V32" s="1"/>
      <c r="W32" s="1"/>
    </row>
    <row r="33" spans="1:23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8"/>
      <c r="R33" s="8"/>
      <c r="S33" s="1"/>
      <c r="T33" s="6">
        <f t="shared" ca="1" si="0"/>
        <v>0</v>
      </c>
      <c r="U33" s="1" t="str">
        <f t="shared" si="1"/>
        <v/>
      </c>
      <c r="V33" s="1"/>
      <c r="W33" s="1"/>
    </row>
    <row r="34" spans="1:23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8"/>
      <c r="R34" s="8"/>
      <c r="S34" s="1"/>
      <c r="T34" s="6">
        <f t="shared" ca="1" si="0"/>
        <v>0</v>
      </c>
      <c r="U34" s="1" t="str">
        <f t="shared" si="1"/>
        <v/>
      </c>
      <c r="V34" s="1"/>
      <c r="W34" s="1"/>
    </row>
    <row r="35" spans="1:23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8"/>
      <c r="R35" s="8"/>
      <c r="S35" s="1"/>
      <c r="T35" s="6">
        <f t="shared" ca="1" si="0"/>
        <v>0</v>
      </c>
      <c r="U35" s="1" t="str">
        <f t="shared" si="1"/>
        <v/>
      </c>
      <c r="V35" s="1"/>
      <c r="W35" s="1"/>
    </row>
    <row r="36" spans="1:23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8"/>
      <c r="R36" s="8"/>
      <c r="S36" s="1"/>
      <c r="T36" s="6">
        <f t="shared" ca="1" si="0"/>
        <v>0</v>
      </c>
      <c r="U36" s="1" t="str">
        <f t="shared" si="1"/>
        <v/>
      </c>
      <c r="V36" s="1"/>
      <c r="W36" s="1"/>
    </row>
    <row r="37" spans="1:23">
      <c r="A37" s="1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8"/>
      <c r="R37" s="8"/>
      <c r="S37" s="1"/>
      <c r="T37" s="6">
        <f t="shared" ca="1" si="0"/>
        <v>0</v>
      </c>
      <c r="U37" s="1" t="str">
        <f t="shared" si="1"/>
        <v/>
      </c>
      <c r="V37" s="1"/>
      <c r="W37" s="1"/>
    </row>
    <row r="38" spans="1:23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8"/>
      <c r="R38" s="8"/>
      <c r="S38" s="1"/>
      <c r="T38" s="6">
        <f t="shared" ca="1" si="0"/>
        <v>0</v>
      </c>
      <c r="U38" s="1" t="str">
        <f t="shared" si="1"/>
        <v/>
      </c>
      <c r="V38" s="1"/>
      <c r="W38" s="1"/>
    </row>
    <row r="39" spans="1:23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8"/>
      <c r="R39" s="8"/>
      <c r="S39" s="1"/>
      <c r="T39" s="6">
        <f t="shared" ca="1" si="0"/>
        <v>0</v>
      </c>
      <c r="U39" s="1" t="str">
        <f t="shared" si="1"/>
        <v/>
      </c>
      <c r="V39" s="1"/>
      <c r="W39" s="1"/>
    </row>
    <row r="40" spans="1:23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1"/>
      <c r="T40" s="6">
        <f t="shared" ca="1" si="0"/>
        <v>0</v>
      </c>
      <c r="U40" s="1" t="str">
        <f t="shared" si="1"/>
        <v/>
      </c>
      <c r="V40" s="1"/>
      <c r="W40" s="1"/>
    </row>
    <row r="41" spans="1:23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1"/>
      <c r="T41" s="6">
        <f t="shared" ca="1" si="0"/>
        <v>0</v>
      </c>
      <c r="U41" s="1" t="str">
        <f t="shared" si="1"/>
        <v/>
      </c>
      <c r="V41" s="1"/>
      <c r="W41" s="1"/>
    </row>
    <row r="42" spans="1:23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1"/>
      <c r="T42" s="6">
        <f t="shared" ca="1" si="0"/>
        <v>0</v>
      </c>
      <c r="U42" s="1" t="str">
        <f t="shared" si="1"/>
        <v/>
      </c>
      <c r="V42" s="1"/>
      <c r="W42" s="1"/>
    </row>
    <row r="43" spans="1:23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1"/>
      <c r="T43" s="6">
        <f t="shared" ca="1" si="0"/>
        <v>0</v>
      </c>
      <c r="U43" s="1" t="str">
        <f t="shared" si="1"/>
        <v/>
      </c>
      <c r="V43" s="1"/>
      <c r="W43" s="1"/>
    </row>
    <row r="44" spans="1:23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1"/>
      <c r="T44" s="6">
        <f t="shared" ca="1" si="0"/>
        <v>0</v>
      </c>
      <c r="U44" s="1" t="str">
        <f t="shared" si="1"/>
        <v/>
      </c>
      <c r="V44" s="1"/>
      <c r="W44" s="1"/>
    </row>
    <row r="45" spans="1:23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1"/>
      <c r="T45" s="6">
        <f t="shared" ca="1" si="0"/>
        <v>0</v>
      </c>
      <c r="U45" s="1" t="str">
        <f t="shared" si="1"/>
        <v/>
      </c>
      <c r="V45" s="1"/>
      <c r="W45" s="1"/>
    </row>
    <row r="46" spans="1:23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8"/>
      <c r="R46" s="8"/>
      <c r="S46" s="1"/>
      <c r="T46" s="6">
        <f t="shared" ca="1" si="0"/>
        <v>0</v>
      </c>
      <c r="U46" s="1" t="str">
        <f t="shared" si="1"/>
        <v/>
      </c>
      <c r="V46" s="1"/>
      <c r="W46" s="1"/>
    </row>
    <row r="47" spans="1:23">
      <c r="A47" s="1"/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8"/>
      <c r="R47" s="8"/>
      <c r="S47" s="1"/>
      <c r="T47" s="6">
        <f t="shared" ca="1" si="0"/>
        <v>0</v>
      </c>
      <c r="U47" s="1" t="str">
        <f t="shared" si="1"/>
        <v/>
      </c>
      <c r="V47" s="1"/>
      <c r="W47" s="1"/>
    </row>
    <row r="48" spans="1:23">
      <c r="A48" s="1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8"/>
      <c r="R48" s="8"/>
      <c r="S48" s="1"/>
      <c r="T48" s="6">
        <f t="shared" ca="1" si="0"/>
        <v>0</v>
      </c>
      <c r="U48" s="1" t="str">
        <f t="shared" si="1"/>
        <v/>
      </c>
      <c r="V48" s="1"/>
      <c r="W48" s="1"/>
    </row>
    <row r="49" spans="1:23">
      <c r="A49" s="1"/>
      <c r="B49" s="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8"/>
      <c r="R49" s="8"/>
      <c r="S49" s="1"/>
      <c r="T49" s="6">
        <f t="shared" ca="1" si="0"/>
        <v>0</v>
      </c>
      <c r="U49" s="1" t="str">
        <f t="shared" si="1"/>
        <v/>
      </c>
      <c r="V49" s="1"/>
      <c r="W49" s="1"/>
    </row>
    <row r="50" spans="1:23">
      <c r="A50" s="1"/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8"/>
      <c r="R50" s="8"/>
      <c r="S50" s="1"/>
      <c r="T50" s="6">
        <f t="shared" ca="1" si="0"/>
        <v>0</v>
      </c>
      <c r="U50" s="1" t="str">
        <f t="shared" si="1"/>
        <v/>
      </c>
      <c r="V50" s="1"/>
      <c r="W50" s="1"/>
    </row>
    <row r="51" spans="1:23">
      <c r="A51" s="1"/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8"/>
      <c r="R51" s="8"/>
      <c r="S51" s="1"/>
      <c r="T51" s="6">
        <f t="shared" ca="1" si="0"/>
        <v>0</v>
      </c>
      <c r="U51" s="1" t="str">
        <f t="shared" si="1"/>
        <v/>
      </c>
      <c r="V51" s="1"/>
      <c r="W51" s="1"/>
    </row>
    <row r="52" spans="1:23">
      <c r="A52" s="1"/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8"/>
      <c r="R52" s="8"/>
      <c r="S52" s="1"/>
      <c r="T52" s="6">
        <f t="shared" ca="1" si="0"/>
        <v>0</v>
      </c>
      <c r="U52" s="1" t="str">
        <f t="shared" si="1"/>
        <v/>
      </c>
      <c r="V52" s="1"/>
      <c r="W52" s="1"/>
    </row>
    <row r="53" spans="1:23">
      <c r="A53" s="1"/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8"/>
      <c r="R53" s="8"/>
      <c r="S53" s="1"/>
      <c r="T53" s="6">
        <f t="shared" ca="1" si="0"/>
        <v>0</v>
      </c>
      <c r="U53" s="1" t="str">
        <f t="shared" si="1"/>
        <v/>
      </c>
      <c r="V53" s="1"/>
      <c r="W53" s="1"/>
    </row>
    <row r="54" spans="1:23">
      <c r="A54" s="1"/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8"/>
      <c r="R54" s="8"/>
      <c r="S54" s="1"/>
      <c r="T54" s="6">
        <f t="shared" ca="1" si="0"/>
        <v>0</v>
      </c>
      <c r="U54" s="1" t="str">
        <f t="shared" si="1"/>
        <v/>
      </c>
      <c r="V54" s="1"/>
      <c r="W54" s="1"/>
    </row>
    <row r="55" spans="1:23">
      <c r="A55" s="1"/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8"/>
      <c r="R55" s="8"/>
      <c r="S55" s="1"/>
      <c r="T55" s="6">
        <f t="shared" ca="1" si="0"/>
        <v>0</v>
      </c>
      <c r="U55" s="1" t="str">
        <f t="shared" si="1"/>
        <v/>
      </c>
      <c r="V55" s="1"/>
      <c r="W55" s="1"/>
    </row>
    <row r="56" spans="1:23">
      <c r="A56" s="1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8"/>
      <c r="R56" s="8"/>
      <c r="S56" s="1"/>
      <c r="T56" s="6">
        <f t="shared" ca="1" si="0"/>
        <v>0</v>
      </c>
      <c r="U56" s="1" t="str">
        <f t="shared" si="1"/>
        <v/>
      </c>
      <c r="V56" s="1"/>
      <c r="W56" s="1"/>
    </row>
    <row r="57" spans="1:23">
      <c r="A57" s="1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8"/>
      <c r="R57" s="8"/>
      <c r="S57" s="1"/>
      <c r="T57" s="6">
        <f t="shared" ca="1" si="0"/>
        <v>0</v>
      </c>
      <c r="U57" s="1" t="str">
        <f t="shared" si="1"/>
        <v/>
      </c>
      <c r="V57" s="1"/>
      <c r="W57" s="1"/>
    </row>
    <row r="58" spans="1:23">
      <c r="A58" s="1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8"/>
      <c r="R58" s="8"/>
      <c r="S58" s="1"/>
      <c r="T58" s="6">
        <f t="shared" ca="1" si="0"/>
        <v>0</v>
      </c>
      <c r="U58" s="1" t="str">
        <f t="shared" si="1"/>
        <v/>
      </c>
      <c r="V58" s="1"/>
      <c r="W58" s="1"/>
    </row>
    <row r="59" spans="1:23">
      <c r="A59" s="1"/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8"/>
      <c r="R59" s="8"/>
      <c r="S59" s="1"/>
      <c r="T59" s="6">
        <f t="shared" ca="1" si="0"/>
        <v>0</v>
      </c>
      <c r="U59" s="1" t="str">
        <f t="shared" si="1"/>
        <v/>
      </c>
      <c r="V59" s="1"/>
      <c r="W59" s="1"/>
    </row>
    <row r="60" spans="1:23">
      <c r="A60" s="1"/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8"/>
      <c r="R60" s="8"/>
      <c r="S60" s="1"/>
      <c r="T60" s="6">
        <f t="shared" ca="1" si="0"/>
        <v>0</v>
      </c>
      <c r="U60" s="1" t="str">
        <f t="shared" si="1"/>
        <v/>
      </c>
      <c r="V60" s="1"/>
      <c r="W60" s="1"/>
    </row>
    <row r="61" spans="1:23">
      <c r="A61" s="1"/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8"/>
      <c r="R61" s="8"/>
      <c r="S61" s="1"/>
      <c r="T61" s="6">
        <f t="shared" ca="1" si="0"/>
        <v>0</v>
      </c>
      <c r="U61" s="1" t="str">
        <f t="shared" si="1"/>
        <v/>
      </c>
      <c r="V61" s="1"/>
      <c r="W61" s="1"/>
    </row>
    <row r="62" spans="1:23">
      <c r="A62" s="1"/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8"/>
      <c r="R62" s="8"/>
      <c r="S62" s="1"/>
      <c r="T62" s="6">
        <f t="shared" ca="1" si="0"/>
        <v>0</v>
      </c>
      <c r="U62" s="1" t="str">
        <f t="shared" si="1"/>
        <v/>
      </c>
      <c r="V62" s="1"/>
      <c r="W62" s="1"/>
    </row>
    <row r="63" spans="1:23">
      <c r="A63" s="1"/>
      <c r="B63" s="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8"/>
      <c r="R63" s="8"/>
      <c r="S63" s="1"/>
      <c r="T63" s="6">
        <f t="shared" ca="1" si="0"/>
        <v>0</v>
      </c>
      <c r="U63" s="1" t="str">
        <f t="shared" si="1"/>
        <v/>
      </c>
      <c r="V63" s="1"/>
      <c r="W63" s="1"/>
    </row>
    <row r="64" spans="1:23">
      <c r="A64" s="1"/>
      <c r="B64" s="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8"/>
      <c r="R64" s="8"/>
      <c r="S64" s="1"/>
      <c r="T64" s="6">
        <f t="shared" ca="1" si="0"/>
        <v>0</v>
      </c>
      <c r="U64" s="1" t="str">
        <f t="shared" si="1"/>
        <v/>
      </c>
      <c r="V64" s="1"/>
      <c r="W64" s="1"/>
    </row>
    <row r="65" spans="1:23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8"/>
      <c r="R65" s="8"/>
      <c r="S65" s="1"/>
      <c r="T65" s="6">
        <f t="shared" ca="1" si="0"/>
        <v>0</v>
      </c>
      <c r="U65" s="1" t="str">
        <f t="shared" si="1"/>
        <v/>
      </c>
      <c r="V65" s="1"/>
      <c r="W65" s="1"/>
    </row>
    <row r="66" spans="1:23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8"/>
      <c r="R66" s="8"/>
      <c r="S66" s="1"/>
      <c r="T66" s="6">
        <f t="shared" ref="T66:T129" ca="1" si="2">IF(AND(S66&lt;&gt;"Clôturée",Q66&lt;&gt;"",TODAY()&gt;Q66),TODAY()-Q66,0)</f>
        <v>0</v>
      </c>
      <c r="U66" s="1" t="str">
        <f t="shared" ref="U66:U129" si="3">IF(M66="Critique","P1",IF(M66="Majeure","P2",IF(M66="Mineure","P3","")))</f>
        <v/>
      </c>
      <c r="V66" s="1"/>
      <c r="W66" s="1"/>
    </row>
    <row r="67" spans="1:23">
      <c r="A67" s="1"/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8"/>
      <c r="R67" s="8"/>
      <c r="S67" s="1"/>
      <c r="T67" s="6">
        <f t="shared" ca="1" si="2"/>
        <v>0</v>
      </c>
      <c r="U67" s="1" t="str">
        <f t="shared" si="3"/>
        <v/>
      </c>
      <c r="V67" s="1"/>
      <c r="W67" s="1"/>
    </row>
    <row r="68" spans="1:23">
      <c r="A68" s="1"/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8"/>
      <c r="R68" s="8"/>
      <c r="S68" s="1"/>
      <c r="T68" s="6">
        <f t="shared" ca="1" si="2"/>
        <v>0</v>
      </c>
      <c r="U68" s="1" t="str">
        <f t="shared" si="3"/>
        <v/>
      </c>
      <c r="V68" s="1"/>
      <c r="W68" s="1"/>
    </row>
    <row r="69" spans="1:23">
      <c r="A69" s="1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8"/>
      <c r="R69" s="8"/>
      <c r="S69" s="1"/>
      <c r="T69" s="6">
        <f t="shared" ca="1" si="2"/>
        <v>0</v>
      </c>
      <c r="U69" s="1" t="str">
        <f t="shared" si="3"/>
        <v/>
      </c>
      <c r="V69" s="1"/>
      <c r="W69" s="1"/>
    </row>
    <row r="70" spans="1:23">
      <c r="A70" s="1"/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8"/>
      <c r="R70" s="8"/>
      <c r="S70" s="1"/>
      <c r="T70" s="6">
        <f t="shared" ca="1" si="2"/>
        <v>0</v>
      </c>
      <c r="U70" s="1" t="str">
        <f t="shared" si="3"/>
        <v/>
      </c>
      <c r="V70" s="1"/>
      <c r="W70" s="1"/>
    </row>
    <row r="71" spans="1:23">
      <c r="A71" s="1"/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8"/>
      <c r="R71" s="8"/>
      <c r="S71" s="1"/>
      <c r="T71" s="6">
        <f t="shared" ca="1" si="2"/>
        <v>0</v>
      </c>
      <c r="U71" s="1" t="str">
        <f t="shared" si="3"/>
        <v/>
      </c>
      <c r="V71" s="1"/>
      <c r="W71" s="1"/>
    </row>
    <row r="72" spans="1:23">
      <c r="A72" s="1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8"/>
      <c r="R72" s="8"/>
      <c r="S72" s="1"/>
      <c r="T72" s="6">
        <f t="shared" ca="1" si="2"/>
        <v>0</v>
      </c>
      <c r="U72" s="1" t="str">
        <f t="shared" si="3"/>
        <v/>
      </c>
      <c r="V72" s="1"/>
      <c r="W72" s="1"/>
    </row>
    <row r="73" spans="1:23">
      <c r="A73" s="1"/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8"/>
      <c r="R73" s="8"/>
      <c r="S73" s="1"/>
      <c r="T73" s="6">
        <f t="shared" ca="1" si="2"/>
        <v>0</v>
      </c>
      <c r="U73" s="1" t="str">
        <f t="shared" si="3"/>
        <v/>
      </c>
      <c r="V73" s="1"/>
      <c r="W73" s="1"/>
    </row>
    <row r="74" spans="1:23">
      <c r="A74" s="1"/>
      <c r="B74" s="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8"/>
      <c r="R74" s="8"/>
      <c r="S74" s="1"/>
      <c r="T74" s="6">
        <f t="shared" ca="1" si="2"/>
        <v>0</v>
      </c>
      <c r="U74" s="1" t="str">
        <f t="shared" si="3"/>
        <v/>
      </c>
      <c r="V74" s="1"/>
      <c r="W74" s="1"/>
    </row>
    <row r="75" spans="1:23">
      <c r="A75" s="1"/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8"/>
      <c r="R75" s="8"/>
      <c r="S75" s="1"/>
      <c r="T75" s="6">
        <f t="shared" ca="1" si="2"/>
        <v>0</v>
      </c>
      <c r="U75" s="1" t="str">
        <f t="shared" si="3"/>
        <v/>
      </c>
      <c r="V75" s="1"/>
      <c r="W75" s="1"/>
    </row>
    <row r="76" spans="1:23">
      <c r="A76" s="1"/>
      <c r="B76" s="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8"/>
      <c r="R76" s="8"/>
      <c r="S76" s="1"/>
      <c r="T76" s="6">
        <f t="shared" ca="1" si="2"/>
        <v>0</v>
      </c>
      <c r="U76" s="1" t="str">
        <f t="shared" si="3"/>
        <v/>
      </c>
      <c r="V76" s="1"/>
      <c r="W76" s="1"/>
    </row>
    <row r="77" spans="1:23">
      <c r="A77" s="1"/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8"/>
      <c r="R77" s="8"/>
      <c r="S77" s="1"/>
      <c r="T77" s="6">
        <f t="shared" ca="1" si="2"/>
        <v>0</v>
      </c>
      <c r="U77" s="1" t="str">
        <f t="shared" si="3"/>
        <v/>
      </c>
      <c r="V77" s="1"/>
      <c r="W77" s="1"/>
    </row>
    <row r="78" spans="1:23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8"/>
      <c r="R78" s="8"/>
      <c r="S78" s="1"/>
      <c r="T78" s="6">
        <f t="shared" ca="1" si="2"/>
        <v>0</v>
      </c>
      <c r="U78" s="1" t="str">
        <f t="shared" si="3"/>
        <v/>
      </c>
      <c r="V78" s="1"/>
      <c r="W78" s="1"/>
    </row>
    <row r="79" spans="1:23">
      <c r="A79" s="1"/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8"/>
      <c r="R79" s="8"/>
      <c r="S79" s="1"/>
      <c r="T79" s="6">
        <f t="shared" ca="1" si="2"/>
        <v>0</v>
      </c>
      <c r="U79" s="1" t="str">
        <f t="shared" si="3"/>
        <v/>
      </c>
      <c r="V79" s="1"/>
      <c r="W79" s="1"/>
    </row>
    <row r="80" spans="1:23">
      <c r="A80" s="1"/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8"/>
      <c r="R80" s="8"/>
      <c r="S80" s="1"/>
      <c r="T80" s="6">
        <f t="shared" ca="1" si="2"/>
        <v>0</v>
      </c>
      <c r="U80" s="1" t="str">
        <f t="shared" si="3"/>
        <v/>
      </c>
      <c r="V80" s="1"/>
      <c r="W80" s="1"/>
    </row>
    <row r="81" spans="1:23">
      <c r="A81" s="1"/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8"/>
      <c r="R81" s="8"/>
      <c r="S81" s="1"/>
      <c r="T81" s="6">
        <f t="shared" ca="1" si="2"/>
        <v>0</v>
      </c>
      <c r="U81" s="1" t="str">
        <f t="shared" si="3"/>
        <v/>
      </c>
      <c r="V81" s="1"/>
      <c r="W81" s="1"/>
    </row>
    <row r="82" spans="1:23">
      <c r="A82" s="1"/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8"/>
      <c r="R82" s="8"/>
      <c r="S82" s="1"/>
      <c r="T82" s="6">
        <f t="shared" ca="1" si="2"/>
        <v>0</v>
      </c>
      <c r="U82" s="1" t="str">
        <f t="shared" si="3"/>
        <v/>
      </c>
      <c r="V82" s="1"/>
      <c r="W82" s="1"/>
    </row>
    <row r="83" spans="1:23">
      <c r="A83" s="1"/>
      <c r="B83" s="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8"/>
      <c r="R83" s="8"/>
      <c r="S83" s="1"/>
      <c r="T83" s="6">
        <f t="shared" ca="1" si="2"/>
        <v>0</v>
      </c>
      <c r="U83" s="1" t="str">
        <f t="shared" si="3"/>
        <v/>
      </c>
      <c r="V83" s="1"/>
      <c r="W83" s="1"/>
    </row>
    <row r="84" spans="1:23">
      <c r="A84" s="1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8"/>
      <c r="R84" s="8"/>
      <c r="S84" s="1"/>
      <c r="T84" s="6">
        <f t="shared" ca="1" si="2"/>
        <v>0</v>
      </c>
      <c r="U84" s="1" t="str">
        <f t="shared" si="3"/>
        <v/>
      </c>
      <c r="V84" s="1"/>
      <c r="W84" s="1"/>
    </row>
    <row r="85" spans="1:23">
      <c r="A85" s="1"/>
      <c r="B85" s="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8"/>
      <c r="R85" s="8"/>
      <c r="S85" s="1"/>
      <c r="T85" s="6">
        <f t="shared" ca="1" si="2"/>
        <v>0</v>
      </c>
      <c r="U85" s="1" t="str">
        <f t="shared" si="3"/>
        <v/>
      </c>
      <c r="V85" s="1"/>
      <c r="W85" s="1"/>
    </row>
    <row r="86" spans="1:23">
      <c r="A86" s="1"/>
      <c r="B86" s="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8"/>
      <c r="R86" s="8"/>
      <c r="S86" s="1"/>
      <c r="T86" s="6">
        <f t="shared" ca="1" si="2"/>
        <v>0</v>
      </c>
      <c r="U86" s="1" t="str">
        <f t="shared" si="3"/>
        <v/>
      </c>
      <c r="V86" s="1"/>
      <c r="W86" s="1"/>
    </row>
    <row r="87" spans="1:23">
      <c r="A87" s="1"/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8"/>
      <c r="R87" s="8"/>
      <c r="S87" s="1"/>
      <c r="T87" s="6">
        <f t="shared" ca="1" si="2"/>
        <v>0</v>
      </c>
      <c r="U87" s="1" t="str">
        <f t="shared" si="3"/>
        <v/>
      </c>
      <c r="V87" s="1"/>
      <c r="W87" s="1"/>
    </row>
    <row r="88" spans="1:23">
      <c r="A88" s="1"/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8"/>
      <c r="R88" s="8"/>
      <c r="S88" s="1"/>
      <c r="T88" s="6">
        <f t="shared" ca="1" si="2"/>
        <v>0</v>
      </c>
      <c r="U88" s="1" t="str">
        <f t="shared" si="3"/>
        <v/>
      </c>
      <c r="V88" s="1"/>
      <c r="W88" s="1"/>
    </row>
    <row r="89" spans="1:23">
      <c r="A89" s="1"/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8"/>
      <c r="R89" s="8"/>
      <c r="S89" s="1"/>
      <c r="T89" s="6">
        <f t="shared" ca="1" si="2"/>
        <v>0</v>
      </c>
      <c r="U89" s="1" t="str">
        <f t="shared" si="3"/>
        <v/>
      </c>
      <c r="V89" s="1"/>
      <c r="W89" s="1"/>
    </row>
    <row r="90" spans="1:23">
      <c r="A90" s="1"/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8"/>
      <c r="R90" s="8"/>
      <c r="S90" s="1"/>
      <c r="T90" s="6">
        <f t="shared" ca="1" si="2"/>
        <v>0</v>
      </c>
      <c r="U90" s="1" t="str">
        <f t="shared" si="3"/>
        <v/>
      </c>
      <c r="V90" s="1"/>
      <c r="W90" s="1"/>
    </row>
    <row r="91" spans="1:23">
      <c r="A91" s="1"/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8"/>
      <c r="R91" s="8"/>
      <c r="S91" s="1"/>
      <c r="T91" s="6">
        <f t="shared" ca="1" si="2"/>
        <v>0</v>
      </c>
      <c r="U91" s="1" t="str">
        <f t="shared" si="3"/>
        <v/>
      </c>
      <c r="V91" s="1"/>
      <c r="W91" s="1"/>
    </row>
    <row r="92" spans="1:23">
      <c r="A92" s="1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8"/>
      <c r="R92" s="8"/>
      <c r="S92" s="1"/>
      <c r="T92" s="6">
        <f t="shared" ca="1" si="2"/>
        <v>0</v>
      </c>
      <c r="U92" s="1" t="str">
        <f t="shared" si="3"/>
        <v/>
      </c>
      <c r="V92" s="1"/>
      <c r="W92" s="1"/>
    </row>
    <row r="93" spans="1:23">
      <c r="A93" s="1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8"/>
      <c r="R93" s="8"/>
      <c r="S93" s="1"/>
      <c r="T93" s="6">
        <f t="shared" ca="1" si="2"/>
        <v>0</v>
      </c>
      <c r="U93" s="1" t="str">
        <f t="shared" si="3"/>
        <v/>
      </c>
      <c r="V93" s="1"/>
      <c r="W93" s="1"/>
    </row>
    <row r="94" spans="1:23">
      <c r="A94" s="1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8"/>
      <c r="R94" s="8"/>
      <c r="S94" s="1"/>
      <c r="T94" s="6">
        <f t="shared" ca="1" si="2"/>
        <v>0</v>
      </c>
      <c r="U94" s="1" t="str">
        <f t="shared" si="3"/>
        <v/>
      </c>
      <c r="V94" s="1"/>
      <c r="W94" s="1"/>
    </row>
    <row r="95" spans="1:23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8"/>
      <c r="R95" s="8"/>
      <c r="S95" s="1"/>
      <c r="T95" s="6">
        <f t="shared" ca="1" si="2"/>
        <v>0</v>
      </c>
      <c r="U95" s="1" t="str">
        <f t="shared" si="3"/>
        <v/>
      </c>
      <c r="V95" s="1"/>
      <c r="W95" s="1"/>
    </row>
    <row r="96" spans="1:23">
      <c r="A96" s="1"/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8"/>
      <c r="R96" s="8"/>
      <c r="S96" s="1"/>
      <c r="T96" s="6">
        <f t="shared" ca="1" si="2"/>
        <v>0</v>
      </c>
      <c r="U96" s="1" t="str">
        <f t="shared" si="3"/>
        <v/>
      </c>
      <c r="V96" s="1"/>
      <c r="W96" s="1"/>
    </row>
    <row r="97" spans="1:23">
      <c r="A97" s="1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8"/>
      <c r="R97" s="8"/>
      <c r="S97" s="1"/>
      <c r="T97" s="6">
        <f t="shared" ca="1" si="2"/>
        <v>0</v>
      </c>
      <c r="U97" s="1" t="str">
        <f t="shared" si="3"/>
        <v/>
      </c>
      <c r="V97" s="1"/>
      <c r="W97" s="1"/>
    </row>
    <row r="98" spans="1:23">
      <c r="A98" s="1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8"/>
      <c r="R98" s="8"/>
      <c r="S98" s="1"/>
      <c r="T98" s="6">
        <f t="shared" ca="1" si="2"/>
        <v>0</v>
      </c>
      <c r="U98" s="1" t="str">
        <f t="shared" si="3"/>
        <v/>
      </c>
      <c r="V98" s="1"/>
      <c r="W98" s="1"/>
    </row>
    <row r="99" spans="1:23">
      <c r="A99" s="1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8"/>
      <c r="R99" s="8"/>
      <c r="S99" s="1"/>
      <c r="T99" s="6">
        <f t="shared" ca="1" si="2"/>
        <v>0</v>
      </c>
      <c r="U99" s="1" t="str">
        <f t="shared" si="3"/>
        <v/>
      </c>
      <c r="V99" s="1"/>
      <c r="W99" s="1"/>
    </row>
    <row r="100" spans="1:23">
      <c r="A100" s="1"/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8"/>
      <c r="R100" s="8"/>
      <c r="S100" s="1"/>
      <c r="T100" s="6">
        <f t="shared" ca="1" si="2"/>
        <v>0</v>
      </c>
      <c r="U100" s="1" t="str">
        <f t="shared" si="3"/>
        <v/>
      </c>
      <c r="V100" s="1"/>
      <c r="W100" s="1"/>
    </row>
    <row r="101" spans="1:23">
      <c r="A101" s="1"/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8"/>
      <c r="R101" s="8"/>
      <c r="S101" s="1"/>
      <c r="T101" s="6">
        <f t="shared" ca="1" si="2"/>
        <v>0</v>
      </c>
      <c r="U101" s="1" t="str">
        <f t="shared" si="3"/>
        <v/>
      </c>
      <c r="V101" s="1"/>
      <c r="W101" s="1"/>
    </row>
    <row r="102" spans="1:23">
      <c r="A102" s="1"/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8"/>
      <c r="R102" s="8"/>
      <c r="S102" s="1"/>
      <c r="T102" s="6">
        <f t="shared" ca="1" si="2"/>
        <v>0</v>
      </c>
      <c r="U102" s="1" t="str">
        <f t="shared" si="3"/>
        <v/>
      </c>
      <c r="V102" s="1"/>
      <c r="W102" s="1"/>
    </row>
    <row r="103" spans="1:23">
      <c r="A103" s="1"/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8"/>
      <c r="R103" s="8"/>
      <c r="S103" s="1"/>
      <c r="T103" s="6">
        <f t="shared" ca="1" si="2"/>
        <v>0</v>
      </c>
      <c r="U103" s="1" t="str">
        <f t="shared" si="3"/>
        <v/>
      </c>
      <c r="V103" s="1"/>
      <c r="W103" s="1"/>
    </row>
    <row r="104" spans="1:23">
      <c r="A104" s="1"/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8"/>
      <c r="R104" s="8"/>
      <c r="S104" s="1"/>
      <c r="T104" s="6">
        <f t="shared" ca="1" si="2"/>
        <v>0</v>
      </c>
      <c r="U104" s="1" t="str">
        <f t="shared" si="3"/>
        <v/>
      </c>
      <c r="V104" s="1"/>
      <c r="W104" s="1"/>
    </row>
    <row r="105" spans="1:23">
      <c r="A105" s="1"/>
      <c r="B105" s="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8"/>
      <c r="R105" s="8"/>
      <c r="S105" s="1"/>
      <c r="T105" s="6">
        <f t="shared" ca="1" si="2"/>
        <v>0</v>
      </c>
      <c r="U105" s="1" t="str">
        <f t="shared" si="3"/>
        <v/>
      </c>
      <c r="V105" s="1"/>
      <c r="W105" s="1"/>
    </row>
    <row r="106" spans="1:23">
      <c r="A106" s="1"/>
      <c r="B106" s="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8"/>
      <c r="R106" s="8"/>
      <c r="S106" s="1"/>
      <c r="T106" s="6">
        <f t="shared" ca="1" si="2"/>
        <v>0</v>
      </c>
      <c r="U106" s="1" t="str">
        <f t="shared" si="3"/>
        <v/>
      </c>
      <c r="V106" s="1"/>
      <c r="W106" s="1"/>
    </row>
    <row r="107" spans="1:23">
      <c r="A107" s="1"/>
      <c r="B107" s="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8"/>
      <c r="R107" s="8"/>
      <c r="S107" s="1"/>
      <c r="T107" s="6">
        <f t="shared" ca="1" si="2"/>
        <v>0</v>
      </c>
      <c r="U107" s="1" t="str">
        <f t="shared" si="3"/>
        <v/>
      </c>
      <c r="V107" s="1"/>
      <c r="W107" s="1"/>
    </row>
    <row r="108" spans="1:23">
      <c r="A108" s="1"/>
      <c r="B108" s="8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8"/>
      <c r="R108" s="8"/>
      <c r="S108" s="1"/>
      <c r="T108" s="6">
        <f t="shared" ca="1" si="2"/>
        <v>0</v>
      </c>
      <c r="U108" s="1" t="str">
        <f t="shared" si="3"/>
        <v/>
      </c>
      <c r="V108" s="1"/>
      <c r="W108" s="1"/>
    </row>
    <row r="109" spans="1:23">
      <c r="A109" s="1"/>
      <c r="B109" s="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8"/>
      <c r="R109" s="8"/>
      <c r="S109" s="1"/>
      <c r="T109" s="6">
        <f t="shared" ca="1" si="2"/>
        <v>0</v>
      </c>
      <c r="U109" s="1" t="str">
        <f t="shared" si="3"/>
        <v/>
      </c>
      <c r="V109" s="1"/>
      <c r="W109" s="1"/>
    </row>
    <row r="110" spans="1:23">
      <c r="A110" s="1"/>
      <c r="B110" s="8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8"/>
      <c r="R110" s="8"/>
      <c r="S110" s="1"/>
      <c r="T110" s="6">
        <f t="shared" ca="1" si="2"/>
        <v>0</v>
      </c>
      <c r="U110" s="1" t="str">
        <f t="shared" si="3"/>
        <v/>
      </c>
      <c r="V110" s="1"/>
      <c r="W110" s="1"/>
    </row>
    <row r="111" spans="1:23">
      <c r="A111" s="1"/>
      <c r="B111" s="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8"/>
      <c r="R111" s="8"/>
      <c r="S111" s="1"/>
      <c r="T111" s="6">
        <f t="shared" ca="1" si="2"/>
        <v>0</v>
      </c>
      <c r="U111" s="1" t="str">
        <f t="shared" si="3"/>
        <v/>
      </c>
      <c r="V111" s="1"/>
      <c r="W111" s="1"/>
    </row>
    <row r="112" spans="1:23">
      <c r="A112" s="1"/>
      <c r="B112" s="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8"/>
      <c r="R112" s="8"/>
      <c r="S112" s="1"/>
      <c r="T112" s="6">
        <f t="shared" ca="1" si="2"/>
        <v>0</v>
      </c>
      <c r="U112" s="1" t="str">
        <f t="shared" si="3"/>
        <v/>
      </c>
      <c r="V112" s="1"/>
      <c r="W112" s="1"/>
    </row>
    <row r="113" spans="1:23">
      <c r="A113" s="1"/>
      <c r="B113" s="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8"/>
      <c r="R113" s="8"/>
      <c r="S113" s="1"/>
      <c r="T113" s="6">
        <f t="shared" ca="1" si="2"/>
        <v>0</v>
      </c>
      <c r="U113" s="1" t="str">
        <f t="shared" si="3"/>
        <v/>
      </c>
      <c r="V113" s="1"/>
      <c r="W113" s="1"/>
    </row>
    <row r="114" spans="1:23">
      <c r="A114" s="1"/>
      <c r="B114" s="8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8"/>
      <c r="R114" s="8"/>
      <c r="S114" s="1"/>
      <c r="T114" s="6">
        <f t="shared" ca="1" si="2"/>
        <v>0</v>
      </c>
      <c r="U114" s="1" t="str">
        <f t="shared" si="3"/>
        <v/>
      </c>
      <c r="V114" s="1"/>
      <c r="W114" s="1"/>
    </row>
    <row r="115" spans="1:23">
      <c r="A115" s="1"/>
      <c r="B115" s="8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8"/>
      <c r="R115" s="8"/>
      <c r="S115" s="1"/>
      <c r="T115" s="6">
        <f t="shared" ca="1" si="2"/>
        <v>0</v>
      </c>
      <c r="U115" s="1" t="str">
        <f t="shared" si="3"/>
        <v/>
      </c>
      <c r="V115" s="1"/>
      <c r="W115" s="1"/>
    </row>
    <row r="116" spans="1:23">
      <c r="A116" s="1"/>
      <c r="B116" s="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8"/>
      <c r="R116" s="8"/>
      <c r="S116" s="1"/>
      <c r="T116" s="6">
        <f t="shared" ca="1" si="2"/>
        <v>0</v>
      </c>
      <c r="U116" s="1" t="str">
        <f t="shared" si="3"/>
        <v/>
      </c>
      <c r="V116" s="1"/>
      <c r="W116" s="1"/>
    </row>
    <row r="117" spans="1:23">
      <c r="A117" s="1"/>
      <c r="B117" s="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8"/>
      <c r="R117" s="8"/>
      <c r="S117" s="1"/>
      <c r="T117" s="6">
        <f t="shared" ca="1" si="2"/>
        <v>0</v>
      </c>
      <c r="U117" s="1" t="str">
        <f t="shared" si="3"/>
        <v/>
      </c>
      <c r="V117" s="1"/>
      <c r="W117" s="1"/>
    </row>
    <row r="118" spans="1:23">
      <c r="A118" s="1"/>
      <c r="B118" s="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8"/>
      <c r="R118" s="8"/>
      <c r="S118" s="1"/>
      <c r="T118" s="6">
        <f t="shared" ca="1" si="2"/>
        <v>0</v>
      </c>
      <c r="U118" s="1" t="str">
        <f t="shared" si="3"/>
        <v/>
      </c>
      <c r="V118" s="1"/>
      <c r="W118" s="1"/>
    </row>
    <row r="119" spans="1:23">
      <c r="A119" s="1"/>
      <c r="B119" s="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8"/>
      <c r="R119" s="8"/>
      <c r="S119" s="1"/>
      <c r="T119" s="6">
        <f t="shared" ca="1" si="2"/>
        <v>0</v>
      </c>
      <c r="U119" s="1" t="str">
        <f t="shared" si="3"/>
        <v/>
      </c>
      <c r="V119" s="1"/>
      <c r="W119" s="1"/>
    </row>
    <row r="120" spans="1:23">
      <c r="A120" s="1"/>
      <c r="B120" s="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8"/>
      <c r="R120" s="8"/>
      <c r="S120" s="1"/>
      <c r="T120" s="6">
        <f t="shared" ca="1" si="2"/>
        <v>0</v>
      </c>
      <c r="U120" s="1" t="str">
        <f t="shared" si="3"/>
        <v/>
      </c>
      <c r="V120" s="1"/>
      <c r="W120" s="1"/>
    </row>
    <row r="121" spans="1:23">
      <c r="A121" s="1"/>
      <c r="B121" s="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8"/>
      <c r="R121" s="8"/>
      <c r="S121" s="1"/>
      <c r="T121" s="6">
        <f t="shared" ca="1" si="2"/>
        <v>0</v>
      </c>
      <c r="U121" s="1" t="str">
        <f t="shared" si="3"/>
        <v/>
      </c>
      <c r="V121" s="1"/>
      <c r="W121" s="1"/>
    </row>
    <row r="122" spans="1:23">
      <c r="A122" s="1"/>
      <c r="B122" s="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8"/>
      <c r="R122" s="8"/>
      <c r="S122" s="1"/>
      <c r="T122" s="6">
        <f t="shared" ca="1" si="2"/>
        <v>0</v>
      </c>
      <c r="U122" s="1" t="str">
        <f t="shared" si="3"/>
        <v/>
      </c>
      <c r="V122" s="1"/>
      <c r="W122" s="1"/>
    </row>
    <row r="123" spans="1:23">
      <c r="A123" s="1"/>
      <c r="B123" s="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8"/>
      <c r="R123" s="8"/>
      <c r="S123" s="1"/>
      <c r="T123" s="6">
        <f t="shared" ca="1" si="2"/>
        <v>0</v>
      </c>
      <c r="U123" s="1" t="str">
        <f t="shared" si="3"/>
        <v/>
      </c>
      <c r="V123" s="1"/>
      <c r="W123" s="1"/>
    </row>
    <row r="124" spans="1:23">
      <c r="A124" s="1"/>
      <c r="B124" s="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8"/>
      <c r="R124" s="8"/>
      <c r="S124" s="1"/>
      <c r="T124" s="6">
        <f t="shared" ca="1" si="2"/>
        <v>0</v>
      </c>
      <c r="U124" s="1" t="str">
        <f t="shared" si="3"/>
        <v/>
      </c>
      <c r="V124" s="1"/>
      <c r="W124" s="1"/>
    </row>
    <row r="125" spans="1:23">
      <c r="A125" s="1"/>
      <c r="B125" s="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8"/>
      <c r="R125" s="8"/>
      <c r="S125" s="1"/>
      <c r="T125" s="6">
        <f t="shared" ca="1" si="2"/>
        <v>0</v>
      </c>
      <c r="U125" s="1" t="str">
        <f t="shared" si="3"/>
        <v/>
      </c>
      <c r="V125" s="1"/>
      <c r="W125" s="1"/>
    </row>
    <row r="126" spans="1:23">
      <c r="A126" s="1"/>
      <c r="B126" s="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8"/>
      <c r="R126" s="8"/>
      <c r="S126" s="1"/>
      <c r="T126" s="6">
        <f t="shared" ca="1" si="2"/>
        <v>0</v>
      </c>
      <c r="U126" s="1" t="str">
        <f t="shared" si="3"/>
        <v/>
      </c>
      <c r="V126" s="1"/>
      <c r="W126" s="1"/>
    </row>
    <row r="127" spans="1:23">
      <c r="A127" s="1"/>
      <c r="B127" s="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8"/>
      <c r="R127" s="8"/>
      <c r="S127" s="1"/>
      <c r="T127" s="6">
        <f t="shared" ca="1" si="2"/>
        <v>0</v>
      </c>
      <c r="U127" s="1" t="str">
        <f t="shared" si="3"/>
        <v/>
      </c>
      <c r="V127" s="1"/>
      <c r="W127" s="1"/>
    </row>
    <row r="128" spans="1:23">
      <c r="A128" s="1"/>
      <c r="B128" s="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8"/>
      <c r="R128" s="8"/>
      <c r="S128" s="1"/>
      <c r="T128" s="6">
        <f t="shared" ca="1" si="2"/>
        <v>0</v>
      </c>
      <c r="U128" s="1" t="str">
        <f t="shared" si="3"/>
        <v/>
      </c>
      <c r="V128" s="1"/>
      <c r="W128" s="1"/>
    </row>
    <row r="129" spans="1:23">
      <c r="A129" s="1"/>
      <c r="B129" s="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8"/>
      <c r="R129" s="8"/>
      <c r="S129" s="1"/>
      <c r="T129" s="6">
        <f t="shared" ca="1" si="2"/>
        <v>0</v>
      </c>
      <c r="U129" s="1" t="str">
        <f t="shared" si="3"/>
        <v/>
      </c>
      <c r="V129" s="1"/>
      <c r="W129" s="1"/>
    </row>
    <row r="130" spans="1:23">
      <c r="A130" s="1"/>
      <c r="B130" s="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8"/>
      <c r="R130" s="8"/>
      <c r="S130" s="1"/>
      <c r="T130" s="6">
        <f t="shared" ref="T130:T193" ca="1" si="4">IF(AND(S130&lt;&gt;"Clôturée",Q130&lt;&gt;"",TODAY()&gt;Q130),TODAY()-Q130,0)</f>
        <v>0</v>
      </c>
      <c r="U130" s="1" t="str">
        <f t="shared" ref="U130:U193" si="5">IF(M130="Critique","P1",IF(M130="Majeure","P2",IF(M130="Mineure","P3","")))</f>
        <v/>
      </c>
      <c r="V130" s="1"/>
      <c r="W130" s="1"/>
    </row>
    <row r="131" spans="1:23">
      <c r="A131" s="1"/>
      <c r="B131" s="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8"/>
      <c r="R131" s="8"/>
      <c r="S131" s="1"/>
      <c r="T131" s="6">
        <f t="shared" ca="1" si="4"/>
        <v>0</v>
      </c>
      <c r="U131" s="1" t="str">
        <f t="shared" si="5"/>
        <v/>
      </c>
      <c r="V131" s="1"/>
      <c r="W131" s="1"/>
    </row>
    <row r="132" spans="1:23">
      <c r="A132" s="1"/>
      <c r="B132" s="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8"/>
      <c r="R132" s="8"/>
      <c r="S132" s="1"/>
      <c r="T132" s="6">
        <f t="shared" ca="1" si="4"/>
        <v>0</v>
      </c>
      <c r="U132" s="1" t="str">
        <f t="shared" si="5"/>
        <v/>
      </c>
      <c r="V132" s="1"/>
      <c r="W132" s="1"/>
    </row>
    <row r="133" spans="1:23">
      <c r="A133" s="1"/>
      <c r="B133" s="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8"/>
      <c r="R133" s="8"/>
      <c r="S133" s="1"/>
      <c r="T133" s="6">
        <f t="shared" ca="1" si="4"/>
        <v>0</v>
      </c>
      <c r="U133" s="1" t="str">
        <f t="shared" si="5"/>
        <v/>
      </c>
      <c r="V133" s="1"/>
      <c r="W133" s="1"/>
    </row>
    <row r="134" spans="1:23">
      <c r="A134" s="1"/>
      <c r="B134" s="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8"/>
      <c r="R134" s="8"/>
      <c r="S134" s="1"/>
      <c r="T134" s="6">
        <f t="shared" ca="1" si="4"/>
        <v>0</v>
      </c>
      <c r="U134" s="1" t="str">
        <f t="shared" si="5"/>
        <v/>
      </c>
      <c r="V134" s="1"/>
      <c r="W134" s="1"/>
    </row>
    <row r="135" spans="1:23">
      <c r="A135" s="1"/>
      <c r="B135" s="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8"/>
      <c r="R135" s="8"/>
      <c r="S135" s="1"/>
      <c r="T135" s="6">
        <f t="shared" ca="1" si="4"/>
        <v>0</v>
      </c>
      <c r="U135" s="1" t="str">
        <f t="shared" si="5"/>
        <v/>
      </c>
      <c r="V135" s="1"/>
      <c r="W135" s="1"/>
    </row>
    <row r="136" spans="1:23">
      <c r="A136" s="1"/>
      <c r="B136" s="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8"/>
      <c r="R136" s="8"/>
      <c r="S136" s="1"/>
      <c r="T136" s="6">
        <f t="shared" ca="1" si="4"/>
        <v>0</v>
      </c>
      <c r="U136" s="1" t="str">
        <f t="shared" si="5"/>
        <v/>
      </c>
      <c r="V136" s="1"/>
      <c r="W136" s="1"/>
    </row>
    <row r="137" spans="1:23">
      <c r="A137" s="1"/>
      <c r="B137" s="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8"/>
      <c r="R137" s="8"/>
      <c r="S137" s="1"/>
      <c r="T137" s="6">
        <f t="shared" ca="1" si="4"/>
        <v>0</v>
      </c>
      <c r="U137" s="1" t="str">
        <f t="shared" si="5"/>
        <v/>
      </c>
      <c r="V137" s="1"/>
      <c r="W137" s="1"/>
    </row>
    <row r="138" spans="1:23">
      <c r="A138" s="1"/>
      <c r="B138" s="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8"/>
      <c r="R138" s="8"/>
      <c r="S138" s="1"/>
      <c r="T138" s="6">
        <f t="shared" ca="1" si="4"/>
        <v>0</v>
      </c>
      <c r="U138" s="1" t="str">
        <f t="shared" si="5"/>
        <v/>
      </c>
      <c r="V138" s="1"/>
      <c r="W138" s="1"/>
    </row>
    <row r="139" spans="1:23">
      <c r="A139" s="1"/>
      <c r="B139" s="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8"/>
      <c r="R139" s="8"/>
      <c r="S139" s="1"/>
      <c r="T139" s="6">
        <f t="shared" ca="1" si="4"/>
        <v>0</v>
      </c>
      <c r="U139" s="1" t="str">
        <f t="shared" si="5"/>
        <v/>
      </c>
      <c r="V139" s="1"/>
      <c r="W139" s="1"/>
    </row>
    <row r="140" spans="1:23">
      <c r="A140" s="1"/>
      <c r="B140" s="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8"/>
      <c r="R140" s="8"/>
      <c r="S140" s="1"/>
      <c r="T140" s="6">
        <f t="shared" ca="1" si="4"/>
        <v>0</v>
      </c>
      <c r="U140" s="1" t="str">
        <f t="shared" si="5"/>
        <v/>
      </c>
      <c r="V140" s="1"/>
      <c r="W140" s="1"/>
    </row>
    <row r="141" spans="1:23">
      <c r="A141" s="1"/>
      <c r="B141" s="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8"/>
      <c r="R141" s="8"/>
      <c r="S141" s="1"/>
      <c r="T141" s="6">
        <f t="shared" ca="1" si="4"/>
        <v>0</v>
      </c>
      <c r="U141" s="1" t="str">
        <f t="shared" si="5"/>
        <v/>
      </c>
      <c r="V141" s="1"/>
      <c r="W141" s="1"/>
    </row>
    <row r="142" spans="1:23">
      <c r="A142" s="1"/>
      <c r="B142" s="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8"/>
      <c r="R142" s="8"/>
      <c r="S142" s="1"/>
      <c r="T142" s="6">
        <f t="shared" ca="1" si="4"/>
        <v>0</v>
      </c>
      <c r="U142" s="1" t="str">
        <f t="shared" si="5"/>
        <v/>
      </c>
      <c r="V142" s="1"/>
      <c r="W142" s="1"/>
    </row>
    <row r="143" spans="1:23">
      <c r="A143" s="1"/>
      <c r="B143" s="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8"/>
      <c r="R143" s="8"/>
      <c r="S143" s="1"/>
      <c r="T143" s="6">
        <f t="shared" ca="1" si="4"/>
        <v>0</v>
      </c>
      <c r="U143" s="1" t="str">
        <f t="shared" si="5"/>
        <v/>
      </c>
      <c r="V143" s="1"/>
      <c r="W143" s="1"/>
    </row>
    <row r="144" spans="1:23">
      <c r="A144" s="1"/>
      <c r="B144" s="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8"/>
      <c r="R144" s="8"/>
      <c r="S144" s="1"/>
      <c r="T144" s="6">
        <f t="shared" ca="1" si="4"/>
        <v>0</v>
      </c>
      <c r="U144" s="1" t="str">
        <f t="shared" si="5"/>
        <v/>
      </c>
      <c r="V144" s="1"/>
      <c r="W144" s="1"/>
    </row>
    <row r="145" spans="1:23">
      <c r="A145" s="1"/>
      <c r="B145" s="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8"/>
      <c r="R145" s="8"/>
      <c r="S145" s="1"/>
      <c r="T145" s="6">
        <f t="shared" ca="1" si="4"/>
        <v>0</v>
      </c>
      <c r="U145" s="1" t="str">
        <f t="shared" si="5"/>
        <v/>
      </c>
      <c r="V145" s="1"/>
      <c r="W145" s="1"/>
    </row>
    <row r="146" spans="1:23">
      <c r="A146" s="1"/>
      <c r="B146" s="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8"/>
      <c r="R146" s="8"/>
      <c r="S146" s="1"/>
      <c r="T146" s="6">
        <f t="shared" ca="1" si="4"/>
        <v>0</v>
      </c>
      <c r="U146" s="1" t="str">
        <f t="shared" si="5"/>
        <v/>
      </c>
      <c r="V146" s="1"/>
      <c r="W146" s="1"/>
    </row>
    <row r="147" spans="1:23">
      <c r="A147" s="1"/>
      <c r="B147" s="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8"/>
      <c r="R147" s="8"/>
      <c r="S147" s="1"/>
      <c r="T147" s="6">
        <f t="shared" ca="1" si="4"/>
        <v>0</v>
      </c>
      <c r="U147" s="1" t="str">
        <f t="shared" si="5"/>
        <v/>
      </c>
      <c r="V147" s="1"/>
      <c r="W147" s="1"/>
    </row>
    <row r="148" spans="1:23">
      <c r="A148" s="1"/>
      <c r="B148" s="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8"/>
      <c r="R148" s="8"/>
      <c r="S148" s="1"/>
      <c r="T148" s="6">
        <f t="shared" ca="1" si="4"/>
        <v>0</v>
      </c>
      <c r="U148" s="1" t="str">
        <f t="shared" si="5"/>
        <v/>
      </c>
      <c r="V148" s="1"/>
      <c r="W148" s="1"/>
    </row>
    <row r="149" spans="1:23">
      <c r="A149" s="1"/>
      <c r="B149" s="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8"/>
      <c r="R149" s="8"/>
      <c r="S149" s="1"/>
      <c r="T149" s="6">
        <f t="shared" ca="1" si="4"/>
        <v>0</v>
      </c>
      <c r="U149" s="1" t="str">
        <f t="shared" si="5"/>
        <v/>
      </c>
      <c r="V149" s="1"/>
      <c r="W149" s="1"/>
    </row>
    <row r="150" spans="1:23">
      <c r="A150" s="1"/>
      <c r="B150" s="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8"/>
      <c r="R150" s="8"/>
      <c r="S150" s="1"/>
      <c r="T150" s="6">
        <f t="shared" ca="1" si="4"/>
        <v>0</v>
      </c>
      <c r="U150" s="1" t="str">
        <f t="shared" si="5"/>
        <v/>
      </c>
      <c r="V150" s="1"/>
      <c r="W150" s="1"/>
    </row>
    <row r="151" spans="1:23">
      <c r="A151" s="1"/>
      <c r="B151" s="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8"/>
      <c r="R151" s="8"/>
      <c r="S151" s="1"/>
      <c r="T151" s="6">
        <f t="shared" ca="1" si="4"/>
        <v>0</v>
      </c>
      <c r="U151" s="1" t="str">
        <f t="shared" si="5"/>
        <v/>
      </c>
      <c r="V151" s="1"/>
      <c r="W151" s="1"/>
    </row>
    <row r="152" spans="1:23">
      <c r="A152" s="1"/>
      <c r="B152" s="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8"/>
      <c r="R152" s="8"/>
      <c r="S152" s="1"/>
      <c r="T152" s="6">
        <f t="shared" ca="1" si="4"/>
        <v>0</v>
      </c>
      <c r="U152" s="1" t="str">
        <f t="shared" si="5"/>
        <v/>
      </c>
      <c r="V152" s="1"/>
      <c r="W152" s="1"/>
    </row>
    <row r="153" spans="1:23">
      <c r="A153" s="1"/>
      <c r="B153" s="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8"/>
      <c r="R153" s="8"/>
      <c r="S153" s="1"/>
      <c r="T153" s="6">
        <f t="shared" ca="1" si="4"/>
        <v>0</v>
      </c>
      <c r="U153" s="1" t="str">
        <f t="shared" si="5"/>
        <v/>
      </c>
      <c r="V153" s="1"/>
      <c r="W153" s="1"/>
    </row>
    <row r="154" spans="1:23">
      <c r="A154" s="1"/>
      <c r="B154" s="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8"/>
      <c r="R154" s="8"/>
      <c r="S154" s="1"/>
      <c r="T154" s="6">
        <f t="shared" ca="1" si="4"/>
        <v>0</v>
      </c>
      <c r="U154" s="1" t="str">
        <f t="shared" si="5"/>
        <v/>
      </c>
      <c r="V154" s="1"/>
      <c r="W154" s="1"/>
    </row>
    <row r="155" spans="1:23">
      <c r="A155" s="1"/>
      <c r="B155" s="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8"/>
      <c r="R155" s="8"/>
      <c r="S155" s="1"/>
      <c r="T155" s="6">
        <f t="shared" ca="1" si="4"/>
        <v>0</v>
      </c>
      <c r="U155" s="1" t="str">
        <f t="shared" si="5"/>
        <v/>
      </c>
      <c r="V155" s="1"/>
      <c r="W155" s="1"/>
    </row>
    <row r="156" spans="1:23">
      <c r="A156" s="1"/>
      <c r="B156" s="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8"/>
      <c r="R156" s="8"/>
      <c r="S156" s="1"/>
      <c r="T156" s="6">
        <f t="shared" ca="1" si="4"/>
        <v>0</v>
      </c>
      <c r="U156" s="1" t="str">
        <f t="shared" si="5"/>
        <v/>
      </c>
      <c r="V156" s="1"/>
      <c r="W156" s="1"/>
    </row>
    <row r="157" spans="1:23">
      <c r="A157" s="1"/>
      <c r="B157" s="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8"/>
      <c r="R157" s="8"/>
      <c r="S157" s="1"/>
      <c r="T157" s="6">
        <f t="shared" ca="1" si="4"/>
        <v>0</v>
      </c>
      <c r="U157" s="1" t="str">
        <f t="shared" si="5"/>
        <v/>
      </c>
      <c r="V157" s="1"/>
      <c r="W157" s="1"/>
    </row>
    <row r="158" spans="1:23">
      <c r="A158" s="1"/>
      <c r="B158" s="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8"/>
      <c r="R158" s="8"/>
      <c r="S158" s="1"/>
      <c r="T158" s="6">
        <f t="shared" ca="1" si="4"/>
        <v>0</v>
      </c>
      <c r="U158" s="1" t="str">
        <f t="shared" si="5"/>
        <v/>
      </c>
      <c r="V158" s="1"/>
      <c r="W158" s="1"/>
    </row>
    <row r="159" spans="1:23">
      <c r="A159" s="1"/>
      <c r="B159" s="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8"/>
      <c r="R159" s="8"/>
      <c r="S159" s="1"/>
      <c r="T159" s="6">
        <f t="shared" ca="1" si="4"/>
        <v>0</v>
      </c>
      <c r="U159" s="1" t="str">
        <f t="shared" si="5"/>
        <v/>
      </c>
      <c r="V159" s="1"/>
      <c r="W159" s="1"/>
    </row>
    <row r="160" spans="1:23">
      <c r="A160" s="1"/>
      <c r="B160" s="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8"/>
      <c r="R160" s="8"/>
      <c r="S160" s="1"/>
      <c r="T160" s="6">
        <f t="shared" ca="1" si="4"/>
        <v>0</v>
      </c>
      <c r="U160" s="1" t="str">
        <f t="shared" si="5"/>
        <v/>
      </c>
      <c r="V160" s="1"/>
      <c r="W160" s="1"/>
    </row>
    <row r="161" spans="1:23">
      <c r="A161" s="1"/>
      <c r="B161" s="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8"/>
      <c r="R161" s="8"/>
      <c r="S161" s="1"/>
      <c r="T161" s="6">
        <f t="shared" ca="1" si="4"/>
        <v>0</v>
      </c>
      <c r="U161" s="1" t="str">
        <f t="shared" si="5"/>
        <v/>
      </c>
      <c r="V161" s="1"/>
      <c r="W161" s="1"/>
    </row>
    <row r="162" spans="1:23">
      <c r="A162" s="1"/>
      <c r="B162" s="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8"/>
      <c r="R162" s="8"/>
      <c r="S162" s="1"/>
      <c r="T162" s="6">
        <f t="shared" ca="1" si="4"/>
        <v>0</v>
      </c>
      <c r="U162" s="1" t="str">
        <f t="shared" si="5"/>
        <v/>
      </c>
      <c r="V162" s="1"/>
      <c r="W162" s="1"/>
    </row>
    <row r="163" spans="1:23">
      <c r="A163" s="1"/>
      <c r="B163" s="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8"/>
      <c r="R163" s="8"/>
      <c r="S163" s="1"/>
      <c r="T163" s="6">
        <f t="shared" ca="1" si="4"/>
        <v>0</v>
      </c>
      <c r="U163" s="1" t="str">
        <f t="shared" si="5"/>
        <v/>
      </c>
      <c r="V163" s="1"/>
      <c r="W163" s="1"/>
    </row>
    <row r="164" spans="1:23">
      <c r="A164" s="1"/>
      <c r="B164" s="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8"/>
      <c r="R164" s="8"/>
      <c r="S164" s="1"/>
      <c r="T164" s="6">
        <f t="shared" ca="1" si="4"/>
        <v>0</v>
      </c>
      <c r="U164" s="1" t="str">
        <f t="shared" si="5"/>
        <v/>
      </c>
      <c r="V164" s="1"/>
      <c r="W164" s="1"/>
    </row>
    <row r="165" spans="1:23">
      <c r="A165" s="1"/>
      <c r="B165" s="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8"/>
      <c r="R165" s="8"/>
      <c r="S165" s="1"/>
      <c r="T165" s="6">
        <f t="shared" ca="1" si="4"/>
        <v>0</v>
      </c>
      <c r="U165" s="1" t="str">
        <f t="shared" si="5"/>
        <v/>
      </c>
      <c r="V165" s="1"/>
      <c r="W165" s="1"/>
    </row>
    <row r="166" spans="1:23">
      <c r="A166" s="1"/>
      <c r="B166" s="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8"/>
      <c r="R166" s="8"/>
      <c r="S166" s="1"/>
      <c r="T166" s="6">
        <f t="shared" ca="1" si="4"/>
        <v>0</v>
      </c>
      <c r="U166" s="1" t="str">
        <f t="shared" si="5"/>
        <v/>
      </c>
      <c r="V166" s="1"/>
      <c r="W166" s="1"/>
    </row>
    <row r="167" spans="1:23">
      <c r="A167" s="1"/>
      <c r="B167" s="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8"/>
      <c r="R167" s="8"/>
      <c r="S167" s="1"/>
      <c r="T167" s="6">
        <f t="shared" ca="1" si="4"/>
        <v>0</v>
      </c>
      <c r="U167" s="1" t="str">
        <f t="shared" si="5"/>
        <v/>
      </c>
      <c r="V167" s="1"/>
      <c r="W167" s="1"/>
    </row>
    <row r="168" spans="1:23">
      <c r="A168" s="1"/>
      <c r="B168" s="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8"/>
      <c r="R168" s="8"/>
      <c r="S168" s="1"/>
      <c r="T168" s="6">
        <f t="shared" ca="1" si="4"/>
        <v>0</v>
      </c>
      <c r="U168" s="1" t="str">
        <f t="shared" si="5"/>
        <v/>
      </c>
      <c r="V168" s="1"/>
      <c r="W168" s="1"/>
    </row>
    <row r="169" spans="1:23">
      <c r="A169" s="1"/>
      <c r="B169" s="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8"/>
      <c r="R169" s="8"/>
      <c r="S169" s="1"/>
      <c r="T169" s="6">
        <f t="shared" ca="1" si="4"/>
        <v>0</v>
      </c>
      <c r="U169" s="1" t="str">
        <f t="shared" si="5"/>
        <v/>
      </c>
      <c r="V169" s="1"/>
      <c r="W169" s="1"/>
    </row>
    <row r="170" spans="1:23">
      <c r="A170" s="1"/>
      <c r="B170" s="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8"/>
      <c r="R170" s="8"/>
      <c r="S170" s="1"/>
      <c r="T170" s="6">
        <f t="shared" ca="1" si="4"/>
        <v>0</v>
      </c>
      <c r="U170" s="1" t="str">
        <f t="shared" si="5"/>
        <v/>
      </c>
      <c r="V170" s="1"/>
      <c r="W170" s="1"/>
    </row>
    <row r="171" spans="1:23">
      <c r="A171" s="1"/>
      <c r="B171" s="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8"/>
      <c r="R171" s="8"/>
      <c r="S171" s="1"/>
      <c r="T171" s="6">
        <f t="shared" ca="1" si="4"/>
        <v>0</v>
      </c>
      <c r="U171" s="1" t="str">
        <f t="shared" si="5"/>
        <v/>
      </c>
      <c r="V171" s="1"/>
      <c r="W171" s="1"/>
    </row>
    <row r="172" spans="1:23">
      <c r="A172" s="1"/>
      <c r="B172" s="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8"/>
      <c r="R172" s="8"/>
      <c r="S172" s="1"/>
      <c r="T172" s="6">
        <f t="shared" ca="1" si="4"/>
        <v>0</v>
      </c>
      <c r="U172" s="1" t="str">
        <f t="shared" si="5"/>
        <v/>
      </c>
      <c r="V172" s="1"/>
      <c r="W172" s="1"/>
    </row>
    <row r="173" spans="1:23">
      <c r="A173" s="1"/>
      <c r="B173" s="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8"/>
      <c r="R173" s="8"/>
      <c r="S173" s="1"/>
      <c r="T173" s="6">
        <f t="shared" ca="1" si="4"/>
        <v>0</v>
      </c>
      <c r="U173" s="1" t="str">
        <f t="shared" si="5"/>
        <v/>
      </c>
      <c r="V173" s="1"/>
      <c r="W173" s="1"/>
    </row>
    <row r="174" spans="1:23">
      <c r="A174" s="1"/>
      <c r="B174" s="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8"/>
      <c r="R174" s="8"/>
      <c r="S174" s="1"/>
      <c r="T174" s="6">
        <f t="shared" ca="1" si="4"/>
        <v>0</v>
      </c>
      <c r="U174" s="1" t="str">
        <f t="shared" si="5"/>
        <v/>
      </c>
      <c r="V174" s="1"/>
      <c r="W174" s="1"/>
    </row>
    <row r="175" spans="1:23">
      <c r="A175" s="1"/>
      <c r="B175" s="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8"/>
      <c r="R175" s="8"/>
      <c r="S175" s="1"/>
      <c r="T175" s="6">
        <f t="shared" ca="1" si="4"/>
        <v>0</v>
      </c>
      <c r="U175" s="1" t="str">
        <f t="shared" si="5"/>
        <v/>
      </c>
      <c r="V175" s="1"/>
      <c r="W175" s="1"/>
    </row>
    <row r="176" spans="1:23">
      <c r="A176" s="1"/>
      <c r="B176" s="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8"/>
      <c r="R176" s="8"/>
      <c r="S176" s="1"/>
      <c r="T176" s="6">
        <f t="shared" ca="1" si="4"/>
        <v>0</v>
      </c>
      <c r="U176" s="1" t="str">
        <f t="shared" si="5"/>
        <v/>
      </c>
      <c r="V176" s="1"/>
      <c r="W176" s="1"/>
    </row>
    <row r="177" spans="1:23">
      <c r="A177" s="1"/>
      <c r="B177" s="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8"/>
      <c r="R177" s="8"/>
      <c r="S177" s="1"/>
      <c r="T177" s="6">
        <f t="shared" ca="1" si="4"/>
        <v>0</v>
      </c>
      <c r="U177" s="1" t="str">
        <f t="shared" si="5"/>
        <v/>
      </c>
      <c r="V177" s="1"/>
      <c r="W177" s="1"/>
    </row>
    <row r="178" spans="1:23">
      <c r="A178" s="1"/>
      <c r="B178" s="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8"/>
      <c r="R178" s="8"/>
      <c r="S178" s="1"/>
      <c r="T178" s="6">
        <f t="shared" ca="1" si="4"/>
        <v>0</v>
      </c>
      <c r="U178" s="1" t="str">
        <f t="shared" si="5"/>
        <v/>
      </c>
      <c r="V178" s="1"/>
      <c r="W178" s="1"/>
    </row>
    <row r="179" spans="1:23">
      <c r="A179" s="1"/>
      <c r="B179" s="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8"/>
      <c r="R179" s="8"/>
      <c r="S179" s="1"/>
      <c r="T179" s="6">
        <f t="shared" ca="1" si="4"/>
        <v>0</v>
      </c>
      <c r="U179" s="1" t="str">
        <f t="shared" si="5"/>
        <v/>
      </c>
      <c r="V179" s="1"/>
      <c r="W179" s="1"/>
    </row>
    <row r="180" spans="1:23">
      <c r="A180" s="1"/>
      <c r="B180" s="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8"/>
      <c r="R180" s="8"/>
      <c r="S180" s="1"/>
      <c r="T180" s="6">
        <f t="shared" ca="1" si="4"/>
        <v>0</v>
      </c>
      <c r="U180" s="1" t="str">
        <f t="shared" si="5"/>
        <v/>
      </c>
      <c r="V180" s="1"/>
      <c r="W180" s="1"/>
    </row>
    <row r="181" spans="1:23">
      <c r="A181" s="1"/>
      <c r="B181" s="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8"/>
      <c r="R181" s="8"/>
      <c r="S181" s="1"/>
      <c r="T181" s="6">
        <f t="shared" ca="1" si="4"/>
        <v>0</v>
      </c>
      <c r="U181" s="1" t="str">
        <f t="shared" si="5"/>
        <v/>
      </c>
      <c r="V181" s="1"/>
      <c r="W181" s="1"/>
    </row>
    <row r="182" spans="1:23">
      <c r="A182" s="1"/>
      <c r="B182" s="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8"/>
      <c r="R182" s="8"/>
      <c r="S182" s="1"/>
      <c r="T182" s="6">
        <f t="shared" ca="1" si="4"/>
        <v>0</v>
      </c>
      <c r="U182" s="1" t="str">
        <f t="shared" si="5"/>
        <v/>
      </c>
      <c r="V182" s="1"/>
      <c r="W182" s="1"/>
    </row>
    <row r="183" spans="1:23">
      <c r="A183" s="1"/>
      <c r="B183" s="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8"/>
      <c r="R183" s="8"/>
      <c r="S183" s="1"/>
      <c r="T183" s="6">
        <f t="shared" ca="1" si="4"/>
        <v>0</v>
      </c>
      <c r="U183" s="1" t="str">
        <f t="shared" si="5"/>
        <v/>
      </c>
      <c r="V183" s="1"/>
      <c r="W183" s="1"/>
    </row>
    <row r="184" spans="1:23">
      <c r="A184" s="1"/>
      <c r="B184" s="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8"/>
      <c r="R184" s="8"/>
      <c r="S184" s="1"/>
      <c r="T184" s="6">
        <f t="shared" ca="1" si="4"/>
        <v>0</v>
      </c>
      <c r="U184" s="1" t="str">
        <f t="shared" si="5"/>
        <v/>
      </c>
      <c r="V184" s="1"/>
      <c r="W184" s="1"/>
    </row>
    <row r="185" spans="1:23">
      <c r="A185" s="1"/>
      <c r="B185" s="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8"/>
      <c r="R185" s="8"/>
      <c r="S185" s="1"/>
      <c r="T185" s="6">
        <f t="shared" ca="1" si="4"/>
        <v>0</v>
      </c>
      <c r="U185" s="1" t="str">
        <f t="shared" si="5"/>
        <v/>
      </c>
      <c r="V185" s="1"/>
      <c r="W185" s="1"/>
    </row>
    <row r="186" spans="1:23">
      <c r="A186" s="1"/>
      <c r="B186" s="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8"/>
      <c r="R186" s="8"/>
      <c r="S186" s="1"/>
      <c r="T186" s="6">
        <f t="shared" ca="1" si="4"/>
        <v>0</v>
      </c>
      <c r="U186" s="1" t="str">
        <f t="shared" si="5"/>
        <v/>
      </c>
      <c r="V186" s="1"/>
      <c r="W186" s="1"/>
    </row>
    <row r="187" spans="1:23">
      <c r="A187" s="1"/>
      <c r="B187" s="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8"/>
      <c r="R187" s="8"/>
      <c r="S187" s="1"/>
      <c r="T187" s="6">
        <f t="shared" ca="1" si="4"/>
        <v>0</v>
      </c>
      <c r="U187" s="1" t="str">
        <f t="shared" si="5"/>
        <v/>
      </c>
      <c r="V187" s="1"/>
      <c r="W187" s="1"/>
    </row>
    <row r="188" spans="1:23">
      <c r="A188" s="1"/>
      <c r="B188" s="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8"/>
      <c r="R188" s="8"/>
      <c r="S188" s="1"/>
      <c r="T188" s="6">
        <f t="shared" ca="1" si="4"/>
        <v>0</v>
      </c>
      <c r="U188" s="1" t="str">
        <f t="shared" si="5"/>
        <v/>
      </c>
      <c r="V188" s="1"/>
      <c r="W188" s="1"/>
    </row>
    <row r="189" spans="1:23">
      <c r="A189" s="1"/>
      <c r="B189" s="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8"/>
      <c r="R189" s="8"/>
      <c r="S189" s="1"/>
      <c r="T189" s="6">
        <f t="shared" ca="1" si="4"/>
        <v>0</v>
      </c>
      <c r="U189" s="1" t="str">
        <f t="shared" si="5"/>
        <v/>
      </c>
      <c r="V189" s="1"/>
      <c r="W189" s="1"/>
    </row>
    <row r="190" spans="1:23">
      <c r="A190" s="1"/>
      <c r="B190" s="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8"/>
      <c r="R190" s="8"/>
      <c r="S190" s="1"/>
      <c r="T190" s="6">
        <f t="shared" ca="1" si="4"/>
        <v>0</v>
      </c>
      <c r="U190" s="1" t="str">
        <f t="shared" si="5"/>
        <v/>
      </c>
      <c r="V190" s="1"/>
      <c r="W190" s="1"/>
    </row>
    <row r="191" spans="1:23">
      <c r="A191" s="1"/>
      <c r="B191" s="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8"/>
      <c r="R191" s="8"/>
      <c r="S191" s="1"/>
      <c r="T191" s="6">
        <f t="shared" ca="1" si="4"/>
        <v>0</v>
      </c>
      <c r="U191" s="1" t="str">
        <f t="shared" si="5"/>
        <v/>
      </c>
      <c r="V191" s="1"/>
      <c r="W191" s="1"/>
    </row>
    <row r="192" spans="1:23">
      <c r="A192" s="1"/>
      <c r="B192" s="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8"/>
      <c r="R192" s="8"/>
      <c r="S192" s="1"/>
      <c r="T192" s="6">
        <f t="shared" ca="1" si="4"/>
        <v>0</v>
      </c>
      <c r="U192" s="1" t="str">
        <f t="shared" si="5"/>
        <v/>
      </c>
      <c r="V192" s="1"/>
      <c r="W192" s="1"/>
    </row>
    <row r="193" spans="1:23">
      <c r="A193" s="1"/>
      <c r="B193" s="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8"/>
      <c r="R193" s="8"/>
      <c r="S193" s="1"/>
      <c r="T193" s="6">
        <f t="shared" ca="1" si="4"/>
        <v>0</v>
      </c>
      <c r="U193" s="1" t="str">
        <f t="shared" si="5"/>
        <v/>
      </c>
      <c r="V193" s="1"/>
      <c r="W193" s="1"/>
    </row>
    <row r="194" spans="1:23">
      <c r="A194" s="1"/>
      <c r="B194" s="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8"/>
      <c r="R194" s="8"/>
      <c r="S194" s="1"/>
      <c r="T194" s="6">
        <f t="shared" ref="T194:T257" ca="1" si="6">IF(AND(S194&lt;&gt;"Clôturée",Q194&lt;&gt;"",TODAY()&gt;Q194),TODAY()-Q194,0)</f>
        <v>0</v>
      </c>
      <c r="U194" s="1" t="str">
        <f t="shared" ref="U194:U257" si="7">IF(M194="Critique","P1",IF(M194="Majeure","P2",IF(M194="Mineure","P3","")))</f>
        <v/>
      </c>
      <c r="V194" s="1"/>
      <c r="W194" s="1"/>
    </row>
    <row r="195" spans="1:23">
      <c r="A195" s="1"/>
      <c r="B195" s="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8"/>
      <c r="R195" s="8"/>
      <c r="S195" s="1"/>
      <c r="T195" s="6">
        <f t="shared" ca="1" si="6"/>
        <v>0</v>
      </c>
      <c r="U195" s="1" t="str">
        <f t="shared" si="7"/>
        <v/>
      </c>
      <c r="V195" s="1"/>
      <c r="W195" s="1"/>
    </row>
    <row r="196" spans="1:23">
      <c r="A196" s="1"/>
      <c r="B196" s="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8"/>
      <c r="R196" s="8"/>
      <c r="S196" s="1"/>
      <c r="T196" s="6">
        <f t="shared" ca="1" si="6"/>
        <v>0</v>
      </c>
      <c r="U196" s="1" t="str">
        <f t="shared" si="7"/>
        <v/>
      </c>
      <c r="V196" s="1"/>
      <c r="W196" s="1"/>
    </row>
    <row r="197" spans="1:23">
      <c r="A197" s="1"/>
      <c r="B197" s="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8"/>
      <c r="R197" s="8"/>
      <c r="S197" s="1"/>
      <c r="T197" s="6">
        <f t="shared" ca="1" si="6"/>
        <v>0</v>
      </c>
      <c r="U197" s="1" t="str">
        <f t="shared" si="7"/>
        <v/>
      </c>
      <c r="V197" s="1"/>
      <c r="W197" s="1"/>
    </row>
    <row r="198" spans="1:23">
      <c r="A198" s="1"/>
      <c r="B198" s="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8"/>
      <c r="R198" s="8"/>
      <c r="S198" s="1"/>
      <c r="T198" s="6">
        <f t="shared" ca="1" si="6"/>
        <v>0</v>
      </c>
      <c r="U198" s="1" t="str">
        <f t="shared" si="7"/>
        <v/>
      </c>
      <c r="V198" s="1"/>
      <c r="W198" s="1"/>
    </row>
    <row r="199" spans="1:23">
      <c r="A199" s="1"/>
      <c r="B199" s="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8"/>
      <c r="R199" s="8"/>
      <c r="S199" s="1"/>
      <c r="T199" s="6">
        <f t="shared" ca="1" si="6"/>
        <v>0</v>
      </c>
      <c r="U199" s="1" t="str">
        <f t="shared" si="7"/>
        <v/>
      </c>
      <c r="V199" s="1"/>
      <c r="W199" s="1"/>
    </row>
    <row r="200" spans="1:23">
      <c r="A200" s="1"/>
      <c r="B200" s="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8"/>
      <c r="R200" s="8"/>
      <c r="S200" s="1"/>
      <c r="T200" s="6">
        <f t="shared" ca="1" si="6"/>
        <v>0</v>
      </c>
      <c r="U200" s="1" t="str">
        <f t="shared" si="7"/>
        <v/>
      </c>
      <c r="V200" s="1"/>
      <c r="W200" s="1"/>
    </row>
    <row r="201" spans="1:23">
      <c r="A201" s="1"/>
      <c r="B201" s="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8"/>
      <c r="R201" s="8"/>
      <c r="S201" s="1"/>
      <c r="T201" s="6">
        <f t="shared" ca="1" si="6"/>
        <v>0</v>
      </c>
      <c r="U201" s="1" t="str">
        <f t="shared" si="7"/>
        <v/>
      </c>
      <c r="V201" s="1"/>
      <c r="W201" s="1"/>
    </row>
    <row r="202" spans="1:23">
      <c r="A202" s="1"/>
      <c r="B202" s="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8"/>
      <c r="R202" s="8"/>
      <c r="S202" s="1"/>
      <c r="T202" s="6">
        <f t="shared" ca="1" si="6"/>
        <v>0</v>
      </c>
      <c r="U202" s="1" t="str">
        <f t="shared" si="7"/>
        <v/>
      </c>
      <c r="V202" s="1"/>
      <c r="W202" s="1"/>
    </row>
    <row r="203" spans="1:23">
      <c r="A203" s="1"/>
      <c r="B203" s="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8"/>
      <c r="R203" s="8"/>
      <c r="S203" s="1"/>
      <c r="T203" s="6">
        <f t="shared" ca="1" si="6"/>
        <v>0</v>
      </c>
      <c r="U203" s="1" t="str">
        <f t="shared" si="7"/>
        <v/>
      </c>
      <c r="V203" s="1"/>
      <c r="W203" s="1"/>
    </row>
    <row r="204" spans="1:23">
      <c r="A204" s="1"/>
      <c r="B204" s="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8"/>
      <c r="R204" s="8"/>
      <c r="S204" s="1"/>
      <c r="T204" s="6">
        <f t="shared" ca="1" si="6"/>
        <v>0</v>
      </c>
      <c r="U204" s="1" t="str">
        <f t="shared" si="7"/>
        <v/>
      </c>
      <c r="V204" s="1"/>
      <c r="W204" s="1"/>
    </row>
    <row r="205" spans="1:23">
      <c r="A205" s="1"/>
      <c r="B205" s="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8"/>
      <c r="R205" s="8"/>
      <c r="S205" s="1"/>
      <c r="T205" s="6">
        <f t="shared" ca="1" si="6"/>
        <v>0</v>
      </c>
      <c r="U205" s="1" t="str">
        <f t="shared" si="7"/>
        <v/>
      </c>
      <c r="V205" s="1"/>
      <c r="W205" s="1"/>
    </row>
    <row r="206" spans="1:23">
      <c r="A206" s="1"/>
      <c r="B206" s="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8"/>
      <c r="R206" s="8"/>
      <c r="S206" s="1"/>
      <c r="T206" s="6">
        <f t="shared" ca="1" si="6"/>
        <v>0</v>
      </c>
      <c r="U206" s="1" t="str">
        <f t="shared" si="7"/>
        <v/>
      </c>
      <c r="V206" s="1"/>
      <c r="W206" s="1"/>
    </row>
    <row r="207" spans="1:23">
      <c r="A207" s="1"/>
      <c r="B207" s="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8"/>
      <c r="R207" s="8"/>
      <c r="S207" s="1"/>
      <c r="T207" s="6">
        <f t="shared" ca="1" si="6"/>
        <v>0</v>
      </c>
      <c r="U207" s="1" t="str">
        <f t="shared" si="7"/>
        <v/>
      </c>
      <c r="V207" s="1"/>
      <c r="W207" s="1"/>
    </row>
    <row r="208" spans="1:23">
      <c r="A208" s="1"/>
      <c r="B208" s="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8"/>
      <c r="R208" s="8"/>
      <c r="S208" s="1"/>
      <c r="T208" s="6">
        <f t="shared" ca="1" si="6"/>
        <v>0</v>
      </c>
      <c r="U208" s="1" t="str">
        <f t="shared" si="7"/>
        <v/>
      </c>
      <c r="V208" s="1"/>
      <c r="W208" s="1"/>
    </row>
    <row r="209" spans="1:23">
      <c r="A209" s="1"/>
      <c r="B209" s="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8"/>
      <c r="R209" s="8"/>
      <c r="S209" s="1"/>
      <c r="T209" s="6">
        <f t="shared" ca="1" si="6"/>
        <v>0</v>
      </c>
      <c r="U209" s="1" t="str">
        <f t="shared" si="7"/>
        <v/>
      </c>
      <c r="V209" s="1"/>
      <c r="W209" s="1"/>
    </row>
    <row r="210" spans="1:23">
      <c r="A210" s="1"/>
      <c r="B210" s="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8"/>
      <c r="R210" s="8"/>
      <c r="S210" s="1"/>
      <c r="T210" s="6">
        <f t="shared" ca="1" si="6"/>
        <v>0</v>
      </c>
      <c r="U210" s="1" t="str">
        <f t="shared" si="7"/>
        <v/>
      </c>
      <c r="V210" s="1"/>
      <c r="W210" s="1"/>
    </row>
    <row r="211" spans="1:23">
      <c r="A211" s="1"/>
      <c r="B211" s="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8"/>
      <c r="R211" s="8"/>
      <c r="S211" s="1"/>
      <c r="T211" s="6">
        <f t="shared" ca="1" si="6"/>
        <v>0</v>
      </c>
      <c r="U211" s="1" t="str">
        <f t="shared" si="7"/>
        <v/>
      </c>
      <c r="V211" s="1"/>
      <c r="W211" s="1"/>
    </row>
    <row r="212" spans="1:23">
      <c r="A212" s="1"/>
      <c r="B212" s="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8"/>
      <c r="R212" s="8"/>
      <c r="S212" s="1"/>
      <c r="T212" s="6">
        <f t="shared" ca="1" si="6"/>
        <v>0</v>
      </c>
      <c r="U212" s="1" t="str">
        <f t="shared" si="7"/>
        <v/>
      </c>
      <c r="V212" s="1"/>
      <c r="W212" s="1"/>
    </row>
    <row r="213" spans="1:23">
      <c r="A213" s="1"/>
      <c r="B213" s="8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8"/>
      <c r="R213" s="8"/>
      <c r="S213" s="1"/>
      <c r="T213" s="6">
        <f t="shared" ca="1" si="6"/>
        <v>0</v>
      </c>
      <c r="U213" s="1" t="str">
        <f t="shared" si="7"/>
        <v/>
      </c>
      <c r="V213" s="1"/>
      <c r="W213" s="1"/>
    </row>
    <row r="214" spans="1:23">
      <c r="A214" s="1"/>
      <c r="B214" s="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8"/>
      <c r="R214" s="8"/>
      <c r="S214" s="1"/>
      <c r="T214" s="6">
        <f t="shared" ca="1" si="6"/>
        <v>0</v>
      </c>
      <c r="U214" s="1" t="str">
        <f t="shared" si="7"/>
        <v/>
      </c>
      <c r="V214" s="1"/>
      <c r="W214" s="1"/>
    </row>
    <row r="215" spans="1:23">
      <c r="A215" s="1"/>
      <c r="B215" s="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8"/>
      <c r="R215" s="8"/>
      <c r="S215" s="1"/>
      <c r="T215" s="6">
        <f t="shared" ca="1" si="6"/>
        <v>0</v>
      </c>
      <c r="U215" s="1" t="str">
        <f t="shared" si="7"/>
        <v/>
      </c>
      <c r="V215" s="1"/>
      <c r="W215" s="1"/>
    </row>
    <row r="216" spans="1:23">
      <c r="A216" s="1"/>
      <c r="B216" s="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8"/>
      <c r="R216" s="8"/>
      <c r="S216" s="1"/>
      <c r="T216" s="6">
        <f t="shared" ca="1" si="6"/>
        <v>0</v>
      </c>
      <c r="U216" s="1" t="str">
        <f t="shared" si="7"/>
        <v/>
      </c>
      <c r="V216" s="1"/>
      <c r="W216" s="1"/>
    </row>
    <row r="217" spans="1:23">
      <c r="A217" s="1"/>
      <c r="B217" s="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8"/>
      <c r="R217" s="8"/>
      <c r="S217" s="1"/>
      <c r="T217" s="6">
        <f t="shared" ca="1" si="6"/>
        <v>0</v>
      </c>
      <c r="U217" s="1" t="str">
        <f t="shared" si="7"/>
        <v/>
      </c>
      <c r="V217" s="1"/>
      <c r="W217" s="1"/>
    </row>
    <row r="218" spans="1:23">
      <c r="A218" s="1"/>
      <c r="B218" s="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8"/>
      <c r="R218" s="8"/>
      <c r="S218" s="1"/>
      <c r="T218" s="6">
        <f t="shared" ca="1" si="6"/>
        <v>0</v>
      </c>
      <c r="U218" s="1" t="str">
        <f t="shared" si="7"/>
        <v/>
      </c>
      <c r="V218" s="1"/>
      <c r="W218" s="1"/>
    </row>
    <row r="219" spans="1:23">
      <c r="A219" s="1"/>
      <c r="B219" s="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8"/>
      <c r="R219" s="8"/>
      <c r="S219" s="1"/>
      <c r="T219" s="6">
        <f t="shared" ca="1" si="6"/>
        <v>0</v>
      </c>
      <c r="U219" s="1" t="str">
        <f t="shared" si="7"/>
        <v/>
      </c>
      <c r="V219" s="1"/>
      <c r="W219" s="1"/>
    </row>
    <row r="220" spans="1:23">
      <c r="A220" s="1"/>
      <c r="B220" s="8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8"/>
      <c r="R220" s="8"/>
      <c r="S220" s="1"/>
      <c r="T220" s="6">
        <f t="shared" ca="1" si="6"/>
        <v>0</v>
      </c>
      <c r="U220" s="1" t="str">
        <f t="shared" si="7"/>
        <v/>
      </c>
      <c r="V220" s="1"/>
      <c r="W220" s="1"/>
    </row>
    <row r="221" spans="1:23">
      <c r="A221" s="1"/>
      <c r="B221" s="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8"/>
      <c r="R221" s="8"/>
      <c r="S221" s="1"/>
      <c r="T221" s="6">
        <f t="shared" ca="1" si="6"/>
        <v>0</v>
      </c>
      <c r="U221" s="1" t="str">
        <f t="shared" si="7"/>
        <v/>
      </c>
      <c r="V221" s="1"/>
      <c r="W221" s="1"/>
    </row>
    <row r="222" spans="1:23">
      <c r="A222" s="1"/>
      <c r="B222" s="8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8"/>
      <c r="R222" s="8"/>
      <c r="S222" s="1"/>
      <c r="T222" s="6">
        <f t="shared" ca="1" si="6"/>
        <v>0</v>
      </c>
      <c r="U222" s="1" t="str">
        <f t="shared" si="7"/>
        <v/>
      </c>
      <c r="V222" s="1"/>
      <c r="W222" s="1"/>
    </row>
    <row r="223" spans="1:23">
      <c r="A223" s="1"/>
      <c r="B223" s="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8"/>
      <c r="R223" s="8"/>
      <c r="S223" s="1"/>
      <c r="T223" s="6">
        <f t="shared" ca="1" si="6"/>
        <v>0</v>
      </c>
      <c r="U223" s="1" t="str">
        <f t="shared" si="7"/>
        <v/>
      </c>
      <c r="V223" s="1"/>
      <c r="W223" s="1"/>
    </row>
    <row r="224" spans="1:23">
      <c r="A224" s="1"/>
      <c r="B224" s="8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8"/>
      <c r="R224" s="8"/>
      <c r="S224" s="1"/>
      <c r="T224" s="6">
        <f t="shared" ca="1" si="6"/>
        <v>0</v>
      </c>
      <c r="U224" s="1" t="str">
        <f t="shared" si="7"/>
        <v/>
      </c>
      <c r="V224" s="1"/>
      <c r="W224" s="1"/>
    </row>
    <row r="225" spans="1:23">
      <c r="A225" s="1"/>
      <c r="B225" s="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8"/>
      <c r="R225" s="8"/>
      <c r="S225" s="1"/>
      <c r="T225" s="6">
        <f t="shared" ca="1" si="6"/>
        <v>0</v>
      </c>
      <c r="U225" s="1" t="str">
        <f t="shared" si="7"/>
        <v/>
      </c>
      <c r="V225" s="1"/>
      <c r="W225" s="1"/>
    </row>
    <row r="226" spans="1:23">
      <c r="A226" s="1"/>
      <c r="B226" s="8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8"/>
      <c r="R226" s="8"/>
      <c r="S226" s="1"/>
      <c r="T226" s="6">
        <f t="shared" ca="1" si="6"/>
        <v>0</v>
      </c>
      <c r="U226" s="1" t="str">
        <f t="shared" si="7"/>
        <v/>
      </c>
      <c r="V226" s="1"/>
      <c r="W226" s="1"/>
    </row>
    <row r="227" spans="1:23">
      <c r="A227" s="1"/>
      <c r="B227" s="8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8"/>
      <c r="R227" s="8"/>
      <c r="S227" s="1"/>
      <c r="T227" s="6">
        <f t="shared" ca="1" si="6"/>
        <v>0</v>
      </c>
      <c r="U227" s="1" t="str">
        <f t="shared" si="7"/>
        <v/>
      </c>
      <c r="V227" s="1"/>
      <c r="W227" s="1"/>
    </row>
    <row r="228" spans="1:23">
      <c r="A228" s="1"/>
      <c r="B228" s="8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8"/>
      <c r="R228" s="8"/>
      <c r="S228" s="1"/>
      <c r="T228" s="6">
        <f t="shared" ca="1" si="6"/>
        <v>0</v>
      </c>
      <c r="U228" s="1" t="str">
        <f t="shared" si="7"/>
        <v/>
      </c>
      <c r="V228" s="1"/>
      <c r="W228" s="1"/>
    </row>
    <row r="229" spans="1:23">
      <c r="A229" s="1"/>
      <c r="B229" s="8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8"/>
      <c r="R229" s="8"/>
      <c r="S229" s="1"/>
      <c r="T229" s="6">
        <f t="shared" ca="1" si="6"/>
        <v>0</v>
      </c>
      <c r="U229" s="1" t="str">
        <f t="shared" si="7"/>
        <v/>
      </c>
      <c r="V229" s="1"/>
      <c r="W229" s="1"/>
    </row>
    <row r="230" spans="1:23">
      <c r="A230" s="1"/>
      <c r="B230" s="8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8"/>
      <c r="R230" s="8"/>
      <c r="S230" s="1"/>
      <c r="T230" s="6">
        <f t="shared" ca="1" si="6"/>
        <v>0</v>
      </c>
      <c r="U230" s="1" t="str">
        <f t="shared" si="7"/>
        <v/>
      </c>
      <c r="V230" s="1"/>
      <c r="W230" s="1"/>
    </row>
    <row r="231" spans="1:23">
      <c r="A231" s="1"/>
      <c r="B231" s="8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8"/>
      <c r="R231" s="8"/>
      <c r="S231" s="1"/>
      <c r="T231" s="6">
        <f t="shared" ca="1" si="6"/>
        <v>0</v>
      </c>
      <c r="U231" s="1" t="str">
        <f t="shared" si="7"/>
        <v/>
      </c>
      <c r="V231" s="1"/>
      <c r="W231" s="1"/>
    </row>
    <row r="232" spans="1:23">
      <c r="A232" s="1"/>
      <c r="B232" s="8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8"/>
      <c r="R232" s="8"/>
      <c r="S232" s="1"/>
      <c r="T232" s="6">
        <f t="shared" ca="1" si="6"/>
        <v>0</v>
      </c>
      <c r="U232" s="1" t="str">
        <f t="shared" si="7"/>
        <v/>
      </c>
      <c r="V232" s="1"/>
      <c r="W232" s="1"/>
    </row>
    <row r="233" spans="1:23">
      <c r="A233" s="1"/>
      <c r="B233" s="8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8"/>
      <c r="R233" s="8"/>
      <c r="S233" s="1"/>
      <c r="T233" s="6">
        <f t="shared" ca="1" si="6"/>
        <v>0</v>
      </c>
      <c r="U233" s="1" t="str">
        <f t="shared" si="7"/>
        <v/>
      </c>
      <c r="V233" s="1"/>
      <c r="W233" s="1"/>
    </row>
    <row r="234" spans="1:23">
      <c r="A234" s="1"/>
      <c r="B234" s="8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8"/>
      <c r="R234" s="8"/>
      <c r="S234" s="1"/>
      <c r="T234" s="6">
        <f t="shared" ca="1" si="6"/>
        <v>0</v>
      </c>
      <c r="U234" s="1" t="str">
        <f t="shared" si="7"/>
        <v/>
      </c>
      <c r="V234" s="1"/>
      <c r="W234" s="1"/>
    </row>
    <row r="235" spans="1:23">
      <c r="A235" s="1"/>
      <c r="B235" s="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8"/>
      <c r="R235" s="8"/>
      <c r="S235" s="1"/>
      <c r="T235" s="6">
        <f t="shared" ca="1" si="6"/>
        <v>0</v>
      </c>
      <c r="U235" s="1" t="str">
        <f t="shared" si="7"/>
        <v/>
      </c>
      <c r="V235" s="1"/>
      <c r="W235" s="1"/>
    </row>
    <row r="236" spans="1:23">
      <c r="A236" s="1"/>
      <c r="B236" s="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8"/>
      <c r="R236" s="8"/>
      <c r="S236" s="1"/>
      <c r="T236" s="6">
        <f t="shared" ca="1" si="6"/>
        <v>0</v>
      </c>
      <c r="U236" s="1" t="str">
        <f t="shared" si="7"/>
        <v/>
      </c>
      <c r="V236" s="1"/>
      <c r="W236" s="1"/>
    </row>
    <row r="237" spans="1:23">
      <c r="A237" s="1"/>
      <c r="B237" s="8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8"/>
      <c r="R237" s="8"/>
      <c r="S237" s="1"/>
      <c r="T237" s="6">
        <f t="shared" ca="1" si="6"/>
        <v>0</v>
      </c>
      <c r="U237" s="1" t="str">
        <f t="shared" si="7"/>
        <v/>
      </c>
      <c r="V237" s="1"/>
      <c r="W237" s="1"/>
    </row>
    <row r="238" spans="1:23">
      <c r="A238" s="1"/>
      <c r="B238" s="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8"/>
      <c r="R238" s="8"/>
      <c r="S238" s="1"/>
      <c r="T238" s="6">
        <f t="shared" ca="1" si="6"/>
        <v>0</v>
      </c>
      <c r="U238" s="1" t="str">
        <f t="shared" si="7"/>
        <v/>
      </c>
      <c r="V238" s="1"/>
      <c r="W238" s="1"/>
    </row>
    <row r="239" spans="1:23">
      <c r="A239" s="1"/>
      <c r="B239" s="8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8"/>
      <c r="R239" s="8"/>
      <c r="S239" s="1"/>
      <c r="T239" s="6">
        <f t="shared" ca="1" si="6"/>
        <v>0</v>
      </c>
      <c r="U239" s="1" t="str">
        <f t="shared" si="7"/>
        <v/>
      </c>
      <c r="V239" s="1"/>
      <c r="W239" s="1"/>
    </row>
    <row r="240" spans="1:23">
      <c r="A240" s="1"/>
      <c r="B240" s="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8"/>
      <c r="R240" s="8"/>
      <c r="S240" s="1"/>
      <c r="T240" s="6">
        <f t="shared" ca="1" si="6"/>
        <v>0</v>
      </c>
      <c r="U240" s="1" t="str">
        <f t="shared" si="7"/>
        <v/>
      </c>
      <c r="V240" s="1"/>
      <c r="W240" s="1"/>
    </row>
    <row r="241" spans="1:23">
      <c r="A241" s="1"/>
      <c r="B241" s="8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8"/>
      <c r="R241" s="8"/>
      <c r="S241" s="1"/>
      <c r="T241" s="6">
        <f t="shared" ca="1" si="6"/>
        <v>0</v>
      </c>
      <c r="U241" s="1" t="str">
        <f t="shared" si="7"/>
        <v/>
      </c>
      <c r="V241" s="1"/>
      <c r="W241" s="1"/>
    </row>
    <row r="242" spans="1:23">
      <c r="A242" s="1"/>
      <c r="B242" s="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8"/>
      <c r="R242" s="8"/>
      <c r="S242" s="1"/>
      <c r="T242" s="6">
        <f t="shared" ca="1" si="6"/>
        <v>0</v>
      </c>
      <c r="U242" s="1" t="str">
        <f t="shared" si="7"/>
        <v/>
      </c>
      <c r="V242" s="1"/>
      <c r="W242" s="1"/>
    </row>
    <row r="243" spans="1:23">
      <c r="A243" s="1"/>
      <c r="B243" s="8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8"/>
      <c r="R243" s="8"/>
      <c r="S243" s="1"/>
      <c r="T243" s="6">
        <f t="shared" ca="1" si="6"/>
        <v>0</v>
      </c>
      <c r="U243" s="1" t="str">
        <f t="shared" si="7"/>
        <v/>
      </c>
      <c r="V243" s="1"/>
      <c r="W243" s="1"/>
    </row>
    <row r="244" spans="1:23">
      <c r="A244" s="1"/>
      <c r="B244" s="8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8"/>
      <c r="R244" s="8"/>
      <c r="S244" s="1"/>
      <c r="T244" s="6">
        <f t="shared" ca="1" si="6"/>
        <v>0</v>
      </c>
      <c r="U244" s="1" t="str">
        <f t="shared" si="7"/>
        <v/>
      </c>
      <c r="V244" s="1"/>
      <c r="W244" s="1"/>
    </row>
    <row r="245" spans="1:23">
      <c r="A245" s="1"/>
      <c r="B245" s="8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8"/>
      <c r="R245" s="8"/>
      <c r="S245" s="1"/>
      <c r="T245" s="6">
        <f t="shared" ca="1" si="6"/>
        <v>0</v>
      </c>
      <c r="U245" s="1" t="str">
        <f t="shared" si="7"/>
        <v/>
      </c>
      <c r="V245" s="1"/>
      <c r="W245" s="1"/>
    </row>
    <row r="246" spans="1:23">
      <c r="A246" s="1"/>
      <c r="B246" s="8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8"/>
      <c r="R246" s="8"/>
      <c r="S246" s="1"/>
      <c r="T246" s="6">
        <f t="shared" ca="1" si="6"/>
        <v>0</v>
      </c>
      <c r="U246" s="1" t="str">
        <f t="shared" si="7"/>
        <v/>
      </c>
      <c r="V246" s="1"/>
      <c r="W246" s="1"/>
    </row>
    <row r="247" spans="1:23">
      <c r="A247" s="1"/>
      <c r="B247" s="8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8"/>
      <c r="R247" s="8"/>
      <c r="S247" s="1"/>
      <c r="T247" s="6">
        <f t="shared" ca="1" si="6"/>
        <v>0</v>
      </c>
      <c r="U247" s="1" t="str">
        <f t="shared" si="7"/>
        <v/>
      </c>
      <c r="V247" s="1"/>
      <c r="W247" s="1"/>
    </row>
    <row r="248" spans="1:23">
      <c r="A248" s="1"/>
      <c r="B248" s="8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8"/>
      <c r="R248" s="8"/>
      <c r="S248" s="1"/>
      <c r="T248" s="6">
        <f t="shared" ca="1" si="6"/>
        <v>0</v>
      </c>
      <c r="U248" s="1" t="str">
        <f t="shared" si="7"/>
        <v/>
      </c>
      <c r="V248" s="1"/>
      <c r="W248" s="1"/>
    </row>
    <row r="249" spans="1:23">
      <c r="A249" s="1"/>
      <c r="B249" s="8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8"/>
      <c r="R249" s="8"/>
      <c r="S249" s="1"/>
      <c r="T249" s="6">
        <f t="shared" ca="1" si="6"/>
        <v>0</v>
      </c>
      <c r="U249" s="1" t="str">
        <f t="shared" si="7"/>
        <v/>
      </c>
      <c r="V249" s="1"/>
      <c r="W249" s="1"/>
    </row>
    <row r="250" spans="1:23">
      <c r="A250" s="1"/>
      <c r="B250" s="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8"/>
      <c r="R250" s="8"/>
      <c r="S250" s="1"/>
      <c r="T250" s="6">
        <f t="shared" ca="1" si="6"/>
        <v>0</v>
      </c>
      <c r="U250" s="1" t="str">
        <f t="shared" si="7"/>
        <v/>
      </c>
      <c r="V250" s="1"/>
      <c r="W250" s="1"/>
    </row>
    <row r="251" spans="1:23">
      <c r="A251" s="1"/>
      <c r="B251" s="8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8"/>
      <c r="R251" s="8"/>
      <c r="S251" s="1"/>
      <c r="T251" s="6">
        <f t="shared" ca="1" si="6"/>
        <v>0</v>
      </c>
      <c r="U251" s="1" t="str">
        <f t="shared" si="7"/>
        <v/>
      </c>
      <c r="V251" s="1"/>
      <c r="W251" s="1"/>
    </row>
    <row r="252" spans="1:23">
      <c r="A252" s="1"/>
      <c r="B252" s="8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8"/>
      <c r="R252" s="8"/>
      <c r="S252" s="1"/>
      <c r="T252" s="6">
        <f t="shared" ca="1" si="6"/>
        <v>0</v>
      </c>
      <c r="U252" s="1" t="str">
        <f t="shared" si="7"/>
        <v/>
      </c>
      <c r="V252" s="1"/>
      <c r="W252" s="1"/>
    </row>
    <row r="253" spans="1:23">
      <c r="A253" s="1"/>
      <c r="B253" s="8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8"/>
      <c r="R253" s="8"/>
      <c r="S253" s="1"/>
      <c r="T253" s="6">
        <f t="shared" ca="1" si="6"/>
        <v>0</v>
      </c>
      <c r="U253" s="1" t="str">
        <f t="shared" si="7"/>
        <v/>
      </c>
      <c r="V253" s="1"/>
      <c r="W253" s="1"/>
    </row>
    <row r="254" spans="1:23">
      <c r="A254" s="1"/>
      <c r="B254" s="8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8"/>
      <c r="R254" s="8"/>
      <c r="S254" s="1"/>
      <c r="T254" s="6">
        <f t="shared" ca="1" si="6"/>
        <v>0</v>
      </c>
      <c r="U254" s="1" t="str">
        <f t="shared" si="7"/>
        <v/>
      </c>
      <c r="V254" s="1"/>
      <c r="W254" s="1"/>
    </row>
    <row r="255" spans="1:23">
      <c r="A255" s="1"/>
      <c r="B255" s="8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8"/>
      <c r="R255" s="8"/>
      <c r="S255" s="1"/>
      <c r="T255" s="6">
        <f t="shared" ca="1" si="6"/>
        <v>0</v>
      </c>
      <c r="U255" s="1" t="str">
        <f t="shared" si="7"/>
        <v/>
      </c>
      <c r="V255" s="1"/>
      <c r="W255" s="1"/>
    </row>
    <row r="256" spans="1:23">
      <c r="A256" s="1"/>
      <c r="B256" s="8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8"/>
      <c r="R256" s="8"/>
      <c r="S256" s="1"/>
      <c r="T256" s="6">
        <f t="shared" ca="1" si="6"/>
        <v>0</v>
      </c>
      <c r="U256" s="1" t="str">
        <f t="shared" si="7"/>
        <v/>
      </c>
      <c r="V256" s="1"/>
      <c r="W256" s="1"/>
    </row>
    <row r="257" spans="1:23">
      <c r="A257" s="1"/>
      <c r="B257" s="8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8"/>
      <c r="R257" s="8"/>
      <c r="S257" s="1"/>
      <c r="T257" s="6">
        <f t="shared" ca="1" si="6"/>
        <v>0</v>
      </c>
      <c r="U257" s="1" t="str">
        <f t="shared" si="7"/>
        <v/>
      </c>
      <c r="V257" s="1"/>
      <c r="W257" s="1"/>
    </row>
    <row r="258" spans="1:23">
      <c r="A258" s="1"/>
      <c r="B258" s="8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8"/>
      <c r="R258" s="8"/>
      <c r="S258" s="1"/>
      <c r="T258" s="6">
        <f t="shared" ref="T258:T297" ca="1" si="8">IF(AND(S258&lt;&gt;"Clôturée",Q258&lt;&gt;"",TODAY()&gt;Q258),TODAY()-Q258,0)</f>
        <v>0</v>
      </c>
      <c r="U258" s="1" t="str">
        <f t="shared" ref="U258:U297" si="9">IF(M258="Critique","P1",IF(M258="Majeure","P2",IF(M258="Mineure","P3","")))</f>
        <v/>
      </c>
      <c r="V258" s="1"/>
      <c r="W258" s="1"/>
    </row>
    <row r="259" spans="1:23">
      <c r="A259" s="1"/>
      <c r="B259" s="8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8"/>
      <c r="R259" s="8"/>
      <c r="S259" s="1"/>
      <c r="T259" s="6">
        <f t="shared" ca="1" si="8"/>
        <v>0</v>
      </c>
      <c r="U259" s="1" t="str">
        <f t="shared" si="9"/>
        <v/>
      </c>
      <c r="V259" s="1"/>
      <c r="W259" s="1"/>
    </row>
    <row r="260" spans="1:23">
      <c r="A260" s="1"/>
      <c r="B260" s="8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8"/>
      <c r="R260" s="8"/>
      <c r="S260" s="1"/>
      <c r="T260" s="6">
        <f t="shared" ca="1" si="8"/>
        <v>0</v>
      </c>
      <c r="U260" s="1" t="str">
        <f t="shared" si="9"/>
        <v/>
      </c>
      <c r="V260" s="1"/>
      <c r="W260" s="1"/>
    </row>
    <row r="261" spans="1:23">
      <c r="A261" s="1"/>
      <c r="B261" s="8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8"/>
      <c r="R261" s="8"/>
      <c r="S261" s="1"/>
      <c r="T261" s="6">
        <f t="shared" ca="1" si="8"/>
        <v>0</v>
      </c>
      <c r="U261" s="1" t="str">
        <f t="shared" si="9"/>
        <v/>
      </c>
      <c r="V261" s="1"/>
      <c r="W261" s="1"/>
    </row>
    <row r="262" spans="1:23">
      <c r="A262" s="1"/>
      <c r="B262" s="8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8"/>
      <c r="R262" s="8"/>
      <c r="S262" s="1"/>
      <c r="T262" s="6">
        <f t="shared" ca="1" si="8"/>
        <v>0</v>
      </c>
      <c r="U262" s="1" t="str">
        <f t="shared" si="9"/>
        <v/>
      </c>
      <c r="V262" s="1"/>
      <c r="W262" s="1"/>
    </row>
    <row r="263" spans="1:23">
      <c r="A263" s="1"/>
      <c r="B263" s="8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8"/>
      <c r="R263" s="8"/>
      <c r="S263" s="1"/>
      <c r="T263" s="6">
        <f t="shared" ca="1" si="8"/>
        <v>0</v>
      </c>
      <c r="U263" s="1" t="str">
        <f t="shared" si="9"/>
        <v/>
      </c>
      <c r="V263" s="1"/>
      <c r="W263" s="1"/>
    </row>
    <row r="264" spans="1:23">
      <c r="A264" s="1"/>
      <c r="B264" s="8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8"/>
      <c r="R264" s="8"/>
      <c r="S264" s="1"/>
      <c r="T264" s="6">
        <f t="shared" ca="1" si="8"/>
        <v>0</v>
      </c>
      <c r="U264" s="1" t="str">
        <f t="shared" si="9"/>
        <v/>
      </c>
      <c r="V264" s="1"/>
      <c r="W264" s="1"/>
    </row>
    <row r="265" spans="1:23">
      <c r="A265" s="1"/>
      <c r="B265" s="8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8"/>
      <c r="R265" s="8"/>
      <c r="S265" s="1"/>
      <c r="T265" s="6">
        <f t="shared" ca="1" si="8"/>
        <v>0</v>
      </c>
      <c r="U265" s="1" t="str">
        <f t="shared" si="9"/>
        <v/>
      </c>
      <c r="V265" s="1"/>
      <c r="W265" s="1"/>
    </row>
    <row r="266" spans="1:23">
      <c r="A266" s="1"/>
      <c r="B266" s="8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8"/>
      <c r="R266" s="8"/>
      <c r="S266" s="1"/>
      <c r="T266" s="6">
        <f t="shared" ca="1" si="8"/>
        <v>0</v>
      </c>
      <c r="U266" s="1" t="str">
        <f t="shared" si="9"/>
        <v/>
      </c>
      <c r="V266" s="1"/>
      <c r="W266" s="1"/>
    </row>
    <row r="267" spans="1:23">
      <c r="A267" s="1"/>
      <c r="B267" s="8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8"/>
      <c r="R267" s="8"/>
      <c r="S267" s="1"/>
      <c r="T267" s="6">
        <f t="shared" ca="1" si="8"/>
        <v>0</v>
      </c>
      <c r="U267" s="1" t="str">
        <f t="shared" si="9"/>
        <v/>
      </c>
      <c r="V267" s="1"/>
      <c r="W267" s="1"/>
    </row>
    <row r="268" spans="1:23">
      <c r="A268" s="1"/>
      <c r="B268" s="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8"/>
      <c r="R268" s="8"/>
      <c r="S268" s="1"/>
      <c r="T268" s="6">
        <f t="shared" ca="1" si="8"/>
        <v>0</v>
      </c>
      <c r="U268" s="1" t="str">
        <f t="shared" si="9"/>
        <v/>
      </c>
      <c r="V268" s="1"/>
      <c r="W268" s="1"/>
    </row>
    <row r="269" spans="1:23">
      <c r="A269" s="1"/>
      <c r="B269" s="8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8"/>
      <c r="R269" s="8"/>
      <c r="S269" s="1"/>
      <c r="T269" s="6">
        <f t="shared" ca="1" si="8"/>
        <v>0</v>
      </c>
      <c r="U269" s="1" t="str">
        <f t="shared" si="9"/>
        <v/>
      </c>
      <c r="V269" s="1"/>
      <c r="W269" s="1"/>
    </row>
    <row r="270" spans="1:23">
      <c r="A270" s="1"/>
      <c r="B270" s="8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8"/>
      <c r="R270" s="8"/>
      <c r="S270" s="1"/>
      <c r="T270" s="6">
        <f t="shared" ca="1" si="8"/>
        <v>0</v>
      </c>
      <c r="U270" s="1" t="str">
        <f t="shared" si="9"/>
        <v/>
      </c>
      <c r="V270" s="1"/>
      <c r="W270" s="1"/>
    </row>
    <row r="271" spans="1:23">
      <c r="A271" s="1"/>
      <c r="B271" s="8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8"/>
      <c r="R271" s="8"/>
      <c r="S271" s="1"/>
      <c r="T271" s="6">
        <f t="shared" ca="1" si="8"/>
        <v>0</v>
      </c>
      <c r="U271" s="1" t="str">
        <f t="shared" si="9"/>
        <v/>
      </c>
      <c r="V271" s="1"/>
      <c r="W271" s="1"/>
    </row>
    <row r="272" spans="1:23">
      <c r="A272" s="1"/>
      <c r="B272" s="8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8"/>
      <c r="R272" s="8"/>
      <c r="S272" s="1"/>
      <c r="T272" s="6">
        <f t="shared" ca="1" si="8"/>
        <v>0</v>
      </c>
      <c r="U272" s="1" t="str">
        <f t="shared" si="9"/>
        <v/>
      </c>
      <c r="V272" s="1"/>
      <c r="W272" s="1"/>
    </row>
    <row r="273" spans="1:23">
      <c r="A273" s="1"/>
      <c r="B273" s="8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8"/>
      <c r="R273" s="8"/>
      <c r="S273" s="1"/>
      <c r="T273" s="6">
        <f t="shared" ca="1" si="8"/>
        <v>0</v>
      </c>
      <c r="U273" s="1" t="str">
        <f t="shared" si="9"/>
        <v/>
      </c>
      <c r="V273" s="1"/>
      <c r="W273" s="1"/>
    </row>
    <row r="274" spans="1:23">
      <c r="A274" s="1"/>
      <c r="B274" s="8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8"/>
      <c r="R274" s="8"/>
      <c r="S274" s="1"/>
      <c r="T274" s="6">
        <f t="shared" ca="1" si="8"/>
        <v>0</v>
      </c>
      <c r="U274" s="1" t="str">
        <f t="shared" si="9"/>
        <v/>
      </c>
      <c r="V274" s="1"/>
      <c r="W274" s="1"/>
    </row>
    <row r="275" spans="1:23">
      <c r="A275" s="1"/>
      <c r="B275" s="8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8"/>
      <c r="R275" s="8"/>
      <c r="S275" s="1"/>
      <c r="T275" s="6">
        <f t="shared" ca="1" si="8"/>
        <v>0</v>
      </c>
      <c r="U275" s="1" t="str">
        <f t="shared" si="9"/>
        <v/>
      </c>
      <c r="V275" s="1"/>
      <c r="W275" s="1"/>
    </row>
    <row r="276" spans="1:23">
      <c r="A276" s="1"/>
      <c r="B276" s="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8"/>
      <c r="R276" s="8"/>
      <c r="S276" s="1"/>
      <c r="T276" s="6">
        <f t="shared" ca="1" si="8"/>
        <v>0</v>
      </c>
      <c r="U276" s="1" t="str">
        <f t="shared" si="9"/>
        <v/>
      </c>
      <c r="V276" s="1"/>
      <c r="W276" s="1"/>
    </row>
    <row r="277" spans="1:23">
      <c r="A277" s="1"/>
      <c r="B277" s="8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8"/>
      <c r="R277" s="8"/>
      <c r="S277" s="1"/>
      <c r="T277" s="6">
        <f t="shared" ca="1" si="8"/>
        <v>0</v>
      </c>
      <c r="U277" s="1" t="str">
        <f t="shared" si="9"/>
        <v/>
      </c>
      <c r="V277" s="1"/>
      <c r="W277" s="1"/>
    </row>
    <row r="278" spans="1:23">
      <c r="A278" s="1"/>
      <c r="B278" s="8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8"/>
      <c r="R278" s="8"/>
      <c r="S278" s="1"/>
      <c r="T278" s="6">
        <f t="shared" ca="1" si="8"/>
        <v>0</v>
      </c>
      <c r="U278" s="1" t="str">
        <f t="shared" si="9"/>
        <v/>
      </c>
      <c r="V278" s="1"/>
      <c r="W278" s="1"/>
    </row>
    <row r="279" spans="1:23">
      <c r="A279" s="1"/>
      <c r="B279" s="8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8"/>
      <c r="R279" s="8"/>
      <c r="S279" s="1"/>
      <c r="T279" s="6">
        <f t="shared" ca="1" si="8"/>
        <v>0</v>
      </c>
      <c r="U279" s="1" t="str">
        <f t="shared" si="9"/>
        <v/>
      </c>
      <c r="V279" s="1"/>
      <c r="W279" s="1"/>
    </row>
    <row r="280" spans="1:23">
      <c r="A280" s="1"/>
      <c r="B280" s="8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8"/>
      <c r="R280" s="8"/>
      <c r="S280" s="1"/>
      <c r="T280" s="6">
        <f t="shared" ca="1" si="8"/>
        <v>0</v>
      </c>
      <c r="U280" s="1" t="str">
        <f t="shared" si="9"/>
        <v/>
      </c>
      <c r="V280" s="1"/>
      <c r="W280" s="1"/>
    </row>
    <row r="281" spans="1:23">
      <c r="A281" s="1"/>
      <c r="B281" s="8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8"/>
      <c r="R281" s="8"/>
      <c r="S281" s="1"/>
      <c r="T281" s="6">
        <f t="shared" ca="1" si="8"/>
        <v>0</v>
      </c>
      <c r="U281" s="1" t="str">
        <f t="shared" si="9"/>
        <v/>
      </c>
      <c r="V281" s="1"/>
      <c r="W281" s="1"/>
    </row>
    <row r="282" spans="1:23">
      <c r="A282" s="1"/>
      <c r="B282" s="8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8"/>
      <c r="R282" s="8"/>
      <c r="S282" s="1"/>
      <c r="T282" s="6">
        <f t="shared" ca="1" si="8"/>
        <v>0</v>
      </c>
      <c r="U282" s="1" t="str">
        <f t="shared" si="9"/>
        <v/>
      </c>
      <c r="V282" s="1"/>
      <c r="W282" s="1"/>
    </row>
    <row r="283" spans="1:23">
      <c r="A283" s="1"/>
      <c r="B283" s="8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8"/>
      <c r="R283" s="8"/>
      <c r="S283" s="1"/>
      <c r="T283" s="6">
        <f t="shared" ca="1" si="8"/>
        <v>0</v>
      </c>
      <c r="U283" s="1" t="str">
        <f t="shared" si="9"/>
        <v/>
      </c>
      <c r="V283" s="1"/>
      <c r="W283" s="1"/>
    </row>
    <row r="284" spans="1:23">
      <c r="A284" s="1"/>
      <c r="B284" s="8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8"/>
      <c r="R284" s="8"/>
      <c r="S284" s="1"/>
      <c r="T284" s="6">
        <f t="shared" ca="1" si="8"/>
        <v>0</v>
      </c>
      <c r="U284" s="1" t="str">
        <f t="shared" si="9"/>
        <v/>
      </c>
      <c r="V284" s="1"/>
      <c r="W284" s="1"/>
    </row>
    <row r="285" spans="1:23">
      <c r="A285" s="1"/>
      <c r="B285" s="8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8"/>
      <c r="R285" s="8"/>
      <c r="S285" s="1"/>
      <c r="T285" s="6">
        <f t="shared" ca="1" si="8"/>
        <v>0</v>
      </c>
      <c r="U285" s="1" t="str">
        <f t="shared" si="9"/>
        <v/>
      </c>
      <c r="V285" s="1"/>
      <c r="W285" s="1"/>
    </row>
    <row r="286" spans="1:23">
      <c r="A286" s="1"/>
      <c r="B286" s="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8"/>
      <c r="R286" s="8"/>
      <c r="S286" s="1"/>
      <c r="T286" s="6">
        <f t="shared" ca="1" si="8"/>
        <v>0</v>
      </c>
      <c r="U286" s="1" t="str">
        <f t="shared" si="9"/>
        <v/>
      </c>
      <c r="V286" s="1"/>
      <c r="W286" s="1"/>
    </row>
    <row r="287" spans="1:23">
      <c r="A287" s="1"/>
      <c r="B287" s="8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8"/>
      <c r="R287" s="8"/>
      <c r="S287" s="1"/>
      <c r="T287" s="6">
        <f t="shared" ca="1" si="8"/>
        <v>0</v>
      </c>
      <c r="U287" s="1" t="str">
        <f t="shared" si="9"/>
        <v/>
      </c>
      <c r="V287" s="1"/>
      <c r="W287" s="1"/>
    </row>
    <row r="288" spans="1:23">
      <c r="A288" s="1"/>
      <c r="B288" s="8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8"/>
      <c r="R288" s="8"/>
      <c r="S288" s="1"/>
      <c r="T288" s="6">
        <f t="shared" ca="1" si="8"/>
        <v>0</v>
      </c>
      <c r="U288" s="1" t="str">
        <f t="shared" si="9"/>
        <v/>
      </c>
      <c r="V288" s="1"/>
      <c r="W288" s="1"/>
    </row>
    <row r="289" spans="1:23">
      <c r="A289" s="1"/>
      <c r="B289" s="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8"/>
      <c r="R289" s="8"/>
      <c r="S289" s="1"/>
      <c r="T289" s="6">
        <f t="shared" ca="1" si="8"/>
        <v>0</v>
      </c>
      <c r="U289" s="1" t="str">
        <f t="shared" si="9"/>
        <v/>
      </c>
      <c r="V289" s="1"/>
      <c r="W289" s="1"/>
    </row>
    <row r="290" spans="1:23">
      <c r="A290" s="1"/>
      <c r="B290" s="8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8"/>
      <c r="R290" s="8"/>
      <c r="S290" s="1"/>
      <c r="T290" s="6">
        <f t="shared" ca="1" si="8"/>
        <v>0</v>
      </c>
      <c r="U290" s="1" t="str">
        <f t="shared" si="9"/>
        <v/>
      </c>
      <c r="V290" s="1"/>
      <c r="W290" s="1"/>
    </row>
    <row r="291" spans="1:23">
      <c r="A291" s="1"/>
      <c r="B291" s="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8"/>
      <c r="R291" s="8"/>
      <c r="S291" s="1"/>
      <c r="T291" s="6">
        <f t="shared" ca="1" si="8"/>
        <v>0</v>
      </c>
      <c r="U291" s="1" t="str">
        <f t="shared" si="9"/>
        <v/>
      </c>
      <c r="V291" s="1"/>
      <c r="W291" s="1"/>
    </row>
    <row r="292" spans="1:23">
      <c r="A292" s="1"/>
      <c r="B292" s="8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8"/>
      <c r="R292" s="8"/>
      <c r="S292" s="1"/>
      <c r="T292" s="6">
        <f t="shared" ca="1" si="8"/>
        <v>0</v>
      </c>
      <c r="U292" s="1" t="str">
        <f t="shared" si="9"/>
        <v/>
      </c>
      <c r="V292" s="1"/>
      <c r="W292" s="1"/>
    </row>
    <row r="293" spans="1:23">
      <c r="A293" s="1"/>
      <c r="B293" s="8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8"/>
      <c r="R293" s="8"/>
      <c r="S293" s="1"/>
      <c r="T293" s="6">
        <f t="shared" ca="1" si="8"/>
        <v>0</v>
      </c>
      <c r="U293" s="1" t="str">
        <f t="shared" si="9"/>
        <v/>
      </c>
      <c r="V293" s="1"/>
      <c r="W293" s="1"/>
    </row>
    <row r="294" spans="1:23">
      <c r="A294" s="1"/>
      <c r="B294" s="8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8"/>
      <c r="R294" s="8"/>
      <c r="S294" s="1"/>
      <c r="T294" s="6">
        <f t="shared" ca="1" si="8"/>
        <v>0</v>
      </c>
      <c r="U294" s="1" t="str">
        <f t="shared" si="9"/>
        <v/>
      </c>
      <c r="V294" s="1"/>
      <c r="W294" s="1"/>
    </row>
    <row r="295" spans="1:23">
      <c r="A295" s="1"/>
      <c r="B295" s="8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8"/>
      <c r="R295" s="8"/>
      <c r="S295" s="1"/>
      <c r="T295" s="6">
        <f t="shared" ca="1" si="8"/>
        <v>0</v>
      </c>
      <c r="U295" s="1" t="str">
        <f t="shared" si="9"/>
        <v/>
      </c>
      <c r="V295" s="1"/>
      <c r="W295" s="1"/>
    </row>
    <row r="296" spans="1:23">
      <c r="A296" s="1"/>
      <c r="B296" s="8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8"/>
      <c r="R296" s="8"/>
      <c r="S296" s="1"/>
      <c r="T296" s="6">
        <f t="shared" ca="1" si="8"/>
        <v>0</v>
      </c>
      <c r="U296" s="1" t="str">
        <f t="shared" si="9"/>
        <v/>
      </c>
      <c r="V296" s="1"/>
      <c r="W296" s="1"/>
    </row>
    <row r="297" spans="1:23">
      <c r="A297" s="1"/>
      <c r="B297" s="8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8"/>
      <c r="R297" s="8"/>
      <c r="S297" s="1"/>
      <c r="T297" s="6">
        <f t="shared" ca="1" si="8"/>
        <v>0</v>
      </c>
      <c r="U297" s="1" t="str">
        <f t="shared" si="9"/>
        <v/>
      </c>
      <c r="V297" s="1"/>
      <c r="W297" s="1"/>
    </row>
  </sheetData>
  <conditionalFormatting sqref="L2:L297">
    <cfRule type="expression" dxfId="31" priority="1">
      <formula>L2="Non conforme"</formula>
    </cfRule>
    <cfRule type="expression" dxfId="30" priority="2">
      <formula>L2="Conforme"</formula>
    </cfRule>
  </conditionalFormatting>
  <conditionalFormatting sqref="M2:M297">
    <cfRule type="expression" dxfId="29" priority="3">
      <formula>M2="Critique"</formula>
    </cfRule>
  </conditionalFormatting>
  <conditionalFormatting sqref="T2:T297">
    <cfRule type="cellIs" dxfId="28" priority="4" operator="greaterThan">
      <formula>0</formula>
    </cfRule>
  </conditionalFormatting>
  <dataValidations count="9">
    <dataValidation type="list" allowBlank="1" showErrorMessage="1" errorTitle="Valeur non autorisée" error="Veuillez choisir une valeur depuis la liste dynamique REF_AGENCES." sqref="C2:C1000" xr:uid="{00000000-0002-0000-0900-000000000000}">
      <formula1>REF_AGENCES</formula1>
    </dataValidation>
    <dataValidation type="list" allowBlank="1" showErrorMessage="1" errorTitle="Valeur non autorisée" error="Veuillez choisir une valeur depuis la liste dynamique REF_CYCLES." sqref="D2:D1000" xr:uid="{00000000-0002-0000-0900-000001000000}">
      <formula1>REF_CYCLES</formula1>
    </dataValidation>
    <dataValidation type="list" allowBlank="1" showErrorMessage="1" errorTitle="Valeur non autorisée" error="Veuillez choisir une valeur depuis la liste dynamique REF_FREQUENCES." sqref="H2:H1000" xr:uid="{00000000-0002-0000-0900-000002000000}">
      <formula1>REF_FREQUENCES</formula1>
    </dataValidation>
    <dataValidation type="list" allowBlank="1" showErrorMessage="1" errorTitle="Valeur non autorisée" error="Veuillez choisir une valeur depuis la liste dynamique REF_RESPONSABLES." sqref="I2:I1000 P2:P1000" xr:uid="{00000000-0002-0000-0900-000003000000}">
      <formula1>REF_RESPONSABLES</formula1>
    </dataValidation>
    <dataValidation type="list" allowBlank="1" showErrorMessage="1" errorTitle="Valeur non autorisée" error="Veuillez choisir une valeur depuis la liste dynamique REF_NIVEAUX_RISQUE." sqref="J2:J1000" xr:uid="{00000000-0002-0000-0900-000004000000}">
      <formula1>REF_NIVEAUX_RISQUE</formula1>
    </dataValidation>
    <dataValidation type="list" allowBlank="1" showErrorMessage="1" errorTitle="Valeur non autorisée" error="Veuillez choisir une valeur depuis la liste dynamique REF_RESULTATS_CONTROLE." sqref="L2:L1000" xr:uid="{00000000-0002-0000-0900-000005000000}">
      <formula1>REF_RESULTATS_CONTROLE</formula1>
    </dataValidation>
    <dataValidation type="list" allowBlank="1" showErrorMessage="1" errorTitle="Valeur non autorisée" error="Veuillez choisir une valeur depuis la liste dynamique REF_GRAVITES_ANOMALIE." sqref="M2:M1000" xr:uid="{00000000-0002-0000-0900-000006000000}">
      <formula1>REF_GRAVITES_ANOMALIE</formula1>
    </dataValidation>
    <dataValidation type="list" allowBlank="1" showErrorMessage="1" errorTitle="Valeur non autorisée" error="Veuillez choisir une valeur depuis la liste dynamique REF_STATUTS_ACTION." sqref="S2:S1000" xr:uid="{00000000-0002-0000-0900-000008000000}">
      <formula1>REF_STATUTS_ACTION</formula1>
    </dataValidation>
    <dataValidation type="list" allowBlank="1" showErrorMessage="1" errorTitle="Valeur non autorisée" error="Veuillez choisir une valeur depuis la liste dynamique REF_PRIORITES." sqref="U2:U1000" xr:uid="{00000000-0002-0000-0900-000009000000}">
      <formula1>REF_PRIORITES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297"/>
  <sheetViews>
    <sheetView workbookViewId="0"/>
  </sheetViews>
  <sheetFormatPr baseColWidth="10" defaultColWidth="9" defaultRowHeight="14.25"/>
  <cols>
    <col min="1" max="2" width="14" customWidth="1"/>
    <col min="3" max="3" width="18" customWidth="1"/>
    <col min="4" max="4" width="28" customWidth="1"/>
    <col min="5" max="5" width="26" customWidth="1"/>
    <col min="6" max="6" width="42" customWidth="1"/>
    <col min="7" max="7" width="48" customWidth="1"/>
    <col min="8" max="8" width="16" customWidth="1"/>
    <col min="9" max="9" width="24" customWidth="1"/>
    <col min="10" max="10" width="14" customWidth="1"/>
    <col min="11" max="11" width="34" customWidth="1"/>
    <col min="12" max="12" width="18" customWidth="1"/>
    <col min="13" max="13" width="16" customWidth="1"/>
    <col min="14" max="14" width="42" customWidth="1"/>
    <col min="15" max="15" width="48" customWidth="1"/>
    <col min="16" max="16" width="22" customWidth="1"/>
    <col min="17" max="18" width="14" customWidth="1"/>
    <col min="19" max="19" width="16" customWidth="1"/>
    <col min="20" max="20" width="12" customWidth="1"/>
    <col min="21" max="21" width="10" customWidth="1"/>
    <col min="22" max="22" width="20" customWidth="1"/>
    <col min="23" max="23" width="36" customWidth="1"/>
  </cols>
  <sheetData>
    <row r="1" spans="1:23" ht="32.1" customHeight="1">
      <c r="A1" s="2" t="s">
        <v>39</v>
      </c>
      <c r="B1" s="2" t="s">
        <v>166</v>
      </c>
      <c r="C1" s="2" t="s">
        <v>167</v>
      </c>
      <c r="D1" s="2" t="s">
        <v>18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47</v>
      </c>
      <c r="N1" s="2" t="s">
        <v>176</v>
      </c>
      <c r="O1" s="2" t="s">
        <v>177</v>
      </c>
      <c r="P1" s="2" t="s">
        <v>178</v>
      </c>
      <c r="Q1" s="2" t="s">
        <v>179</v>
      </c>
      <c r="R1" s="2" t="s">
        <v>180</v>
      </c>
      <c r="S1" s="2" t="s">
        <v>181</v>
      </c>
      <c r="T1" s="2" t="s">
        <v>182</v>
      </c>
      <c r="U1" s="2" t="s">
        <v>183</v>
      </c>
      <c r="V1" s="2" t="s">
        <v>184</v>
      </c>
      <c r="W1" s="2" t="s">
        <v>185</v>
      </c>
    </row>
    <row r="2" spans="1:23" ht="28.5">
      <c r="A2" s="1" t="s">
        <v>307</v>
      </c>
      <c r="B2" s="8"/>
      <c r="C2" s="1"/>
      <c r="D2" s="1" t="s">
        <v>82</v>
      </c>
      <c r="E2" s="1" t="s">
        <v>308</v>
      </c>
      <c r="F2" s="1" t="s">
        <v>309</v>
      </c>
      <c r="G2" s="1" t="s">
        <v>310</v>
      </c>
      <c r="H2" s="1" t="s">
        <v>58</v>
      </c>
      <c r="I2" s="1" t="s">
        <v>205</v>
      </c>
      <c r="J2" s="1" t="s">
        <v>85</v>
      </c>
      <c r="K2" s="1" t="s">
        <v>311</v>
      </c>
      <c r="L2" s="1"/>
      <c r="M2" s="1" t="s">
        <v>61</v>
      </c>
      <c r="N2" s="1"/>
      <c r="O2" s="1"/>
      <c r="P2" s="1"/>
      <c r="Q2" s="8"/>
      <c r="R2" s="8"/>
      <c r="S2" s="1" t="s">
        <v>62</v>
      </c>
      <c r="T2" s="6">
        <f t="shared" ref="T2:T65" ca="1" si="0">IF(AND(S2&lt;&gt;"Clôturée",Q2&lt;&gt;"",TODAY()&gt;Q2),TODAY()-Q2,0)</f>
        <v>0</v>
      </c>
      <c r="U2" s="1" t="str">
        <f t="shared" ref="U2:U65" si="1">IF(M2="Critique","P1",IF(M2="Majeure","P2",IF(M2="Mineure","P3","")))</f>
        <v/>
      </c>
      <c r="V2" s="1" t="s">
        <v>312</v>
      </c>
      <c r="W2" s="1"/>
    </row>
    <row r="3" spans="1:23" ht="28.5">
      <c r="A3" s="1" t="s">
        <v>313</v>
      </c>
      <c r="B3" s="8"/>
      <c r="C3" s="1"/>
      <c r="D3" s="1" t="s">
        <v>82</v>
      </c>
      <c r="E3" s="1" t="s">
        <v>314</v>
      </c>
      <c r="F3" s="1" t="s">
        <v>315</v>
      </c>
      <c r="G3" s="1" t="s">
        <v>316</v>
      </c>
      <c r="H3" s="1" t="s">
        <v>58</v>
      </c>
      <c r="I3" s="1" t="s">
        <v>205</v>
      </c>
      <c r="J3" s="1" t="s">
        <v>85</v>
      </c>
      <c r="K3" s="1" t="s">
        <v>317</v>
      </c>
      <c r="L3" s="1"/>
      <c r="M3" s="1" t="s">
        <v>61</v>
      </c>
      <c r="N3" s="1"/>
      <c r="O3" s="1"/>
      <c r="P3" s="1"/>
      <c r="Q3" s="8"/>
      <c r="R3" s="8"/>
      <c r="S3" s="1" t="s">
        <v>62</v>
      </c>
      <c r="T3" s="6">
        <f t="shared" ca="1" si="0"/>
        <v>0</v>
      </c>
      <c r="U3" s="1" t="str">
        <f t="shared" si="1"/>
        <v/>
      </c>
      <c r="V3" s="1" t="s">
        <v>312</v>
      </c>
      <c r="W3" s="1"/>
    </row>
    <row r="4" spans="1:23" ht="28.5">
      <c r="A4" s="1" t="s">
        <v>318</v>
      </c>
      <c r="B4" s="8"/>
      <c r="C4" s="1"/>
      <c r="D4" s="1" t="s">
        <v>82</v>
      </c>
      <c r="E4" s="1" t="s">
        <v>314</v>
      </c>
      <c r="F4" s="1" t="s">
        <v>319</v>
      </c>
      <c r="G4" s="1" t="s">
        <v>320</v>
      </c>
      <c r="H4" s="1" t="s">
        <v>58</v>
      </c>
      <c r="I4" s="1" t="s">
        <v>205</v>
      </c>
      <c r="J4" s="1" t="s">
        <v>85</v>
      </c>
      <c r="K4" s="1" t="s">
        <v>321</v>
      </c>
      <c r="L4" s="1"/>
      <c r="M4" s="1" t="s">
        <v>61</v>
      </c>
      <c r="N4" s="1"/>
      <c r="O4" s="1"/>
      <c r="P4" s="1"/>
      <c r="Q4" s="8"/>
      <c r="R4" s="8"/>
      <c r="S4" s="1" t="s">
        <v>62</v>
      </c>
      <c r="T4" s="6">
        <f t="shared" ca="1" si="0"/>
        <v>0</v>
      </c>
      <c r="U4" s="1" t="str">
        <f t="shared" si="1"/>
        <v/>
      </c>
      <c r="V4" s="1" t="s">
        <v>312</v>
      </c>
      <c r="W4" s="1"/>
    </row>
    <row r="5" spans="1:23" ht="28.5">
      <c r="A5" s="1" t="s">
        <v>322</v>
      </c>
      <c r="B5" s="8"/>
      <c r="C5" s="1"/>
      <c r="D5" s="1" t="s">
        <v>82</v>
      </c>
      <c r="E5" s="1" t="s">
        <v>323</v>
      </c>
      <c r="F5" s="1" t="s">
        <v>324</v>
      </c>
      <c r="G5" s="1" t="s">
        <v>325</v>
      </c>
      <c r="H5" s="1" t="s">
        <v>58</v>
      </c>
      <c r="I5" s="1" t="s">
        <v>205</v>
      </c>
      <c r="J5" s="1" t="s">
        <v>85</v>
      </c>
      <c r="K5" s="1" t="s">
        <v>326</v>
      </c>
      <c r="L5" s="1"/>
      <c r="M5" s="1" t="s">
        <v>61</v>
      </c>
      <c r="N5" s="1"/>
      <c r="O5" s="1"/>
      <c r="P5" s="1"/>
      <c r="Q5" s="8"/>
      <c r="R5" s="8"/>
      <c r="S5" s="1" t="s">
        <v>62</v>
      </c>
      <c r="T5" s="6">
        <f t="shared" ca="1" si="0"/>
        <v>0</v>
      </c>
      <c r="U5" s="1" t="str">
        <f t="shared" si="1"/>
        <v/>
      </c>
      <c r="V5" s="1" t="s">
        <v>312</v>
      </c>
      <c r="W5" s="1"/>
    </row>
    <row r="6" spans="1:23" ht="28.5">
      <c r="A6" s="1" t="s">
        <v>327</v>
      </c>
      <c r="B6" s="8"/>
      <c r="C6" s="1"/>
      <c r="D6" s="1" t="s">
        <v>82</v>
      </c>
      <c r="E6" s="1" t="s">
        <v>328</v>
      </c>
      <c r="F6" s="1" t="s">
        <v>329</v>
      </c>
      <c r="G6" s="1" t="s">
        <v>330</v>
      </c>
      <c r="H6" s="1" t="s">
        <v>58</v>
      </c>
      <c r="I6" s="1" t="s">
        <v>205</v>
      </c>
      <c r="J6" s="1" t="s">
        <v>85</v>
      </c>
      <c r="K6" s="1" t="s">
        <v>331</v>
      </c>
      <c r="L6" s="1"/>
      <c r="M6" s="1" t="s">
        <v>61</v>
      </c>
      <c r="N6" s="1"/>
      <c r="O6" s="1"/>
      <c r="P6" s="1"/>
      <c r="Q6" s="8"/>
      <c r="R6" s="8"/>
      <c r="S6" s="1" t="s">
        <v>62</v>
      </c>
      <c r="T6" s="6">
        <f t="shared" ca="1" si="0"/>
        <v>0</v>
      </c>
      <c r="U6" s="1" t="str">
        <f t="shared" si="1"/>
        <v/>
      </c>
      <c r="V6" s="1" t="s">
        <v>312</v>
      </c>
      <c r="W6" s="1"/>
    </row>
    <row r="7" spans="1:23" ht="28.5">
      <c r="A7" s="1" t="s">
        <v>332</v>
      </c>
      <c r="B7" s="8"/>
      <c r="C7" s="1"/>
      <c r="D7" s="1" t="s">
        <v>82</v>
      </c>
      <c r="E7" s="1" t="s">
        <v>70</v>
      </c>
      <c r="F7" s="1" t="s">
        <v>333</v>
      </c>
      <c r="G7" s="1" t="s">
        <v>334</v>
      </c>
      <c r="H7" s="1" t="s">
        <v>58</v>
      </c>
      <c r="I7" s="1" t="s">
        <v>205</v>
      </c>
      <c r="J7" s="1" t="s">
        <v>85</v>
      </c>
      <c r="K7" s="1" t="s">
        <v>335</v>
      </c>
      <c r="L7" s="1"/>
      <c r="M7" s="1" t="s">
        <v>61</v>
      </c>
      <c r="N7" s="1"/>
      <c r="O7" s="1"/>
      <c r="P7" s="1"/>
      <c r="Q7" s="8"/>
      <c r="R7" s="8"/>
      <c r="S7" s="1" t="s">
        <v>62</v>
      </c>
      <c r="T7" s="6">
        <f t="shared" ca="1" si="0"/>
        <v>0</v>
      </c>
      <c r="U7" s="1" t="str">
        <f t="shared" si="1"/>
        <v/>
      </c>
      <c r="V7" s="1" t="s">
        <v>312</v>
      </c>
      <c r="W7" s="1"/>
    </row>
    <row r="8" spans="1:23" ht="28.5">
      <c r="A8" s="1" t="s">
        <v>336</v>
      </c>
      <c r="B8" s="8"/>
      <c r="C8" s="1"/>
      <c r="D8" s="1" t="s">
        <v>82</v>
      </c>
      <c r="E8" s="1" t="s">
        <v>337</v>
      </c>
      <c r="F8" s="1" t="s">
        <v>338</v>
      </c>
      <c r="G8" s="1" t="s">
        <v>339</v>
      </c>
      <c r="H8" s="1" t="s">
        <v>58</v>
      </c>
      <c r="I8" s="1" t="s">
        <v>205</v>
      </c>
      <c r="J8" s="1" t="s">
        <v>85</v>
      </c>
      <c r="K8" s="1" t="s">
        <v>340</v>
      </c>
      <c r="L8" s="1"/>
      <c r="M8" s="1" t="s">
        <v>61</v>
      </c>
      <c r="N8" s="1"/>
      <c r="O8" s="1"/>
      <c r="P8" s="1"/>
      <c r="Q8" s="8"/>
      <c r="R8" s="8"/>
      <c r="S8" s="1" t="s">
        <v>62</v>
      </c>
      <c r="T8" s="6">
        <f t="shared" ca="1" si="0"/>
        <v>0</v>
      </c>
      <c r="U8" s="1" t="str">
        <f t="shared" si="1"/>
        <v/>
      </c>
      <c r="V8" s="1" t="s">
        <v>312</v>
      </c>
      <c r="W8" s="1"/>
    </row>
    <row r="9" spans="1:23" ht="28.5">
      <c r="A9" s="1" t="s">
        <v>341</v>
      </c>
      <c r="B9" s="8"/>
      <c r="C9" s="1"/>
      <c r="D9" s="1" t="s">
        <v>82</v>
      </c>
      <c r="E9" s="1" t="s">
        <v>337</v>
      </c>
      <c r="F9" s="1" t="s">
        <v>342</v>
      </c>
      <c r="G9" s="1" t="s">
        <v>343</v>
      </c>
      <c r="H9" s="1" t="s">
        <v>58</v>
      </c>
      <c r="I9" s="1" t="s">
        <v>205</v>
      </c>
      <c r="J9" s="1" t="s">
        <v>85</v>
      </c>
      <c r="K9" s="1" t="s">
        <v>344</v>
      </c>
      <c r="L9" s="1"/>
      <c r="M9" s="1" t="s">
        <v>61</v>
      </c>
      <c r="N9" s="1"/>
      <c r="O9" s="1"/>
      <c r="P9" s="1"/>
      <c r="Q9" s="8"/>
      <c r="R9" s="8"/>
      <c r="S9" s="1" t="s">
        <v>62</v>
      </c>
      <c r="T9" s="6">
        <f t="shared" ca="1" si="0"/>
        <v>0</v>
      </c>
      <c r="U9" s="1" t="str">
        <f t="shared" si="1"/>
        <v/>
      </c>
      <c r="V9" s="1" t="s">
        <v>312</v>
      </c>
      <c r="W9" s="1"/>
    </row>
    <row r="10" spans="1:23" ht="28.5">
      <c r="A10" s="1" t="s">
        <v>345</v>
      </c>
      <c r="B10" s="8"/>
      <c r="C10" s="1"/>
      <c r="D10" s="1" t="s">
        <v>82</v>
      </c>
      <c r="E10" s="1" t="s">
        <v>346</v>
      </c>
      <c r="F10" s="1" t="s">
        <v>347</v>
      </c>
      <c r="G10" s="1" t="s">
        <v>348</v>
      </c>
      <c r="H10" s="1" t="s">
        <v>58</v>
      </c>
      <c r="I10" s="1" t="s">
        <v>205</v>
      </c>
      <c r="J10" s="1" t="s">
        <v>85</v>
      </c>
      <c r="K10" s="1" t="s">
        <v>349</v>
      </c>
      <c r="L10" s="1"/>
      <c r="M10" s="1" t="s">
        <v>61</v>
      </c>
      <c r="N10" s="1"/>
      <c r="O10" s="1"/>
      <c r="P10" s="1"/>
      <c r="Q10" s="8"/>
      <c r="R10" s="8"/>
      <c r="S10" s="1" t="s">
        <v>62</v>
      </c>
      <c r="T10" s="6">
        <f t="shared" ca="1" si="0"/>
        <v>0</v>
      </c>
      <c r="U10" s="1" t="str">
        <f t="shared" si="1"/>
        <v/>
      </c>
      <c r="V10" s="1" t="s">
        <v>312</v>
      </c>
      <c r="W10" s="1"/>
    </row>
    <row r="11" spans="1:23" ht="28.5">
      <c r="A11" s="1" t="s">
        <v>350</v>
      </c>
      <c r="B11" s="8"/>
      <c r="C11" s="1"/>
      <c r="D11" s="1" t="s">
        <v>82</v>
      </c>
      <c r="E11" s="1" t="s">
        <v>351</v>
      </c>
      <c r="F11" s="1" t="s">
        <v>352</v>
      </c>
      <c r="G11" s="1" t="s">
        <v>353</v>
      </c>
      <c r="H11" s="1" t="s">
        <v>58</v>
      </c>
      <c r="I11" s="1" t="s">
        <v>205</v>
      </c>
      <c r="J11" s="1" t="s">
        <v>85</v>
      </c>
      <c r="K11" s="1" t="s">
        <v>354</v>
      </c>
      <c r="L11" s="1"/>
      <c r="M11" s="1" t="s">
        <v>61</v>
      </c>
      <c r="N11" s="1"/>
      <c r="O11" s="1"/>
      <c r="P11" s="1"/>
      <c r="Q11" s="8"/>
      <c r="R11" s="8"/>
      <c r="S11" s="1" t="s">
        <v>62</v>
      </c>
      <c r="T11" s="6">
        <f t="shared" ca="1" si="0"/>
        <v>0</v>
      </c>
      <c r="U11" s="1" t="str">
        <f t="shared" si="1"/>
        <v/>
      </c>
      <c r="V11" s="1" t="s">
        <v>312</v>
      </c>
      <c r="W11" s="1"/>
    </row>
    <row r="12" spans="1:23">
      <c r="A12" s="1"/>
      <c r="B12" s="8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8"/>
      <c r="R12" s="8"/>
      <c r="S12" s="1"/>
      <c r="T12" s="6">
        <f t="shared" ca="1" si="0"/>
        <v>0</v>
      </c>
      <c r="U12" s="1" t="str">
        <f t="shared" si="1"/>
        <v/>
      </c>
      <c r="V12" s="1"/>
      <c r="W12" s="1"/>
    </row>
    <row r="13" spans="1:23">
      <c r="A13" s="1"/>
      <c r="B13" s="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8"/>
      <c r="R13" s="8"/>
      <c r="S13" s="1"/>
      <c r="T13" s="6">
        <f t="shared" ca="1" si="0"/>
        <v>0</v>
      </c>
      <c r="U13" s="1" t="str">
        <f t="shared" si="1"/>
        <v/>
      </c>
      <c r="V13" s="1"/>
      <c r="W13" s="1"/>
    </row>
    <row r="14" spans="1:23">
      <c r="A14" s="1"/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8"/>
      <c r="R14" s="8"/>
      <c r="S14" s="1"/>
      <c r="T14" s="6">
        <f t="shared" ca="1" si="0"/>
        <v>0</v>
      </c>
      <c r="U14" s="1" t="str">
        <f t="shared" si="1"/>
        <v/>
      </c>
      <c r="V14" s="1"/>
      <c r="W14" s="1"/>
    </row>
    <row r="15" spans="1:23">
      <c r="A15" s="1"/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8"/>
      <c r="R15" s="8"/>
      <c r="S15" s="1"/>
      <c r="T15" s="6">
        <f t="shared" ca="1" si="0"/>
        <v>0</v>
      </c>
      <c r="U15" s="1" t="str">
        <f t="shared" si="1"/>
        <v/>
      </c>
      <c r="V15" s="1"/>
      <c r="W15" s="1"/>
    </row>
    <row r="16" spans="1:23">
      <c r="A16" s="1"/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8"/>
      <c r="R16" s="8"/>
      <c r="S16" s="1"/>
      <c r="T16" s="6">
        <f t="shared" ca="1" si="0"/>
        <v>0</v>
      </c>
      <c r="U16" s="1" t="str">
        <f t="shared" si="1"/>
        <v/>
      </c>
      <c r="V16" s="1"/>
      <c r="W16" s="1"/>
    </row>
    <row r="17" spans="1:23">
      <c r="A17" s="1"/>
      <c r="B17" s="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8"/>
      <c r="R17" s="8"/>
      <c r="S17" s="1"/>
      <c r="T17" s="6">
        <f t="shared" ca="1" si="0"/>
        <v>0</v>
      </c>
      <c r="U17" s="1" t="str">
        <f t="shared" si="1"/>
        <v/>
      </c>
      <c r="V17" s="1"/>
      <c r="W17" s="1"/>
    </row>
    <row r="18" spans="1:23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8"/>
      <c r="R18" s="8"/>
      <c r="S18" s="1"/>
      <c r="T18" s="6">
        <f t="shared" ca="1" si="0"/>
        <v>0</v>
      </c>
      <c r="U18" s="1" t="str">
        <f t="shared" si="1"/>
        <v/>
      </c>
      <c r="V18" s="1"/>
      <c r="W18" s="1"/>
    </row>
    <row r="19" spans="1:23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8"/>
      <c r="R19" s="8"/>
      <c r="S19" s="1"/>
      <c r="T19" s="6">
        <f t="shared" ca="1" si="0"/>
        <v>0</v>
      </c>
      <c r="U19" s="1" t="str">
        <f t="shared" si="1"/>
        <v/>
      </c>
      <c r="V19" s="1"/>
      <c r="W19" s="1"/>
    </row>
    <row r="20" spans="1:23">
      <c r="A20" s="1"/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8"/>
      <c r="R20" s="8"/>
      <c r="S20" s="1"/>
      <c r="T20" s="6">
        <f t="shared" ca="1" si="0"/>
        <v>0</v>
      </c>
      <c r="U20" s="1" t="str">
        <f t="shared" si="1"/>
        <v/>
      </c>
      <c r="V20" s="1"/>
      <c r="W20" s="1"/>
    </row>
    <row r="21" spans="1:23">
      <c r="A21" s="1"/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8"/>
      <c r="R21" s="8"/>
      <c r="S21" s="1"/>
      <c r="T21" s="6">
        <f t="shared" ca="1" si="0"/>
        <v>0</v>
      </c>
      <c r="U21" s="1" t="str">
        <f t="shared" si="1"/>
        <v/>
      </c>
      <c r="V21" s="1"/>
      <c r="W21" s="1"/>
    </row>
    <row r="22" spans="1:23">
      <c r="A22" s="1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8"/>
      <c r="R22" s="8"/>
      <c r="S22" s="1"/>
      <c r="T22" s="6">
        <f t="shared" ca="1" si="0"/>
        <v>0</v>
      </c>
      <c r="U22" s="1" t="str">
        <f t="shared" si="1"/>
        <v/>
      </c>
      <c r="V22" s="1"/>
      <c r="W22" s="1"/>
    </row>
    <row r="23" spans="1:23">
      <c r="A23" s="1"/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8"/>
      <c r="R23" s="8"/>
      <c r="S23" s="1"/>
      <c r="T23" s="6">
        <f t="shared" ca="1" si="0"/>
        <v>0</v>
      </c>
      <c r="U23" s="1" t="str">
        <f t="shared" si="1"/>
        <v/>
      </c>
      <c r="V23" s="1"/>
      <c r="W23" s="1"/>
    </row>
    <row r="24" spans="1:23">
      <c r="A24" s="1"/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8"/>
      <c r="R24" s="8"/>
      <c r="S24" s="1"/>
      <c r="T24" s="6">
        <f t="shared" ca="1" si="0"/>
        <v>0</v>
      </c>
      <c r="U24" s="1" t="str">
        <f t="shared" si="1"/>
        <v/>
      </c>
      <c r="V24" s="1"/>
      <c r="W24" s="1"/>
    </row>
    <row r="25" spans="1:23">
      <c r="A25" s="1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8"/>
      <c r="R25" s="8"/>
      <c r="S25" s="1"/>
      <c r="T25" s="6">
        <f t="shared" ca="1" si="0"/>
        <v>0</v>
      </c>
      <c r="U25" s="1" t="str">
        <f t="shared" si="1"/>
        <v/>
      </c>
      <c r="V25" s="1"/>
      <c r="W25" s="1"/>
    </row>
    <row r="26" spans="1:23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8"/>
      <c r="R26" s="8"/>
      <c r="S26" s="1"/>
      <c r="T26" s="6">
        <f t="shared" ca="1" si="0"/>
        <v>0</v>
      </c>
      <c r="U26" s="1" t="str">
        <f t="shared" si="1"/>
        <v/>
      </c>
      <c r="V26" s="1"/>
      <c r="W26" s="1"/>
    </row>
    <row r="27" spans="1:23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8"/>
      <c r="R27" s="8"/>
      <c r="S27" s="1"/>
      <c r="T27" s="6">
        <f t="shared" ca="1" si="0"/>
        <v>0</v>
      </c>
      <c r="U27" s="1" t="str">
        <f t="shared" si="1"/>
        <v/>
      </c>
      <c r="V27" s="1"/>
      <c r="W27" s="1"/>
    </row>
    <row r="28" spans="1:23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8"/>
      <c r="R28" s="8"/>
      <c r="S28" s="1"/>
      <c r="T28" s="6">
        <f t="shared" ca="1" si="0"/>
        <v>0</v>
      </c>
      <c r="U28" s="1" t="str">
        <f t="shared" si="1"/>
        <v/>
      </c>
      <c r="V28" s="1"/>
      <c r="W28" s="1"/>
    </row>
    <row r="29" spans="1:23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8"/>
      <c r="R29" s="8"/>
      <c r="S29" s="1"/>
      <c r="T29" s="6">
        <f t="shared" ca="1" si="0"/>
        <v>0</v>
      </c>
      <c r="U29" s="1" t="str">
        <f t="shared" si="1"/>
        <v/>
      </c>
      <c r="V29" s="1"/>
      <c r="W29" s="1"/>
    </row>
    <row r="30" spans="1:23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8"/>
      <c r="R30" s="8"/>
      <c r="S30" s="1"/>
      <c r="T30" s="6">
        <f t="shared" ca="1" si="0"/>
        <v>0</v>
      </c>
      <c r="U30" s="1" t="str">
        <f t="shared" si="1"/>
        <v/>
      </c>
      <c r="V30" s="1"/>
      <c r="W30" s="1"/>
    </row>
    <row r="31" spans="1:23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8"/>
      <c r="R31" s="8"/>
      <c r="S31" s="1"/>
      <c r="T31" s="6">
        <f t="shared" ca="1" si="0"/>
        <v>0</v>
      </c>
      <c r="U31" s="1" t="str">
        <f t="shared" si="1"/>
        <v/>
      </c>
      <c r="V31" s="1"/>
      <c r="W31" s="1"/>
    </row>
    <row r="32" spans="1:23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8"/>
      <c r="R32" s="8"/>
      <c r="S32" s="1"/>
      <c r="T32" s="6">
        <f t="shared" ca="1" si="0"/>
        <v>0</v>
      </c>
      <c r="U32" s="1" t="str">
        <f t="shared" si="1"/>
        <v/>
      </c>
      <c r="V32" s="1"/>
      <c r="W32" s="1"/>
    </row>
    <row r="33" spans="1:23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8"/>
      <c r="R33" s="8"/>
      <c r="S33" s="1"/>
      <c r="T33" s="6">
        <f t="shared" ca="1" si="0"/>
        <v>0</v>
      </c>
      <c r="U33" s="1" t="str">
        <f t="shared" si="1"/>
        <v/>
      </c>
      <c r="V33" s="1"/>
      <c r="W33" s="1"/>
    </row>
    <row r="34" spans="1:23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8"/>
      <c r="R34" s="8"/>
      <c r="S34" s="1"/>
      <c r="T34" s="6">
        <f t="shared" ca="1" si="0"/>
        <v>0</v>
      </c>
      <c r="U34" s="1" t="str">
        <f t="shared" si="1"/>
        <v/>
      </c>
      <c r="V34" s="1"/>
      <c r="W34" s="1"/>
    </row>
    <row r="35" spans="1:23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8"/>
      <c r="R35" s="8"/>
      <c r="S35" s="1"/>
      <c r="T35" s="6">
        <f t="shared" ca="1" si="0"/>
        <v>0</v>
      </c>
      <c r="U35" s="1" t="str">
        <f t="shared" si="1"/>
        <v/>
      </c>
      <c r="V35" s="1"/>
      <c r="W35" s="1"/>
    </row>
    <row r="36" spans="1:23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8"/>
      <c r="R36" s="8"/>
      <c r="S36" s="1"/>
      <c r="T36" s="6">
        <f t="shared" ca="1" si="0"/>
        <v>0</v>
      </c>
      <c r="U36" s="1" t="str">
        <f t="shared" si="1"/>
        <v/>
      </c>
      <c r="V36" s="1"/>
      <c r="W36" s="1"/>
    </row>
    <row r="37" spans="1:23">
      <c r="A37" s="1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8"/>
      <c r="R37" s="8"/>
      <c r="S37" s="1"/>
      <c r="T37" s="6">
        <f t="shared" ca="1" si="0"/>
        <v>0</v>
      </c>
      <c r="U37" s="1" t="str">
        <f t="shared" si="1"/>
        <v/>
      </c>
      <c r="V37" s="1"/>
      <c r="W37" s="1"/>
    </row>
    <row r="38" spans="1:23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8"/>
      <c r="R38" s="8"/>
      <c r="S38" s="1"/>
      <c r="T38" s="6">
        <f t="shared" ca="1" si="0"/>
        <v>0</v>
      </c>
      <c r="U38" s="1" t="str">
        <f t="shared" si="1"/>
        <v/>
      </c>
      <c r="V38" s="1"/>
      <c r="W38" s="1"/>
    </row>
    <row r="39" spans="1:23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8"/>
      <c r="R39" s="8"/>
      <c r="S39" s="1"/>
      <c r="T39" s="6">
        <f t="shared" ca="1" si="0"/>
        <v>0</v>
      </c>
      <c r="U39" s="1" t="str">
        <f t="shared" si="1"/>
        <v/>
      </c>
      <c r="V39" s="1"/>
      <c r="W39" s="1"/>
    </row>
    <row r="40" spans="1:23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1"/>
      <c r="T40" s="6">
        <f t="shared" ca="1" si="0"/>
        <v>0</v>
      </c>
      <c r="U40" s="1" t="str">
        <f t="shared" si="1"/>
        <v/>
      </c>
      <c r="V40" s="1"/>
      <c r="W40" s="1"/>
    </row>
    <row r="41" spans="1:23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1"/>
      <c r="T41" s="6">
        <f t="shared" ca="1" si="0"/>
        <v>0</v>
      </c>
      <c r="U41" s="1" t="str">
        <f t="shared" si="1"/>
        <v/>
      </c>
      <c r="V41" s="1"/>
      <c r="W41" s="1"/>
    </row>
    <row r="42" spans="1:23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1"/>
      <c r="T42" s="6">
        <f t="shared" ca="1" si="0"/>
        <v>0</v>
      </c>
      <c r="U42" s="1" t="str">
        <f t="shared" si="1"/>
        <v/>
      </c>
      <c r="V42" s="1"/>
      <c r="W42" s="1"/>
    </row>
    <row r="43" spans="1:23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1"/>
      <c r="T43" s="6">
        <f t="shared" ca="1" si="0"/>
        <v>0</v>
      </c>
      <c r="U43" s="1" t="str">
        <f t="shared" si="1"/>
        <v/>
      </c>
      <c r="V43" s="1"/>
      <c r="W43" s="1"/>
    </row>
    <row r="44" spans="1:23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1"/>
      <c r="T44" s="6">
        <f t="shared" ca="1" si="0"/>
        <v>0</v>
      </c>
      <c r="U44" s="1" t="str">
        <f t="shared" si="1"/>
        <v/>
      </c>
      <c r="V44" s="1"/>
      <c r="W44" s="1"/>
    </row>
    <row r="45" spans="1:23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1"/>
      <c r="T45" s="6">
        <f t="shared" ca="1" si="0"/>
        <v>0</v>
      </c>
      <c r="U45" s="1" t="str">
        <f t="shared" si="1"/>
        <v/>
      </c>
      <c r="V45" s="1"/>
      <c r="W45" s="1"/>
    </row>
    <row r="46" spans="1:23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8"/>
      <c r="R46" s="8"/>
      <c r="S46" s="1"/>
      <c r="T46" s="6">
        <f t="shared" ca="1" si="0"/>
        <v>0</v>
      </c>
      <c r="U46" s="1" t="str">
        <f t="shared" si="1"/>
        <v/>
      </c>
      <c r="V46" s="1"/>
      <c r="W46" s="1"/>
    </row>
    <row r="47" spans="1:23">
      <c r="A47" s="1"/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8"/>
      <c r="R47" s="8"/>
      <c r="S47" s="1"/>
      <c r="T47" s="6">
        <f t="shared" ca="1" si="0"/>
        <v>0</v>
      </c>
      <c r="U47" s="1" t="str">
        <f t="shared" si="1"/>
        <v/>
      </c>
      <c r="V47" s="1"/>
      <c r="W47" s="1"/>
    </row>
    <row r="48" spans="1:23">
      <c r="A48" s="1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8"/>
      <c r="R48" s="8"/>
      <c r="S48" s="1"/>
      <c r="T48" s="6">
        <f t="shared" ca="1" si="0"/>
        <v>0</v>
      </c>
      <c r="U48" s="1" t="str">
        <f t="shared" si="1"/>
        <v/>
      </c>
      <c r="V48" s="1"/>
      <c r="W48" s="1"/>
    </row>
    <row r="49" spans="1:23">
      <c r="A49" s="1"/>
      <c r="B49" s="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8"/>
      <c r="R49" s="8"/>
      <c r="S49" s="1"/>
      <c r="T49" s="6">
        <f t="shared" ca="1" si="0"/>
        <v>0</v>
      </c>
      <c r="U49" s="1" t="str">
        <f t="shared" si="1"/>
        <v/>
      </c>
      <c r="V49" s="1"/>
      <c r="W49" s="1"/>
    </row>
    <row r="50" spans="1:23">
      <c r="A50" s="1"/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8"/>
      <c r="R50" s="8"/>
      <c r="S50" s="1"/>
      <c r="T50" s="6">
        <f t="shared" ca="1" si="0"/>
        <v>0</v>
      </c>
      <c r="U50" s="1" t="str">
        <f t="shared" si="1"/>
        <v/>
      </c>
      <c r="V50" s="1"/>
      <c r="W50" s="1"/>
    </row>
    <row r="51" spans="1:23">
      <c r="A51" s="1"/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8"/>
      <c r="R51" s="8"/>
      <c r="S51" s="1"/>
      <c r="T51" s="6">
        <f t="shared" ca="1" si="0"/>
        <v>0</v>
      </c>
      <c r="U51" s="1" t="str">
        <f t="shared" si="1"/>
        <v/>
      </c>
      <c r="V51" s="1"/>
      <c r="W51" s="1"/>
    </row>
    <row r="52" spans="1:23">
      <c r="A52" s="1"/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8"/>
      <c r="R52" s="8"/>
      <c r="S52" s="1"/>
      <c r="T52" s="6">
        <f t="shared" ca="1" si="0"/>
        <v>0</v>
      </c>
      <c r="U52" s="1" t="str">
        <f t="shared" si="1"/>
        <v/>
      </c>
      <c r="V52" s="1"/>
      <c r="W52" s="1"/>
    </row>
    <row r="53" spans="1:23">
      <c r="A53" s="1"/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8"/>
      <c r="R53" s="8"/>
      <c r="S53" s="1"/>
      <c r="T53" s="6">
        <f t="shared" ca="1" si="0"/>
        <v>0</v>
      </c>
      <c r="U53" s="1" t="str">
        <f t="shared" si="1"/>
        <v/>
      </c>
      <c r="V53" s="1"/>
      <c r="W53" s="1"/>
    </row>
    <row r="54" spans="1:23">
      <c r="A54" s="1"/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8"/>
      <c r="R54" s="8"/>
      <c r="S54" s="1"/>
      <c r="T54" s="6">
        <f t="shared" ca="1" si="0"/>
        <v>0</v>
      </c>
      <c r="U54" s="1" t="str">
        <f t="shared" si="1"/>
        <v/>
      </c>
      <c r="V54" s="1"/>
      <c r="W54" s="1"/>
    </row>
    <row r="55" spans="1:23">
      <c r="A55" s="1"/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8"/>
      <c r="R55" s="8"/>
      <c r="S55" s="1"/>
      <c r="T55" s="6">
        <f t="shared" ca="1" si="0"/>
        <v>0</v>
      </c>
      <c r="U55" s="1" t="str">
        <f t="shared" si="1"/>
        <v/>
      </c>
      <c r="V55" s="1"/>
      <c r="W55" s="1"/>
    </row>
    <row r="56" spans="1:23">
      <c r="A56" s="1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8"/>
      <c r="R56" s="8"/>
      <c r="S56" s="1"/>
      <c r="T56" s="6">
        <f t="shared" ca="1" si="0"/>
        <v>0</v>
      </c>
      <c r="U56" s="1" t="str">
        <f t="shared" si="1"/>
        <v/>
      </c>
      <c r="V56" s="1"/>
      <c r="W56" s="1"/>
    </row>
    <row r="57" spans="1:23">
      <c r="A57" s="1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8"/>
      <c r="R57" s="8"/>
      <c r="S57" s="1"/>
      <c r="T57" s="6">
        <f t="shared" ca="1" si="0"/>
        <v>0</v>
      </c>
      <c r="U57" s="1" t="str">
        <f t="shared" si="1"/>
        <v/>
      </c>
      <c r="V57" s="1"/>
      <c r="W57" s="1"/>
    </row>
    <row r="58" spans="1:23">
      <c r="A58" s="1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8"/>
      <c r="R58" s="8"/>
      <c r="S58" s="1"/>
      <c r="T58" s="6">
        <f t="shared" ca="1" si="0"/>
        <v>0</v>
      </c>
      <c r="U58" s="1" t="str">
        <f t="shared" si="1"/>
        <v/>
      </c>
      <c r="V58" s="1"/>
      <c r="W58" s="1"/>
    </row>
    <row r="59" spans="1:23">
      <c r="A59" s="1"/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8"/>
      <c r="R59" s="8"/>
      <c r="S59" s="1"/>
      <c r="T59" s="6">
        <f t="shared" ca="1" si="0"/>
        <v>0</v>
      </c>
      <c r="U59" s="1" t="str">
        <f t="shared" si="1"/>
        <v/>
      </c>
      <c r="V59" s="1"/>
      <c r="W59" s="1"/>
    </row>
    <row r="60" spans="1:23">
      <c r="A60" s="1"/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8"/>
      <c r="R60" s="8"/>
      <c r="S60" s="1"/>
      <c r="T60" s="6">
        <f t="shared" ca="1" si="0"/>
        <v>0</v>
      </c>
      <c r="U60" s="1" t="str">
        <f t="shared" si="1"/>
        <v/>
      </c>
      <c r="V60" s="1"/>
      <c r="W60" s="1"/>
    </row>
    <row r="61" spans="1:23">
      <c r="A61" s="1"/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8"/>
      <c r="R61" s="8"/>
      <c r="S61" s="1"/>
      <c r="T61" s="6">
        <f t="shared" ca="1" si="0"/>
        <v>0</v>
      </c>
      <c r="U61" s="1" t="str">
        <f t="shared" si="1"/>
        <v/>
      </c>
      <c r="V61" s="1"/>
      <c r="W61" s="1"/>
    </row>
    <row r="62" spans="1:23">
      <c r="A62" s="1"/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8"/>
      <c r="R62" s="8"/>
      <c r="S62" s="1"/>
      <c r="T62" s="6">
        <f t="shared" ca="1" si="0"/>
        <v>0</v>
      </c>
      <c r="U62" s="1" t="str">
        <f t="shared" si="1"/>
        <v/>
      </c>
      <c r="V62" s="1"/>
      <c r="W62" s="1"/>
    </row>
    <row r="63" spans="1:23">
      <c r="A63" s="1"/>
      <c r="B63" s="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8"/>
      <c r="R63" s="8"/>
      <c r="S63" s="1"/>
      <c r="T63" s="6">
        <f t="shared" ca="1" si="0"/>
        <v>0</v>
      </c>
      <c r="U63" s="1" t="str">
        <f t="shared" si="1"/>
        <v/>
      </c>
      <c r="V63" s="1"/>
      <c r="W63" s="1"/>
    </row>
    <row r="64" spans="1:23">
      <c r="A64" s="1"/>
      <c r="B64" s="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8"/>
      <c r="R64" s="8"/>
      <c r="S64" s="1"/>
      <c r="T64" s="6">
        <f t="shared" ca="1" si="0"/>
        <v>0</v>
      </c>
      <c r="U64" s="1" t="str">
        <f t="shared" si="1"/>
        <v/>
      </c>
      <c r="V64" s="1"/>
      <c r="W64" s="1"/>
    </row>
    <row r="65" spans="1:23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8"/>
      <c r="R65" s="8"/>
      <c r="S65" s="1"/>
      <c r="T65" s="6">
        <f t="shared" ca="1" si="0"/>
        <v>0</v>
      </c>
      <c r="U65" s="1" t="str">
        <f t="shared" si="1"/>
        <v/>
      </c>
      <c r="V65" s="1"/>
      <c r="W65" s="1"/>
    </row>
    <row r="66" spans="1:23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8"/>
      <c r="R66" s="8"/>
      <c r="S66" s="1"/>
      <c r="T66" s="6">
        <f t="shared" ref="T66:T129" ca="1" si="2">IF(AND(S66&lt;&gt;"Clôturée",Q66&lt;&gt;"",TODAY()&gt;Q66),TODAY()-Q66,0)</f>
        <v>0</v>
      </c>
      <c r="U66" s="1" t="str">
        <f t="shared" ref="U66:U129" si="3">IF(M66="Critique","P1",IF(M66="Majeure","P2",IF(M66="Mineure","P3","")))</f>
        <v/>
      </c>
      <c r="V66" s="1"/>
      <c r="W66" s="1"/>
    </row>
    <row r="67" spans="1:23">
      <c r="A67" s="1"/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8"/>
      <c r="R67" s="8"/>
      <c r="S67" s="1"/>
      <c r="T67" s="6">
        <f t="shared" ca="1" si="2"/>
        <v>0</v>
      </c>
      <c r="U67" s="1" t="str">
        <f t="shared" si="3"/>
        <v/>
      </c>
      <c r="V67" s="1"/>
      <c r="W67" s="1"/>
    </row>
    <row r="68" spans="1:23">
      <c r="A68" s="1"/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8"/>
      <c r="R68" s="8"/>
      <c r="S68" s="1"/>
      <c r="T68" s="6">
        <f t="shared" ca="1" si="2"/>
        <v>0</v>
      </c>
      <c r="U68" s="1" t="str">
        <f t="shared" si="3"/>
        <v/>
      </c>
      <c r="V68" s="1"/>
      <c r="W68" s="1"/>
    </row>
    <row r="69" spans="1:23">
      <c r="A69" s="1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8"/>
      <c r="R69" s="8"/>
      <c r="S69" s="1"/>
      <c r="T69" s="6">
        <f t="shared" ca="1" si="2"/>
        <v>0</v>
      </c>
      <c r="U69" s="1" t="str">
        <f t="shared" si="3"/>
        <v/>
      </c>
      <c r="V69" s="1"/>
      <c r="W69" s="1"/>
    </row>
    <row r="70" spans="1:23">
      <c r="A70" s="1"/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8"/>
      <c r="R70" s="8"/>
      <c r="S70" s="1"/>
      <c r="T70" s="6">
        <f t="shared" ca="1" si="2"/>
        <v>0</v>
      </c>
      <c r="U70" s="1" t="str">
        <f t="shared" si="3"/>
        <v/>
      </c>
      <c r="V70" s="1"/>
      <c r="W70" s="1"/>
    </row>
    <row r="71" spans="1:23">
      <c r="A71" s="1"/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8"/>
      <c r="R71" s="8"/>
      <c r="S71" s="1"/>
      <c r="T71" s="6">
        <f t="shared" ca="1" si="2"/>
        <v>0</v>
      </c>
      <c r="U71" s="1" t="str">
        <f t="shared" si="3"/>
        <v/>
      </c>
      <c r="V71" s="1"/>
      <c r="W71" s="1"/>
    </row>
    <row r="72" spans="1:23">
      <c r="A72" s="1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8"/>
      <c r="R72" s="8"/>
      <c r="S72" s="1"/>
      <c r="T72" s="6">
        <f t="shared" ca="1" si="2"/>
        <v>0</v>
      </c>
      <c r="U72" s="1" t="str">
        <f t="shared" si="3"/>
        <v/>
      </c>
      <c r="V72" s="1"/>
      <c r="W72" s="1"/>
    </row>
    <row r="73" spans="1:23">
      <c r="A73" s="1"/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8"/>
      <c r="R73" s="8"/>
      <c r="S73" s="1"/>
      <c r="T73" s="6">
        <f t="shared" ca="1" si="2"/>
        <v>0</v>
      </c>
      <c r="U73" s="1" t="str">
        <f t="shared" si="3"/>
        <v/>
      </c>
      <c r="V73" s="1"/>
      <c r="W73" s="1"/>
    </row>
    <row r="74" spans="1:23">
      <c r="A74" s="1"/>
      <c r="B74" s="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8"/>
      <c r="R74" s="8"/>
      <c r="S74" s="1"/>
      <c r="T74" s="6">
        <f t="shared" ca="1" si="2"/>
        <v>0</v>
      </c>
      <c r="U74" s="1" t="str">
        <f t="shared" si="3"/>
        <v/>
      </c>
      <c r="V74" s="1"/>
      <c r="W74" s="1"/>
    </row>
    <row r="75" spans="1:23">
      <c r="A75" s="1"/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8"/>
      <c r="R75" s="8"/>
      <c r="S75" s="1"/>
      <c r="T75" s="6">
        <f t="shared" ca="1" si="2"/>
        <v>0</v>
      </c>
      <c r="U75" s="1" t="str">
        <f t="shared" si="3"/>
        <v/>
      </c>
      <c r="V75" s="1"/>
      <c r="W75" s="1"/>
    </row>
    <row r="76" spans="1:23">
      <c r="A76" s="1"/>
      <c r="B76" s="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8"/>
      <c r="R76" s="8"/>
      <c r="S76" s="1"/>
      <c r="T76" s="6">
        <f t="shared" ca="1" si="2"/>
        <v>0</v>
      </c>
      <c r="U76" s="1" t="str">
        <f t="shared" si="3"/>
        <v/>
      </c>
      <c r="V76" s="1"/>
      <c r="W76" s="1"/>
    </row>
    <row r="77" spans="1:23">
      <c r="A77" s="1"/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8"/>
      <c r="R77" s="8"/>
      <c r="S77" s="1"/>
      <c r="T77" s="6">
        <f t="shared" ca="1" si="2"/>
        <v>0</v>
      </c>
      <c r="U77" s="1" t="str">
        <f t="shared" si="3"/>
        <v/>
      </c>
      <c r="V77" s="1"/>
      <c r="W77" s="1"/>
    </row>
    <row r="78" spans="1:23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8"/>
      <c r="R78" s="8"/>
      <c r="S78" s="1"/>
      <c r="T78" s="6">
        <f t="shared" ca="1" si="2"/>
        <v>0</v>
      </c>
      <c r="U78" s="1" t="str">
        <f t="shared" si="3"/>
        <v/>
      </c>
      <c r="V78" s="1"/>
      <c r="W78" s="1"/>
    </row>
    <row r="79" spans="1:23">
      <c r="A79" s="1"/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8"/>
      <c r="R79" s="8"/>
      <c r="S79" s="1"/>
      <c r="T79" s="6">
        <f t="shared" ca="1" si="2"/>
        <v>0</v>
      </c>
      <c r="U79" s="1" t="str">
        <f t="shared" si="3"/>
        <v/>
      </c>
      <c r="V79" s="1"/>
      <c r="W79" s="1"/>
    </row>
    <row r="80" spans="1:23">
      <c r="A80" s="1"/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8"/>
      <c r="R80" s="8"/>
      <c r="S80" s="1"/>
      <c r="T80" s="6">
        <f t="shared" ca="1" si="2"/>
        <v>0</v>
      </c>
      <c r="U80" s="1" t="str">
        <f t="shared" si="3"/>
        <v/>
      </c>
      <c r="V80" s="1"/>
      <c r="W80" s="1"/>
    </row>
    <row r="81" spans="1:23">
      <c r="A81" s="1"/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8"/>
      <c r="R81" s="8"/>
      <c r="S81" s="1"/>
      <c r="T81" s="6">
        <f t="shared" ca="1" si="2"/>
        <v>0</v>
      </c>
      <c r="U81" s="1" t="str">
        <f t="shared" si="3"/>
        <v/>
      </c>
      <c r="V81" s="1"/>
      <c r="W81" s="1"/>
    </row>
    <row r="82" spans="1:23">
      <c r="A82" s="1"/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8"/>
      <c r="R82" s="8"/>
      <c r="S82" s="1"/>
      <c r="T82" s="6">
        <f t="shared" ca="1" si="2"/>
        <v>0</v>
      </c>
      <c r="U82" s="1" t="str">
        <f t="shared" si="3"/>
        <v/>
      </c>
      <c r="V82" s="1"/>
      <c r="W82" s="1"/>
    </row>
    <row r="83" spans="1:23">
      <c r="A83" s="1"/>
      <c r="B83" s="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8"/>
      <c r="R83" s="8"/>
      <c r="S83" s="1"/>
      <c r="T83" s="6">
        <f t="shared" ca="1" si="2"/>
        <v>0</v>
      </c>
      <c r="U83" s="1" t="str">
        <f t="shared" si="3"/>
        <v/>
      </c>
      <c r="V83" s="1"/>
      <c r="W83" s="1"/>
    </row>
    <row r="84" spans="1:23">
      <c r="A84" s="1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8"/>
      <c r="R84" s="8"/>
      <c r="S84" s="1"/>
      <c r="T84" s="6">
        <f t="shared" ca="1" si="2"/>
        <v>0</v>
      </c>
      <c r="U84" s="1" t="str">
        <f t="shared" si="3"/>
        <v/>
      </c>
      <c r="V84" s="1"/>
      <c r="W84" s="1"/>
    </row>
    <row r="85" spans="1:23">
      <c r="A85" s="1"/>
      <c r="B85" s="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8"/>
      <c r="R85" s="8"/>
      <c r="S85" s="1"/>
      <c r="T85" s="6">
        <f t="shared" ca="1" si="2"/>
        <v>0</v>
      </c>
      <c r="U85" s="1" t="str">
        <f t="shared" si="3"/>
        <v/>
      </c>
      <c r="V85" s="1"/>
      <c r="W85" s="1"/>
    </row>
    <row r="86" spans="1:23">
      <c r="A86" s="1"/>
      <c r="B86" s="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8"/>
      <c r="R86" s="8"/>
      <c r="S86" s="1"/>
      <c r="T86" s="6">
        <f t="shared" ca="1" si="2"/>
        <v>0</v>
      </c>
      <c r="U86" s="1" t="str">
        <f t="shared" si="3"/>
        <v/>
      </c>
      <c r="V86" s="1"/>
      <c r="W86" s="1"/>
    </row>
    <row r="87" spans="1:23">
      <c r="A87" s="1"/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8"/>
      <c r="R87" s="8"/>
      <c r="S87" s="1"/>
      <c r="T87" s="6">
        <f t="shared" ca="1" si="2"/>
        <v>0</v>
      </c>
      <c r="U87" s="1" t="str">
        <f t="shared" si="3"/>
        <v/>
      </c>
      <c r="V87" s="1"/>
      <c r="W87" s="1"/>
    </row>
    <row r="88" spans="1:23">
      <c r="A88" s="1"/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8"/>
      <c r="R88" s="8"/>
      <c r="S88" s="1"/>
      <c r="T88" s="6">
        <f t="shared" ca="1" si="2"/>
        <v>0</v>
      </c>
      <c r="U88" s="1" t="str">
        <f t="shared" si="3"/>
        <v/>
      </c>
      <c r="V88" s="1"/>
      <c r="W88" s="1"/>
    </row>
    <row r="89" spans="1:23">
      <c r="A89" s="1"/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8"/>
      <c r="R89" s="8"/>
      <c r="S89" s="1"/>
      <c r="T89" s="6">
        <f t="shared" ca="1" si="2"/>
        <v>0</v>
      </c>
      <c r="U89" s="1" t="str">
        <f t="shared" si="3"/>
        <v/>
      </c>
      <c r="V89" s="1"/>
      <c r="W89" s="1"/>
    </row>
    <row r="90" spans="1:23">
      <c r="A90" s="1"/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8"/>
      <c r="R90" s="8"/>
      <c r="S90" s="1"/>
      <c r="T90" s="6">
        <f t="shared" ca="1" si="2"/>
        <v>0</v>
      </c>
      <c r="U90" s="1" t="str">
        <f t="shared" si="3"/>
        <v/>
      </c>
      <c r="V90" s="1"/>
      <c r="W90" s="1"/>
    </row>
    <row r="91" spans="1:23">
      <c r="A91" s="1"/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8"/>
      <c r="R91" s="8"/>
      <c r="S91" s="1"/>
      <c r="T91" s="6">
        <f t="shared" ca="1" si="2"/>
        <v>0</v>
      </c>
      <c r="U91" s="1" t="str">
        <f t="shared" si="3"/>
        <v/>
      </c>
      <c r="V91" s="1"/>
      <c r="W91" s="1"/>
    </row>
    <row r="92" spans="1:23">
      <c r="A92" s="1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8"/>
      <c r="R92" s="8"/>
      <c r="S92" s="1"/>
      <c r="T92" s="6">
        <f t="shared" ca="1" si="2"/>
        <v>0</v>
      </c>
      <c r="U92" s="1" t="str">
        <f t="shared" si="3"/>
        <v/>
      </c>
      <c r="V92" s="1"/>
      <c r="W92" s="1"/>
    </row>
    <row r="93" spans="1:23">
      <c r="A93" s="1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8"/>
      <c r="R93" s="8"/>
      <c r="S93" s="1"/>
      <c r="T93" s="6">
        <f t="shared" ca="1" si="2"/>
        <v>0</v>
      </c>
      <c r="U93" s="1" t="str">
        <f t="shared" si="3"/>
        <v/>
      </c>
      <c r="V93" s="1"/>
      <c r="W93" s="1"/>
    </row>
    <row r="94" spans="1:23">
      <c r="A94" s="1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8"/>
      <c r="R94" s="8"/>
      <c r="S94" s="1"/>
      <c r="T94" s="6">
        <f t="shared" ca="1" si="2"/>
        <v>0</v>
      </c>
      <c r="U94" s="1" t="str">
        <f t="shared" si="3"/>
        <v/>
      </c>
      <c r="V94" s="1"/>
      <c r="W94" s="1"/>
    </row>
    <row r="95" spans="1:23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8"/>
      <c r="R95" s="8"/>
      <c r="S95" s="1"/>
      <c r="T95" s="6">
        <f t="shared" ca="1" si="2"/>
        <v>0</v>
      </c>
      <c r="U95" s="1" t="str">
        <f t="shared" si="3"/>
        <v/>
      </c>
      <c r="V95" s="1"/>
      <c r="W95" s="1"/>
    </row>
    <row r="96" spans="1:23">
      <c r="A96" s="1"/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8"/>
      <c r="R96" s="8"/>
      <c r="S96" s="1"/>
      <c r="T96" s="6">
        <f t="shared" ca="1" si="2"/>
        <v>0</v>
      </c>
      <c r="U96" s="1" t="str">
        <f t="shared" si="3"/>
        <v/>
      </c>
      <c r="V96" s="1"/>
      <c r="W96" s="1"/>
    </row>
    <row r="97" spans="1:23">
      <c r="A97" s="1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8"/>
      <c r="R97" s="8"/>
      <c r="S97" s="1"/>
      <c r="T97" s="6">
        <f t="shared" ca="1" si="2"/>
        <v>0</v>
      </c>
      <c r="U97" s="1" t="str">
        <f t="shared" si="3"/>
        <v/>
      </c>
      <c r="V97" s="1"/>
      <c r="W97" s="1"/>
    </row>
    <row r="98" spans="1:23">
      <c r="A98" s="1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8"/>
      <c r="R98" s="8"/>
      <c r="S98" s="1"/>
      <c r="T98" s="6">
        <f t="shared" ca="1" si="2"/>
        <v>0</v>
      </c>
      <c r="U98" s="1" t="str">
        <f t="shared" si="3"/>
        <v/>
      </c>
      <c r="V98" s="1"/>
      <c r="W98" s="1"/>
    </row>
    <row r="99" spans="1:23">
      <c r="A99" s="1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8"/>
      <c r="R99" s="8"/>
      <c r="S99" s="1"/>
      <c r="T99" s="6">
        <f t="shared" ca="1" si="2"/>
        <v>0</v>
      </c>
      <c r="U99" s="1" t="str">
        <f t="shared" si="3"/>
        <v/>
      </c>
      <c r="V99" s="1"/>
      <c r="W99" s="1"/>
    </row>
    <row r="100" spans="1:23">
      <c r="A100" s="1"/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8"/>
      <c r="R100" s="8"/>
      <c r="S100" s="1"/>
      <c r="T100" s="6">
        <f t="shared" ca="1" si="2"/>
        <v>0</v>
      </c>
      <c r="U100" s="1" t="str">
        <f t="shared" si="3"/>
        <v/>
      </c>
      <c r="V100" s="1"/>
      <c r="W100" s="1"/>
    </row>
    <row r="101" spans="1:23">
      <c r="A101" s="1"/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8"/>
      <c r="R101" s="8"/>
      <c r="S101" s="1"/>
      <c r="T101" s="6">
        <f t="shared" ca="1" si="2"/>
        <v>0</v>
      </c>
      <c r="U101" s="1" t="str">
        <f t="shared" si="3"/>
        <v/>
      </c>
      <c r="V101" s="1"/>
      <c r="W101" s="1"/>
    </row>
    <row r="102" spans="1:23">
      <c r="A102" s="1"/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8"/>
      <c r="R102" s="8"/>
      <c r="S102" s="1"/>
      <c r="T102" s="6">
        <f t="shared" ca="1" si="2"/>
        <v>0</v>
      </c>
      <c r="U102" s="1" t="str">
        <f t="shared" si="3"/>
        <v/>
      </c>
      <c r="V102" s="1"/>
      <c r="W102" s="1"/>
    </row>
    <row r="103" spans="1:23">
      <c r="A103" s="1"/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8"/>
      <c r="R103" s="8"/>
      <c r="S103" s="1"/>
      <c r="T103" s="6">
        <f t="shared" ca="1" si="2"/>
        <v>0</v>
      </c>
      <c r="U103" s="1" t="str">
        <f t="shared" si="3"/>
        <v/>
      </c>
      <c r="V103" s="1"/>
      <c r="W103" s="1"/>
    </row>
    <row r="104" spans="1:23">
      <c r="A104" s="1"/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8"/>
      <c r="R104" s="8"/>
      <c r="S104" s="1"/>
      <c r="T104" s="6">
        <f t="shared" ca="1" si="2"/>
        <v>0</v>
      </c>
      <c r="U104" s="1" t="str">
        <f t="shared" si="3"/>
        <v/>
      </c>
      <c r="V104" s="1"/>
      <c r="W104" s="1"/>
    </row>
    <row r="105" spans="1:23">
      <c r="A105" s="1"/>
      <c r="B105" s="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8"/>
      <c r="R105" s="8"/>
      <c r="S105" s="1"/>
      <c r="T105" s="6">
        <f t="shared" ca="1" si="2"/>
        <v>0</v>
      </c>
      <c r="U105" s="1" t="str">
        <f t="shared" si="3"/>
        <v/>
      </c>
      <c r="V105" s="1"/>
      <c r="W105" s="1"/>
    </row>
    <row r="106" spans="1:23">
      <c r="A106" s="1"/>
      <c r="B106" s="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8"/>
      <c r="R106" s="8"/>
      <c r="S106" s="1"/>
      <c r="T106" s="6">
        <f t="shared" ca="1" si="2"/>
        <v>0</v>
      </c>
      <c r="U106" s="1" t="str">
        <f t="shared" si="3"/>
        <v/>
      </c>
      <c r="V106" s="1"/>
      <c r="W106" s="1"/>
    </row>
    <row r="107" spans="1:23">
      <c r="A107" s="1"/>
      <c r="B107" s="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8"/>
      <c r="R107" s="8"/>
      <c r="S107" s="1"/>
      <c r="T107" s="6">
        <f t="shared" ca="1" si="2"/>
        <v>0</v>
      </c>
      <c r="U107" s="1" t="str">
        <f t="shared" si="3"/>
        <v/>
      </c>
      <c r="V107" s="1"/>
      <c r="W107" s="1"/>
    </row>
    <row r="108" spans="1:23">
      <c r="A108" s="1"/>
      <c r="B108" s="8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8"/>
      <c r="R108" s="8"/>
      <c r="S108" s="1"/>
      <c r="T108" s="6">
        <f t="shared" ca="1" si="2"/>
        <v>0</v>
      </c>
      <c r="U108" s="1" t="str">
        <f t="shared" si="3"/>
        <v/>
      </c>
      <c r="V108" s="1"/>
      <c r="W108" s="1"/>
    </row>
    <row r="109" spans="1:23">
      <c r="A109" s="1"/>
      <c r="B109" s="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8"/>
      <c r="R109" s="8"/>
      <c r="S109" s="1"/>
      <c r="T109" s="6">
        <f t="shared" ca="1" si="2"/>
        <v>0</v>
      </c>
      <c r="U109" s="1" t="str">
        <f t="shared" si="3"/>
        <v/>
      </c>
      <c r="V109" s="1"/>
      <c r="W109" s="1"/>
    </row>
    <row r="110" spans="1:23">
      <c r="A110" s="1"/>
      <c r="B110" s="8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8"/>
      <c r="R110" s="8"/>
      <c r="S110" s="1"/>
      <c r="T110" s="6">
        <f t="shared" ca="1" si="2"/>
        <v>0</v>
      </c>
      <c r="U110" s="1" t="str">
        <f t="shared" si="3"/>
        <v/>
      </c>
      <c r="V110" s="1"/>
      <c r="W110" s="1"/>
    </row>
    <row r="111" spans="1:23">
      <c r="A111" s="1"/>
      <c r="B111" s="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8"/>
      <c r="R111" s="8"/>
      <c r="S111" s="1"/>
      <c r="T111" s="6">
        <f t="shared" ca="1" si="2"/>
        <v>0</v>
      </c>
      <c r="U111" s="1" t="str">
        <f t="shared" si="3"/>
        <v/>
      </c>
      <c r="V111" s="1"/>
      <c r="W111" s="1"/>
    </row>
    <row r="112" spans="1:23">
      <c r="A112" s="1"/>
      <c r="B112" s="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8"/>
      <c r="R112" s="8"/>
      <c r="S112" s="1"/>
      <c r="T112" s="6">
        <f t="shared" ca="1" si="2"/>
        <v>0</v>
      </c>
      <c r="U112" s="1" t="str">
        <f t="shared" si="3"/>
        <v/>
      </c>
      <c r="V112" s="1"/>
      <c r="W112" s="1"/>
    </row>
    <row r="113" spans="1:23">
      <c r="A113" s="1"/>
      <c r="B113" s="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8"/>
      <c r="R113" s="8"/>
      <c r="S113" s="1"/>
      <c r="T113" s="6">
        <f t="shared" ca="1" si="2"/>
        <v>0</v>
      </c>
      <c r="U113" s="1" t="str">
        <f t="shared" si="3"/>
        <v/>
      </c>
      <c r="V113" s="1"/>
      <c r="W113" s="1"/>
    </row>
    <row r="114" spans="1:23">
      <c r="A114" s="1"/>
      <c r="B114" s="8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8"/>
      <c r="R114" s="8"/>
      <c r="S114" s="1"/>
      <c r="T114" s="6">
        <f t="shared" ca="1" si="2"/>
        <v>0</v>
      </c>
      <c r="U114" s="1" t="str">
        <f t="shared" si="3"/>
        <v/>
      </c>
      <c r="V114" s="1"/>
      <c r="W114" s="1"/>
    </row>
    <row r="115" spans="1:23">
      <c r="A115" s="1"/>
      <c r="B115" s="8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8"/>
      <c r="R115" s="8"/>
      <c r="S115" s="1"/>
      <c r="T115" s="6">
        <f t="shared" ca="1" si="2"/>
        <v>0</v>
      </c>
      <c r="U115" s="1" t="str">
        <f t="shared" si="3"/>
        <v/>
      </c>
      <c r="V115" s="1"/>
      <c r="W115" s="1"/>
    </row>
    <row r="116" spans="1:23">
      <c r="A116" s="1"/>
      <c r="B116" s="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8"/>
      <c r="R116" s="8"/>
      <c r="S116" s="1"/>
      <c r="T116" s="6">
        <f t="shared" ca="1" si="2"/>
        <v>0</v>
      </c>
      <c r="U116" s="1" t="str">
        <f t="shared" si="3"/>
        <v/>
      </c>
      <c r="V116" s="1"/>
      <c r="W116" s="1"/>
    </row>
    <row r="117" spans="1:23">
      <c r="A117" s="1"/>
      <c r="B117" s="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8"/>
      <c r="R117" s="8"/>
      <c r="S117" s="1"/>
      <c r="T117" s="6">
        <f t="shared" ca="1" si="2"/>
        <v>0</v>
      </c>
      <c r="U117" s="1" t="str">
        <f t="shared" si="3"/>
        <v/>
      </c>
      <c r="V117" s="1"/>
      <c r="W117" s="1"/>
    </row>
    <row r="118" spans="1:23">
      <c r="A118" s="1"/>
      <c r="B118" s="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8"/>
      <c r="R118" s="8"/>
      <c r="S118" s="1"/>
      <c r="T118" s="6">
        <f t="shared" ca="1" si="2"/>
        <v>0</v>
      </c>
      <c r="U118" s="1" t="str">
        <f t="shared" si="3"/>
        <v/>
      </c>
      <c r="V118" s="1"/>
      <c r="W118" s="1"/>
    </row>
    <row r="119" spans="1:23">
      <c r="A119" s="1"/>
      <c r="B119" s="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8"/>
      <c r="R119" s="8"/>
      <c r="S119" s="1"/>
      <c r="T119" s="6">
        <f t="shared" ca="1" si="2"/>
        <v>0</v>
      </c>
      <c r="U119" s="1" t="str">
        <f t="shared" si="3"/>
        <v/>
      </c>
      <c r="V119" s="1"/>
      <c r="W119" s="1"/>
    </row>
    <row r="120" spans="1:23">
      <c r="A120" s="1"/>
      <c r="B120" s="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8"/>
      <c r="R120" s="8"/>
      <c r="S120" s="1"/>
      <c r="T120" s="6">
        <f t="shared" ca="1" si="2"/>
        <v>0</v>
      </c>
      <c r="U120" s="1" t="str">
        <f t="shared" si="3"/>
        <v/>
      </c>
      <c r="V120" s="1"/>
      <c r="W120" s="1"/>
    </row>
    <row r="121" spans="1:23">
      <c r="A121" s="1"/>
      <c r="B121" s="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8"/>
      <c r="R121" s="8"/>
      <c r="S121" s="1"/>
      <c r="T121" s="6">
        <f t="shared" ca="1" si="2"/>
        <v>0</v>
      </c>
      <c r="U121" s="1" t="str">
        <f t="shared" si="3"/>
        <v/>
      </c>
      <c r="V121" s="1"/>
      <c r="W121" s="1"/>
    </row>
    <row r="122" spans="1:23">
      <c r="A122" s="1"/>
      <c r="B122" s="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8"/>
      <c r="R122" s="8"/>
      <c r="S122" s="1"/>
      <c r="T122" s="6">
        <f t="shared" ca="1" si="2"/>
        <v>0</v>
      </c>
      <c r="U122" s="1" t="str">
        <f t="shared" si="3"/>
        <v/>
      </c>
      <c r="V122" s="1"/>
      <c r="W122" s="1"/>
    </row>
    <row r="123" spans="1:23">
      <c r="A123" s="1"/>
      <c r="B123" s="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8"/>
      <c r="R123" s="8"/>
      <c r="S123" s="1"/>
      <c r="T123" s="6">
        <f t="shared" ca="1" si="2"/>
        <v>0</v>
      </c>
      <c r="U123" s="1" t="str">
        <f t="shared" si="3"/>
        <v/>
      </c>
      <c r="V123" s="1"/>
      <c r="W123" s="1"/>
    </row>
    <row r="124" spans="1:23">
      <c r="A124" s="1"/>
      <c r="B124" s="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8"/>
      <c r="R124" s="8"/>
      <c r="S124" s="1"/>
      <c r="T124" s="6">
        <f t="shared" ca="1" si="2"/>
        <v>0</v>
      </c>
      <c r="U124" s="1" t="str">
        <f t="shared" si="3"/>
        <v/>
      </c>
      <c r="V124" s="1"/>
      <c r="W124" s="1"/>
    </row>
    <row r="125" spans="1:23">
      <c r="A125" s="1"/>
      <c r="B125" s="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8"/>
      <c r="R125" s="8"/>
      <c r="S125" s="1"/>
      <c r="T125" s="6">
        <f t="shared" ca="1" si="2"/>
        <v>0</v>
      </c>
      <c r="U125" s="1" t="str">
        <f t="shared" si="3"/>
        <v/>
      </c>
      <c r="V125" s="1"/>
      <c r="W125" s="1"/>
    </row>
    <row r="126" spans="1:23">
      <c r="A126" s="1"/>
      <c r="B126" s="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8"/>
      <c r="R126" s="8"/>
      <c r="S126" s="1"/>
      <c r="T126" s="6">
        <f t="shared" ca="1" si="2"/>
        <v>0</v>
      </c>
      <c r="U126" s="1" t="str">
        <f t="shared" si="3"/>
        <v/>
      </c>
      <c r="V126" s="1"/>
      <c r="W126" s="1"/>
    </row>
    <row r="127" spans="1:23">
      <c r="A127" s="1"/>
      <c r="B127" s="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8"/>
      <c r="R127" s="8"/>
      <c r="S127" s="1"/>
      <c r="T127" s="6">
        <f t="shared" ca="1" si="2"/>
        <v>0</v>
      </c>
      <c r="U127" s="1" t="str">
        <f t="shared" si="3"/>
        <v/>
      </c>
      <c r="V127" s="1"/>
      <c r="W127" s="1"/>
    </row>
    <row r="128" spans="1:23">
      <c r="A128" s="1"/>
      <c r="B128" s="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8"/>
      <c r="R128" s="8"/>
      <c r="S128" s="1"/>
      <c r="T128" s="6">
        <f t="shared" ca="1" si="2"/>
        <v>0</v>
      </c>
      <c r="U128" s="1" t="str">
        <f t="shared" si="3"/>
        <v/>
      </c>
      <c r="V128" s="1"/>
      <c r="W128" s="1"/>
    </row>
    <row r="129" spans="1:23">
      <c r="A129" s="1"/>
      <c r="B129" s="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8"/>
      <c r="R129" s="8"/>
      <c r="S129" s="1"/>
      <c r="T129" s="6">
        <f t="shared" ca="1" si="2"/>
        <v>0</v>
      </c>
      <c r="U129" s="1" t="str">
        <f t="shared" si="3"/>
        <v/>
      </c>
      <c r="V129" s="1"/>
      <c r="W129" s="1"/>
    </row>
    <row r="130" spans="1:23">
      <c r="A130" s="1"/>
      <c r="B130" s="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8"/>
      <c r="R130" s="8"/>
      <c r="S130" s="1"/>
      <c r="T130" s="6">
        <f t="shared" ref="T130:T193" ca="1" si="4">IF(AND(S130&lt;&gt;"Clôturée",Q130&lt;&gt;"",TODAY()&gt;Q130),TODAY()-Q130,0)</f>
        <v>0</v>
      </c>
      <c r="U130" s="1" t="str">
        <f t="shared" ref="U130:U193" si="5">IF(M130="Critique","P1",IF(M130="Majeure","P2",IF(M130="Mineure","P3","")))</f>
        <v/>
      </c>
      <c r="V130" s="1"/>
      <c r="W130" s="1"/>
    </row>
    <row r="131" spans="1:23">
      <c r="A131" s="1"/>
      <c r="B131" s="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8"/>
      <c r="R131" s="8"/>
      <c r="S131" s="1"/>
      <c r="T131" s="6">
        <f t="shared" ca="1" si="4"/>
        <v>0</v>
      </c>
      <c r="U131" s="1" t="str">
        <f t="shared" si="5"/>
        <v/>
      </c>
      <c r="V131" s="1"/>
      <c r="W131" s="1"/>
    </row>
    <row r="132" spans="1:23">
      <c r="A132" s="1"/>
      <c r="B132" s="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8"/>
      <c r="R132" s="8"/>
      <c r="S132" s="1"/>
      <c r="T132" s="6">
        <f t="shared" ca="1" si="4"/>
        <v>0</v>
      </c>
      <c r="U132" s="1" t="str">
        <f t="shared" si="5"/>
        <v/>
      </c>
      <c r="V132" s="1"/>
      <c r="W132" s="1"/>
    </row>
    <row r="133" spans="1:23">
      <c r="A133" s="1"/>
      <c r="B133" s="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8"/>
      <c r="R133" s="8"/>
      <c r="S133" s="1"/>
      <c r="T133" s="6">
        <f t="shared" ca="1" si="4"/>
        <v>0</v>
      </c>
      <c r="U133" s="1" t="str">
        <f t="shared" si="5"/>
        <v/>
      </c>
      <c r="V133" s="1"/>
      <c r="W133" s="1"/>
    </row>
    <row r="134" spans="1:23">
      <c r="A134" s="1"/>
      <c r="B134" s="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8"/>
      <c r="R134" s="8"/>
      <c r="S134" s="1"/>
      <c r="T134" s="6">
        <f t="shared" ca="1" si="4"/>
        <v>0</v>
      </c>
      <c r="U134" s="1" t="str">
        <f t="shared" si="5"/>
        <v/>
      </c>
      <c r="V134" s="1"/>
      <c r="W134" s="1"/>
    </row>
    <row r="135" spans="1:23">
      <c r="A135" s="1"/>
      <c r="B135" s="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8"/>
      <c r="R135" s="8"/>
      <c r="S135" s="1"/>
      <c r="T135" s="6">
        <f t="shared" ca="1" si="4"/>
        <v>0</v>
      </c>
      <c r="U135" s="1" t="str">
        <f t="shared" si="5"/>
        <v/>
      </c>
      <c r="V135" s="1"/>
      <c r="W135" s="1"/>
    </row>
    <row r="136" spans="1:23">
      <c r="A136" s="1"/>
      <c r="B136" s="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8"/>
      <c r="R136" s="8"/>
      <c r="S136" s="1"/>
      <c r="T136" s="6">
        <f t="shared" ca="1" si="4"/>
        <v>0</v>
      </c>
      <c r="U136" s="1" t="str">
        <f t="shared" si="5"/>
        <v/>
      </c>
      <c r="V136" s="1"/>
      <c r="W136" s="1"/>
    </row>
    <row r="137" spans="1:23">
      <c r="A137" s="1"/>
      <c r="B137" s="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8"/>
      <c r="R137" s="8"/>
      <c r="S137" s="1"/>
      <c r="T137" s="6">
        <f t="shared" ca="1" si="4"/>
        <v>0</v>
      </c>
      <c r="U137" s="1" t="str">
        <f t="shared" si="5"/>
        <v/>
      </c>
      <c r="V137" s="1"/>
      <c r="W137" s="1"/>
    </row>
    <row r="138" spans="1:23">
      <c r="A138" s="1"/>
      <c r="B138" s="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8"/>
      <c r="R138" s="8"/>
      <c r="S138" s="1"/>
      <c r="T138" s="6">
        <f t="shared" ca="1" si="4"/>
        <v>0</v>
      </c>
      <c r="U138" s="1" t="str">
        <f t="shared" si="5"/>
        <v/>
      </c>
      <c r="V138" s="1"/>
      <c r="W138" s="1"/>
    </row>
    <row r="139" spans="1:23">
      <c r="A139" s="1"/>
      <c r="B139" s="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8"/>
      <c r="R139" s="8"/>
      <c r="S139" s="1"/>
      <c r="T139" s="6">
        <f t="shared" ca="1" si="4"/>
        <v>0</v>
      </c>
      <c r="U139" s="1" t="str">
        <f t="shared" si="5"/>
        <v/>
      </c>
      <c r="V139" s="1"/>
      <c r="W139" s="1"/>
    </row>
    <row r="140" spans="1:23">
      <c r="A140" s="1"/>
      <c r="B140" s="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8"/>
      <c r="R140" s="8"/>
      <c r="S140" s="1"/>
      <c r="T140" s="6">
        <f t="shared" ca="1" si="4"/>
        <v>0</v>
      </c>
      <c r="U140" s="1" t="str">
        <f t="shared" si="5"/>
        <v/>
      </c>
      <c r="V140" s="1"/>
      <c r="W140" s="1"/>
    </row>
    <row r="141" spans="1:23">
      <c r="A141" s="1"/>
      <c r="B141" s="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8"/>
      <c r="R141" s="8"/>
      <c r="S141" s="1"/>
      <c r="T141" s="6">
        <f t="shared" ca="1" si="4"/>
        <v>0</v>
      </c>
      <c r="U141" s="1" t="str">
        <f t="shared" si="5"/>
        <v/>
      </c>
      <c r="V141" s="1"/>
      <c r="W141" s="1"/>
    </row>
    <row r="142" spans="1:23">
      <c r="A142" s="1"/>
      <c r="B142" s="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8"/>
      <c r="R142" s="8"/>
      <c r="S142" s="1"/>
      <c r="T142" s="6">
        <f t="shared" ca="1" si="4"/>
        <v>0</v>
      </c>
      <c r="U142" s="1" t="str">
        <f t="shared" si="5"/>
        <v/>
      </c>
      <c r="V142" s="1"/>
      <c r="W142" s="1"/>
    </row>
    <row r="143" spans="1:23">
      <c r="A143" s="1"/>
      <c r="B143" s="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8"/>
      <c r="R143" s="8"/>
      <c r="S143" s="1"/>
      <c r="T143" s="6">
        <f t="shared" ca="1" si="4"/>
        <v>0</v>
      </c>
      <c r="U143" s="1" t="str">
        <f t="shared" si="5"/>
        <v/>
      </c>
      <c r="V143" s="1"/>
      <c r="W143" s="1"/>
    </row>
    <row r="144" spans="1:23">
      <c r="A144" s="1"/>
      <c r="B144" s="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8"/>
      <c r="R144" s="8"/>
      <c r="S144" s="1"/>
      <c r="T144" s="6">
        <f t="shared" ca="1" si="4"/>
        <v>0</v>
      </c>
      <c r="U144" s="1" t="str">
        <f t="shared" si="5"/>
        <v/>
      </c>
      <c r="V144" s="1"/>
      <c r="W144" s="1"/>
    </row>
    <row r="145" spans="1:23">
      <c r="A145" s="1"/>
      <c r="B145" s="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8"/>
      <c r="R145" s="8"/>
      <c r="S145" s="1"/>
      <c r="T145" s="6">
        <f t="shared" ca="1" si="4"/>
        <v>0</v>
      </c>
      <c r="U145" s="1" t="str">
        <f t="shared" si="5"/>
        <v/>
      </c>
      <c r="V145" s="1"/>
      <c r="W145" s="1"/>
    </row>
    <row r="146" spans="1:23">
      <c r="A146" s="1"/>
      <c r="B146" s="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8"/>
      <c r="R146" s="8"/>
      <c r="S146" s="1"/>
      <c r="T146" s="6">
        <f t="shared" ca="1" si="4"/>
        <v>0</v>
      </c>
      <c r="U146" s="1" t="str">
        <f t="shared" si="5"/>
        <v/>
      </c>
      <c r="V146" s="1"/>
      <c r="W146" s="1"/>
    </row>
    <row r="147" spans="1:23">
      <c r="A147" s="1"/>
      <c r="B147" s="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8"/>
      <c r="R147" s="8"/>
      <c r="S147" s="1"/>
      <c r="T147" s="6">
        <f t="shared" ca="1" si="4"/>
        <v>0</v>
      </c>
      <c r="U147" s="1" t="str">
        <f t="shared" si="5"/>
        <v/>
      </c>
      <c r="V147" s="1"/>
      <c r="W147" s="1"/>
    </row>
    <row r="148" spans="1:23">
      <c r="A148" s="1"/>
      <c r="B148" s="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8"/>
      <c r="R148" s="8"/>
      <c r="S148" s="1"/>
      <c r="T148" s="6">
        <f t="shared" ca="1" si="4"/>
        <v>0</v>
      </c>
      <c r="U148" s="1" t="str">
        <f t="shared" si="5"/>
        <v/>
      </c>
      <c r="V148" s="1"/>
      <c r="W148" s="1"/>
    </row>
    <row r="149" spans="1:23">
      <c r="A149" s="1"/>
      <c r="B149" s="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8"/>
      <c r="R149" s="8"/>
      <c r="S149" s="1"/>
      <c r="T149" s="6">
        <f t="shared" ca="1" si="4"/>
        <v>0</v>
      </c>
      <c r="U149" s="1" t="str">
        <f t="shared" si="5"/>
        <v/>
      </c>
      <c r="V149" s="1"/>
      <c r="W149" s="1"/>
    </row>
    <row r="150" spans="1:23">
      <c r="A150" s="1"/>
      <c r="B150" s="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8"/>
      <c r="R150" s="8"/>
      <c r="S150" s="1"/>
      <c r="T150" s="6">
        <f t="shared" ca="1" si="4"/>
        <v>0</v>
      </c>
      <c r="U150" s="1" t="str">
        <f t="shared" si="5"/>
        <v/>
      </c>
      <c r="V150" s="1"/>
      <c r="W150" s="1"/>
    </row>
    <row r="151" spans="1:23">
      <c r="A151" s="1"/>
      <c r="B151" s="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8"/>
      <c r="R151" s="8"/>
      <c r="S151" s="1"/>
      <c r="T151" s="6">
        <f t="shared" ca="1" si="4"/>
        <v>0</v>
      </c>
      <c r="U151" s="1" t="str">
        <f t="shared" si="5"/>
        <v/>
      </c>
      <c r="V151" s="1"/>
      <c r="W151" s="1"/>
    </row>
    <row r="152" spans="1:23">
      <c r="A152" s="1"/>
      <c r="B152" s="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8"/>
      <c r="R152" s="8"/>
      <c r="S152" s="1"/>
      <c r="T152" s="6">
        <f t="shared" ca="1" si="4"/>
        <v>0</v>
      </c>
      <c r="U152" s="1" t="str">
        <f t="shared" si="5"/>
        <v/>
      </c>
      <c r="V152" s="1"/>
      <c r="W152" s="1"/>
    </row>
    <row r="153" spans="1:23">
      <c r="A153" s="1"/>
      <c r="B153" s="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8"/>
      <c r="R153" s="8"/>
      <c r="S153" s="1"/>
      <c r="T153" s="6">
        <f t="shared" ca="1" si="4"/>
        <v>0</v>
      </c>
      <c r="U153" s="1" t="str">
        <f t="shared" si="5"/>
        <v/>
      </c>
      <c r="V153" s="1"/>
      <c r="W153" s="1"/>
    </row>
    <row r="154" spans="1:23">
      <c r="A154" s="1"/>
      <c r="B154" s="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8"/>
      <c r="R154" s="8"/>
      <c r="S154" s="1"/>
      <c r="T154" s="6">
        <f t="shared" ca="1" si="4"/>
        <v>0</v>
      </c>
      <c r="U154" s="1" t="str">
        <f t="shared" si="5"/>
        <v/>
      </c>
      <c r="V154" s="1"/>
      <c r="W154" s="1"/>
    </row>
    <row r="155" spans="1:23">
      <c r="A155" s="1"/>
      <c r="B155" s="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8"/>
      <c r="R155" s="8"/>
      <c r="S155" s="1"/>
      <c r="T155" s="6">
        <f t="shared" ca="1" si="4"/>
        <v>0</v>
      </c>
      <c r="U155" s="1" t="str">
        <f t="shared" si="5"/>
        <v/>
      </c>
      <c r="V155" s="1"/>
      <c r="W155" s="1"/>
    </row>
    <row r="156" spans="1:23">
      <c r="A156" s="1"/>
      <c r="B156" s="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8"/>
      <c r="R156" s="8"/>
      <c r="S156" s="1"/>
      <c r="T156" s="6">
        <f t="shared" ca="1" si="4"/>
        <v>0</v>
      </c>
      <c r="U156" s="1" t="str">
        <f t="shared" si="5"/>
        <v/>
      </c>
      <c r="V156" s="1"/>
      <c r="W156" s="1"/>
    </row>
    <row r="157" spans="1:23">
      <c r="A157" s="1"/>
      <c r="B157" s="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8"/>
      <c r="R157" s="8"/>
      <c r="S157" s="1"/>
      <c r="T157" s="6">
        <f t="shared" ca="1" si="4"/>
        <v>0</v>
      </c>
      <c r="U157" s="1" t="str">
        <f t="shared" si="5"/>
        <v/>
      </c>
      <c r="V157" s="1"/>
      <c r="W157" s="1"/>
    </row>
    <row r="158" spans="1:23">
      <c r="A158" s="1"/>
      <c r="B158" s="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8"/>
      <c r="R158" s="8"/>
      <c r="S158" s="1"/>
      <c r="T158" s="6">
        <f t="shared" ca="1" si="4"/>
        <v>0</v>
      </c>
      <c r="U158" s="1" t="str">
        <f t="shared" si="5"/>
        <v/>
      </c>
      <c r="V158" s="1"/>
      <c r="W158" s="1"/>
    </row>
    <row r="159" spans="1:23">
      <c r="A159" s="1"/>
      <c r="B159" s="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8"/>
      <c r="R159" s="8"/>
      <c r="S159" s="1"/>
      <c r="T159" s="6">
        <f t="shared" ca="1" si="4"/>
        <v>0</v>
      </c>
      <c r="U159" s="1" t="str">
        <f t="shared" si="5"/>
        <v/>
      </c>
      <c r="V159" s="1"/>
      <c r="W159" s="1"/>
    </row>
    <row r="160" spans="1:23">
      <c r="A160" s="1"/>
      <c r="B160" s="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8"/>
      <c r="R160" s="8"/>
      <c r="S160" s="1"/>
      <c r="T160" s="6">
        <f t="shared" ca="1" si="4"/>
        <v>0</v>
      </c>
      <c r="U160" s="1" t="str">
        <f t="shared" si="5"/>
        <v/>
      </c>
      <c r="V160" s="1"/>
      <c r="W160" s="1"/>
    </row>
    <row r="161" spans="1:23">
      <c r="A161" s="1"/>
      <c r="B161" s="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8"/>
      <c r="R161" s="8"/>
      <c r="S161" s="1"/>
      <c r="T161" s="6">
        <f t="shared" ca="1" si="4"/>
        <v>0</v>
      </c>
      <c r="U161" s="1" t="str">
        <f t="shared" si="5"/>
        <v/>
      </c>
      <c r="V161" s="1"/>
      <c r="W161" s="1"/>
    </row>
    <row r="162" spans="1:23">
      <c r="A162" s="1"/>
      <c r="B162" s="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8"/>
      <c r="R162" s="8"/>
      <c r="S162" s="1"/>
      <c r="T162" s="6">
        <f t="shared" ca="1" si="4"/>
        <v>0</v>
      </c>
      <c r="U162" s="1" t="str">
        <f t="shared" si="5"/>
        <v/>
      </c>
      <c r="V162" s="1"/>
      <c r="W162" s="1"/>
    </row>
    <row r="163" spans="1:23">
      <c r="A163" s="1"/>
      <c r="B163" s="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8"/>
      <c r="R163" s="8"/>
      <c r="S163" s="1"/>
      <c r="T163" s="6">
        <f t="shared" ca="1" si="4"/>
        <v>0</v>
      </c>
      <c r="U163" s="1" t="str">
        <f t="shared" si="5"/>
        <v/>
      </c>
      <c r="V163" s="1"/>
      <c r="W163" s="1"/>
    </row>
    <row r="164" spans="1:23">
      <c r="A164" s="1"/>
      <c r="B164" s="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8"/>
      <c r="R164" s="8"/>
      <c r="S164" s="1"/>
      <c r="T164" s="6">
        <f t="shared" ca="1" si="4"/>
        <v>0</v>
      </c>
      <c r="U164" s="1" t="str">
        <f t="shared" si="5"/>
        <v/>
      </c>
      <c r="V164" s="1"/>
      <c r="W164" s="1"/>
    </row>
    <row r="165" spans="1:23">
      <c r="A165" s="1"/>
      <c r="B165" s="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8"/>
      <c r="R165" s="8"/>
      <c r="S165" s="1"/>
      <c r="T165" s="6">
        <f t="shared" ca="1" si="4"/>
        <v>0</v>
      </c>
      <c r="U165" s="1" t="str">
        <f t="shared" si="5"/>
        <v/>
      </c>
      <c r="V165" s="1"/>
      <c r="W165" s="1"/>
    </row>
    <row r="166" spans="1:23">
      <c r="A166" s="1"/>
      <c r="B166" s="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8"/>
      <c r="R166" s="8"/>
      <c r="S166" s="1"/>
      <c r="T166" s="6">
        <f t="shared" ca="1" si="4"/>
        <v>0</v>
      </c>
      <c r="U166" s="1" t="str">
        <f t="shared" si="5"/>
        <v/>
      </c>
      <c r="V166" s="1"/>
      <c r="W166" s="1"/>
    </row>
    <row r="167" spans="1:23">
      <c r="A167" s="1"/>
      <c r="B167" s="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8"/>
      <c r="R167" s="8"/>
      <c r="S167" s="1"/>
      <c r="T167" s="6">
        <f t="shared" ca="1" si="4"/>
        <v>0</v>
      </c>
      <c r="U167" s="1" t="str">
        <f t="shared" si="5"/>
        <v/>
      </c>
      <c r="V167" s="1"/>
      <c r="W167" s="1"/>
    </row>
    <row r="168" spans="1:23">
      <c r="A168" s="1"/>
      <c r="B168" s="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8"/>
      <c r="R168" s="8"/>
      <c r="S168" s="1"/>
      <c r="T168" s="6">
        <f t="shared" ca="1" si="4"/>
        <v>0</v>
      </c>
      <c r="U168" s="1" t="str">
        <f t="shared" si="5"/>
        <v/>
      </c>
      <c r="V168" s="1"/>
      <c r="W168" s="1"/>
    </row>
    <row r="169" spans="1:23">
      <c r="A169" s="1"/>
      <c r="B169" s="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8"/>
      <c r="R169" s="8"/>
      <c r="S169" s="1"/>
      <c r="T169" s="6">
        <f t="shared" ca="1" si="4"/>
        <v>0</v>
      </c>
      <c r="U169" s="1" t="str">
        <f t="shared" si="5"/>
        <v/>
      </c>
      <c r="V169" s="1"/>
      <c r="W169" s="1"/>
    </row>
    <row r="170" spans="1:23">
      <c r="A170" s="1"/>
      <c r="B170" s="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8"/>
      <c r="R170" s="8"/>
      <c r="S170" s="1"/>
      <c r="T170" s="6">
        <f t="shared" ca="1" si="4"/>
        <v>0</v>
      </c>
      <c r="U170" s="1" t="str">
        <f t="shared" si="5"/>
        <v/>
      </c>
      <c r="V170" s="1"/>
      <c r="W170" s="1"/>
    </row>
    <row r="171" spans="1:23">
      <c r="A171" s="1"/>
      <c r="B171" s="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8"/>
      <c r="R171" s="8"/>
      <c r="S171" s="1"/>
      <c r="T171" s="6">
        <f t="shared" ca="1" si="4"/>
        <v>0</v>
      </c>
      <c r="U171" s="1" t="str">
        <f t="shared" si="5"/>
        <v/>
      </c>
      <c r="V171" s="1"/>
      <c r="W171" s="1"/>
    </row>
    <row r="172" spans="1:23">
      <c r="A172" s="1"/>
      <c r="B172" s="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8"/>
      <c r="R172" s="8"/>
      <c r="S172" s="1"/>
      <c r="T172" s="6">
        <f t="shared" ca="1" si="4"/>
        <v>0</v>
      </c>
      <c r="U172" s="1" t="str">
        <f t="shared" si="5"/>
        <v/>
      </c>
      <c r="V172" s="1"/>
      <c r="W172" s="1"/>
    </row>
    <row r="173" spans="1:23">
      <c r="A173" s="1"/>
      <c r="B173" s="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8"/>
      <c r="R173" s="8"/>
      <c r="S173" s="1"/>
      <c r="T173" s="6">
        <f t="shared" ca="1" si="4"/>
        <v>0</v>
      </c>
      <c r="U173" s="1" t="str">
        <f t="shared" si="5"/>
        <v/>
      </c>
      <c r="V173" s="1"/>
      <c r="W173" s="1"/>
    </row>
    <row r="174" spans="1:23">
      <c r="A174" s="1"/>
      <c r="B174" s="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8"/>
      <c r="R174" s="8"/>
      <c r="S174" s="1"/>
      <c r="T174" s="6">
        <f t="shared" ca="1" si="4"/>
        <v>0</v>
      </c>
      <c r="U174" s="1" t="str">
        <f t="shared" si="5"/>
        <v/>
      </c>
      <c r="V174" s="1"/>
      <c r="W174" s="1"/>
    </row>
    <row r="175" spans="1:23">
      <c r="A175" s="1"/>
      <c r="B175" s="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8"/>
      <c r="R175" s="8"/>
      <c r="S175" s="1"/>
      <c r="T175" s="6">
        <f t="shared" ca="1" si="4"/>
        <v>0</v>
      </c>
      <c r="U175" s="1" t="str">
        <f t="shared" si="5"/>
        <v/>
      </c>
      <c r="V175" s="1"/>
      <c r="W175" s="1"/>
    </row>
    <row r="176" spans="1:23">
      <c r="A176" s="1"/>
      <c r="B176" s="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8"/>
      <c r="R176" s="8"/>
      <c r="S176" s="1"/>
      <c r="T176" s="6">
        <f t="shared" ca="1" si="4"/>
        <v>0</v>
      </c>
      <c r="U176" s="1" t="str">
        <f t="shared" si="5"/>
        <v/>
      </c>
      <c r="V176" s="1"/>
      <c r="W176" s="1"/>
    </row>
    <row r="177" spans="1:23">
      <c r="A177" s="1"/>
      <c r="B177" s="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8"/>
      <c r="R177" s="8"/>
      <c r="S177" s="1"/>
      <c r="T177" s="6">
        <f t="shared" ca="1" si="4"/>
        <v>0</v>
      </c>
      <c r="U177" s="1" t="str">
        <f t="shared" si="5"/>
        <v/>
      </c>
      <c r="V177" s="1"/>
      <c r="W177" s="1"/>
    </row>
    <row r="178" spans="1:23">
      <c r="A178" s="1"/>
      <c r="B178" s="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8"/>
      <c r="R178" s="8"/>
      <c r="S178" s="1"/>
      <c r="T178" s="6">
        <f t="shared" ca="1" si="4"/>
        <v>0</v>
      </c>
      <c r="U178" s="1" t="str">
        <f t="shared" si="5"/>
        <v/>
      </c>
      <c r="V178" s="1"/>
      <c r="W178" s="1"/>
    </row>
    <row r="179" spans="1:23">
      <c r="A179" s="1"/>
      <c r="B179" s="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8"/>
      <c r="R179" s="8"/>
      <c r="S179" s="1"/>
      <c r="T179" s="6">
        <f t="shared" ca="1" si="4"/>
        <v>0</v>
      </c>
      <c r="U179" s="1" t="str">
        <f t="shared" si="5"/>
        <v/>
      </c>
      <c r="V179" s="1"/>
      <c r="W179" s="1"/>
    </row>
    <row r="180" spans="1:23">
      <c r="A180" s="1"/>
      <c r="B180" s="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8"/>
      <c r="R180" s="8"/>
      <c r="S180" s="1"/>
      <c r="T180" s="6">
        <f t="shared" ca="1" si="4"/>
        <v>0</v>
      </c>
      <c r="U180" s="1" t="str">
        <f t="shared" si="5"/>
        <v/>
      </c>
      <c r="V180" s="1"/>
      <c r="W180" s="1"/>
    </row>
    <row r="181" spans="1:23">
      <c r="A181" s="1"/>
      <c r="B181" s="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8"/>
      <c r="R181" s="8"/>
      <c r="S181" s="1"/>
      <c r="T181" s="6">
        <f t="shared" ca="1" si="4"/>
        <v>0</v>
      </c>
      <c r="U181" s="1" t="str">
        <f t="shared" si="5"/>
        <v/>
      </c>
      <c r="V181" s="1"/>
      <c r="W181" s="1"/>
    </row>
    <row r="182" spans="1:23">
      <c r="A182" s="1"/>
      <c r="B182" s="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8"/>
      <c r="R182" s="8"/>
      <c r="S182" s="1"/>
      <c r="T182" s="6">
        <f t="shared" ca="1" si="4"/>
        <v>0</v>
      </c>
      <c r="U182" s="1" t="str">
        <f t="shared" si="5"/>
        <v/>
      </c>
      <c r="V182" s="1"/>
      <c r="W182" s="1"/>
    </row>
    <row r="183" spans="1:23">
      <c r="A183" s="1"/>
      <c r="B183" s="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8"/>
      <c r="R183" s="8"/>
      <c r="S183" s="1"/>
      <c r="T183" s="6">
        <f t="shared" ca="1" si="4"/>
        <v>0</v>
      </c>
      <c r="U183" s="1" t="str">
        <f t="shared" si="5"/>
        <v/>
      </c>
      <c r="V183" s="1"/>
      <c r="W183" s="1"/>
    </row>
    <row r="184" spans="1:23">
      <c r="A184" s="1"/>
      <c r="B184" s="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8"/>
      <c r="R184" s="8"/>
      <c r="S184" s="1"/>
      <c r="T184" s="6">
        <f t="shared" ca="1" si="4"/>
        <v>0</v>
      </c>
      <c r="U184" s="1" t="str">
        <f t="shared" si="5"/>
        <v/>
      </c>
      <c r="V184" s="1"/>
      <c r="W184" s="1"/>
    </row>
    <row r="185" spans="1:23">
      <c r="A185" s="1"/>
      <c r="B185" s="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8"/>
      <c r="R185" s="8"/>
      <c r="S185" s="1"/>
      <c r="T185" s="6">
        <f t="shared" ca="1" si="4"/>
        <v>0</v>
      </c>
      <c r="U185" s="1" t="str">
        <f t="shared" si="5"/>
        <v/>
      </c>
      <c r="V185" s="1"/>
      <c r="W185" s="1"/>
    </row>
    <row r="186" spans="1:23">
      <c r="A186" s="1"/>
      <c r="B186" s="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8"/>
      <c r="R186" s="8"/>
      <c r="S186" s="1"/>
      <c r="T186" s="6">
        <f t="shared" ca="1" si="4"/>
        <v>0</v>
      </c>
      <c r="U186" s="1" t="str">
        <f t="shared" si="5"/>
        <v/>
      </c>
      <c r="V186" s="1"/>
      <c r="W186" s="1"/>
    </row>
    <row r="187" spans="1:23">
      <c r="A187" s="1"/>
      <c r="B187" s="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8"/>
      <c r="R187" s="8"/>
      <c r="S187" s="1"/>
      <c r="T187" s="6">
        <f t="shared" ca="1" si="4"/>
        <v>0</v>
      </c>
      <c r="U187" s="1" t="str">
        <f t="shared" si="5"/>
        <v/>
      </c>
      <c r="V187" s="1"/>
      <c r="W187" s="1"/>
    </row>
    <row r="188" spans="1:23">
      <c r="A188" s="1"/>
      <c r="B188" s="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8"/>
      <c r="R188" s="8"/>
      <c r="S188" s="1"/>
      <c r="T188" s="6">
        <f t="shared" ca="1" si="4"/>
        <v>0</v>
      </c>
      <c r="U188" s="1" t="str">
        <f t="shared" si="5"/>
        <v/>
      </c>
      <c r="V188" s="1"/>
      <c r="W188" s="1"/>
    </row>
    <row r="189" spans="1:23">
      <c r="A189" s="1"/>
      <c r="B189" s="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8"/>
      <c r="R189" s="8"/>
      <c r="S189" s="1"/>
      <c r="T189" s="6">
        <f t="shared" ca="1" si="4"/>
        <v>0</v>
      </c>
      <c r="U189" s="1" t="str">
        <f t="shared" si="5"/>
        <v/>
      </c>
      <c r="V189" s="1"/>
      <c r="W189" s="1"/>
    </row>
    <row r="190" spans="1:23">
      <c r="A190" s="1"/>
      <c r="B190" s="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8"/>
      <c r="R190" s="8"/>
      <c r="S190" s="1"/>
      <c r="T190" s="6">
        <f t="shared" ca="1" si="4"/>
        <v>0</v>
      </c>
      <c r="U190" s="1" t="str">
        <f t="shared" si="5"/>
        <v/>
      </c>
      <c r="V190" s="1"/>
      <c r="W190" s="1"/>
    </row>
    <row r="191" spans="1:23">
      <c r="A191" s="1"/>
      <c r="B191" s="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8"/>
      <c r="R191" s="8"/>
      <c r="S191" s="1"/>
      <c r="T191" s="6">
        <f t="shared" ca="1" si="4"/>
        <v>0</v>
      </c>
      <c r="U191" s="1" t="str">
        <f t="shared" si="5"/>
        <v/>
      </c>
      <c r="V191" s="1"/>
      <c r="W191" s="1"/>
    </row>
    <row r="192" spans="1:23">
      <c r="A192" s="1"/>
      <c r="B192" s="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8"/>
      <c r="R192" s="8"/>
      <c r="S192" s="1"/>
      <c r="T192" s="6">
        <f t="shared" ca="1" si="4"/>
        <v>0</v>
      </c>
      <c r="U192" s="1" t="str">
        <f t="shared" si="5"/>
        <v/>
      </c>
      <c r="V192" s="1"/>
      <c r="W192" s="1"/>
    </row>
    <row r="193" spans="1:23">
      <c r="A193" s="1"/>
      <c r="B193" s="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8"/>
      <c r="R193" s="8"/>
      <c r="S193" s="1"/>
      <c r="T193" s="6">
        <f t="shared" ca="1" si="4"/>
        <v>0</v>
      </c>
      <c r="U193" s="1" t="str">
        <f t="shared" si="5"/>
        <v/>
      </c>
      <c r="V193" s="1"/>
      <c r="W193" s="1"/>
    </row>
    <row r="194" spans="1:23">
      <c r="A194" s="1"/>
      <c r="B194" s="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8"/>
      <c r="R194" s="8"/>
      <c r="S194" s="1"/>
      <c r="T194" s="6">
        <f t="shared" ref="T194:T257" ca="1" si="6">IF(AND(S194&lt;&gt;"Clôturée",Q194&lt;&gt;"",TODAY()&gt;Q194),TODAY()-Q194,0)</f>
        <v>0</v>
      </c>
      <c r="U194" s="1" t="str">
        <f t="shared" ref="U194:U257" si="7">IF(M194="Critique","P1",IF(M194="Majeure","P2",IF(M194="Mineure","P3","")))</f>
        <v/>
      </c>
      <c r="V194" s="1"/>
      <c r="W194" s="1"/>
    </row>
    <row r="195" spans="1:23">
      <c r="A195" s="1"/>
      <c r="B195" s="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8"/>
      <c r="R195" s="8"/>
      <c r="S195" s="1"/>
      <c r="T195" s="6">
        <f t="shared" ca="1" si="6"/>
        <v>0</v>
      </c>
      <c r="U195" s="1" t="str">
        <f t="shared" si="7"/>
        <v/>
      </c>
      <c r="V195" s="1"/>
      <c r="W195" s="1"/>
    </row>
    <row r="196" spans="1:23">
      <c r="A196" s="1"/>
      <c r="B196" s="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8"/>
      <c r="R196" s="8"/>
      <c r="S196" s="1"/>
      <c r="T196" s="6">
        <f t="shared" ca="1" si="6"/>
        <v>0</v>
      </c>
      <c r="U196" s="1" t="str">
        <f t="shared" si="7"/>
        <v/>
      </c>
      <c r="V196" s="1"/>
      <c r="W196" s="1"/>
    </row>
    <row r="197" spans="1:23">
      <c r="A197" s="1"/>
      <c r="B197" s="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8"/>
      <c r="R197" s="8"/>
      <c r="S197" s="1"/>
      <c r="T197" s="6">
        <f t="shared" ca="1" si="6"/>
        <v>0</v>
      </c>
      <c r="U197" s="1" t="str">
        <f t="shared" si="7"/>
        <v/>
      </c>
      <c r="V197" s="1"/>
      <c r="W197" s="1"/>
    </row>
    <row r="198" spans="1:23">
      <c r="A198" s="1"/>
      <c r="B198" s="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8"/>
      <c r="R198" s="8"/>
      <c r="S198" s="1"/>
      <c r="T198" s="6">
        <f t="shared" ca="1" si="6"/>
        <v>0</v>
      </c>
      <c r="U198" s="1" t="str">
        <f t="shared" si="7"/>
        <v/>
      </c>
      <c r="V198" s="1"/>
      <c r="W198" s="1"/>
    </row>
    <row r="199" spans="1:23">
      <c r="A199" s="1"/>
      <c r="B199" s="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8"/>
      <c r="R199" s="8"/>
      <c r="S199" s="1"/>
      <c r="T199" s="6">
        <f t="shared" ca="1" si="6"/>
        <v>0</v>
      </c>
      <c r="U199" s="1" t="str">
        <f t="shared" si="7"/>
        <v/>
      </c>
      <c r="V199" s="1"/>
      <c r="W199" s="1"/>
    </row>
    <row r="200" spans="1:23">
      <c r="A200" s="1"/>
      <c r="B200" s="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8"/>
      <c r="R200" s="8"/>
      <c r="S200" s="1"/>
      <c r="T200" s="6">
        <f t="shared" ca="1" si="6"/>
        <v>0</v>
      </c>
      <c r="U200" s="1" t="str">
        <f t="shared" si="7"/>
        <v/>
      </c>
      <c r="V200" s="1"/>
      <c r="W200" s="1"/>
    </row>
    <row r="201" spans="1:23">
      <c r="A201" s="1"/>
      <c r="B201" s="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8"/>
      <c r="R201" s="8"/>
      <c r="S201" s="1"/>
      <c r="T201" s="6">
        <f t="shared" ca="1" si="6"/>
        <v>0</v>
      </c>
      <c r="U201" s="1" t="str">
        <f t="shared" si="7"/>
        <v/>
      </c>
      <c r="V201" s="1"/>
      <c r="W201" s="1"/>
    </row>
    <row r="202" spans="1:23">
      <c r="A202" s="1"/>
      <c r="B202" s="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8"/>
      <c r="R202" s="8"/>
      <c r="S202" s="1"/>
      <c r="T202" s="6">
        <f t="shared" ca="1" si="6"/>
        <v>0</v>
      </c>
      <c r="U202" s="1" t="str">
        <f t="shared" si="7"/>
        <v/>
      </c>
      <c r="V202" s="1"/>
      <c r="W202" s="1"/>
    </row>
    <row r="203" spans="1:23">
      <c r="A203" s="1"/>
      <c r="B203" s="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8"/>
      <c r="R203" s="8"/>
      <c r="S203" s="1"/>
      <c r="T203" s="6">
        <f t="shared" ca="1" si="6"/>
        <v>0</v>
      </c>
      <c r="U203" s="1" t="str">
        <f t="shared" si="7"/>
        <v/>
      </c>
      <c r="V203" s="1"/>
      <c r="W203" s="1"/>
    </row>
    <row r="204" spans="1:23">
      <c r="A204" s="1"/>
      <c r="B204" s="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8"/>
      <c r="R204" s="8"/>
      <c r="S204" s="1"/>
      <c r="T204" s="6">
        <f t="shared" ca="1" si="6"/>
        <v>0</v>
      </c>
      <c r="U204" s="1" t="str">
        <f t="shared" si="7"/>
        <v/>
      </c>
      <c r="V204" s="1"/>
      <c r="W204" s="1"/>
    </row>
    <row r="205" spans="1:23">
      <c r="A205" s="1"/>
      <c r="B205" s="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8"/>
      <c r="R205" s="8"/>
      <c r="S205" s="1"/>
      <c r="T205" s="6">
        <f t="shared" ca="1" si="6"/>
        <v>0</v>
      </c>
      <c r="U205" s="1" t="str">
        <f t="shared" si="7"/>
        <v/>
      </c>
      <c r="V205" s="1"/>
      <c r="W205" s="1"/>
    </row>
    <row r="206" spans="1:23">
      <c r="A206" s="1"/>
      <c r="B206" s="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8"/>
      <c r="R206" s="8"/>
      <c r="S206" s="1"/>
      <c r="T206" s="6">
        <f t="shared" ca="1" si="6"/>
        <v>0</v>
      </c>
      <c r="U206" s="1" t="str">
        <f t="shared" si="7"/>
        <v/>
      </c>
      <c r="V206" s="1"/>
      <c r="W206" s="1"/>
    </row>
    <row r="207" spans="1:23">
      <c r="A207" s="1"/>
      <c r="B207" s="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8"/>
      <c r="R207" s="8"/>
      <c r="S207" s="1"/>
      <c r="T207" s="6">
        <f t="shared" ca="1" si="6"/>
        <v>0</v>
      </c>
      <c r="U207" s="1" t="str">
        <f t="shared" si="7"/>
        <v/>
      </c>
      <c r="V207" s="1"/>
      <c r="W207" s="1"/>
    </row>
    <row r="208" spans="1:23">
      <c r="A208" s="1"/>
      <c r="B208" s="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8"/>
      <c r="R208" s="8"/>
      <c r="S208" s="1"/>
      <c r="T208" s="6">
        <f t="shared" ca="1" si="6"/>
        <v>0</v>
      </c>
      <c r="U208" s="1" t="str">
        <f t="shared" si="7"/>
        <v/>
      </c>
      <c r="V208" s="1"/>
      <c r="W208" s="1"/>
    </row>
    <row r="209" spans="1:23">
      <c r="A209" s="1"/>
      <c r="B209" s="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8"/>
      <c r="R209" s="8"/>
      <c r="S209" s="1"/>
      <c r="T209" s="6">
        <f t="shared" ca="1" si="6"/>
        <v>0</v>
      </c>
      <c r="U209" s="1" t="str">
        <f t="shared" si="7"/>
        <v/>
      </c>
      <c r="V209" s="1"/>
      <c r="W209" s="1"/>
    </row>
    <row r="210" spans="1:23">
      <c r="A210" s="1"/>
      <c r="B210" s="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8"/>
      <c r="R210" s="8"/>
      <c r="S210" s="1"/>
      <c r="T210" s="6">
        <f t="shared" ca="1" si="6"/>
        <v>0</v>
      </c>
      <c r="U210" s="1" t="str">
        <f t="shared" si="7"/>
        <v/>
      </c>
      <c r="V210" s="1"/>
      <c r="W210" s="1"/>
    </row>
    <row r="211" spans="1:23">
      <c r="A211" s="1"/>
      <c r="B211" s="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8"/>
      <c r="R211" s="8"/>
      <c r="S211" s="1"/>
      <c r="T211" s="6">
        <f t="shared" ca="1" si="6"/>
        <v>0</v>
      </c>
      <c r="U211" s="1" t="str">
        <f t="shared" si="7"/>
        <v/>
      </c>
      <c r="V211" s="1"/>
      <c r="W211" s="1"/>
    </row>
    <row r="212" spans="1:23">
      <c r="A212" s="1"/>
      <c r="B212" s="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8"/>
      <c r="R212" s="8"/>
      <c r="S212" s="1"/>
      <c r="T212" s="6">
        <f t="shared" ca="1" si="6"/>
        <v>0</v>
      </c>
      <c r="U212" s="1" t="str">
        <f t="shared" si="7"/>
        <v/>
      </c>
      <c r="V212" s="1"/>
      <c r="W212" s="1"/>
    </row>
    <row r="213" spans="1:23">
      <c r="A213" s="1"/>
      <c r="B213" s="8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8"/>
      <c r="R213" s="8"/>
      <c r="S213" s="1"/>
      <c r="T213" s="6">
        <f t="shared" ca="1" si="6"/>
        <v>0</v>
      </c>
      <c r="U213" s="1" t="str">
        <f t="shared" si="7"/>
        <v/>
      </c>
      <c r="V213" s="1"/>
      <c r="W213" s="1"/>
    </row>
    <row r="214" spans="1:23">
      <c r="A214" s="1"/>
      <c r="B214" s="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8"/>
      <c r="R214" s="8"/>
      <c r="S214" s="1"/>
      <c r="T214" s="6">
        <f t="shared" ca="1" si="6"/>
        <v>0</v>
      </c>
      <c r="U214" s="1" t="str">
        <f t="shared" si="7"/>
        <v/>
      </c>
      <c r="V214" s="1"/>
      <c r="W214" s="1"/>
    </row>
    <row r="215" spans="1:23">
      <c r="A215" s="1"/>
      <c r="B215" s="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8"/>
      <c r="R215" s="8"/>
      <c r="S215" s="1"/>
      <c r="T215" s="6">
        <f t="shared" ca="1" si="6"/>
        <v>0</v>
      </c>
      <c r="U215" s="1" t="str">
        <f t="shared" si="7"/>
        <v/>
      </c>
      <c r="V215" s="1"/>
      <c r="W215" s="1"/>
    </row>
    <row r="216" spans="1:23">
      <c r="A216" s="1"/>
      <c r="B216" s="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8"/>
      <c r="R216" s="8"/>
      <c r="S216" s="1"/>
      <c r="T216" s="6">
        <f t="shared" ca="1" si="6"/>
        <v>0</v>
      </c>
      <c r="U216" s="1" t="str">
        <f t="shared" si="7"/>
        <v/>
      </c>
      <c r="V216" s="1"/>
      <c r="W216" s="1"/>
    </row>
    <row r="217" spans="1:23">
      <c r="A217" s="1"/>
      <c r="B217" s="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8"/>
      <c r="R217" s="8"/>
      <c r="S217" s="1"/>
      <c r="T217" s="6">
        <f t="shared" ca="1" si="6"/>
        <v>0</v>
      </c>
      <c r="U217" s="1" t="str">
        <f t="shared" si="7"/>
        <v/>
      </c>
      <c r="V217" s="1"/>
      <c r="W217" s="1"/>
    </row>
    <row r="218" spans="1:23">
      <c r="A218" s="1"/>
      <c r="B218" s="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8"/>
      <c r="R218" s="8"/>
      <c r="S218" s="1"/>
      <c r="T218" s="6">
        <f t="shared" ca="1" si="6"/>
        <v>0</v>
      </c>
      <c r="U218" s="1" t="str">
        <f t="shared" si="7"/>
        <v/>
      </c>
      <c r="V218" s="1"/>
      <c r="W218" s="1"/>
    </row>
    <row r="219" spans="1:23">
      <c r="A219" s="1"/>
      <c r="B219" s="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8"/>
      <c r="R219" s="8"/>
      <c r="S219" s="1"/>
      <c r="T219" s="6">
        <f t="shared" ca="1" si="6"/>
        <v>0</v>
      </c>
      <c r="U219" s="1" t="str">
        <f t="shared" si="7"/>
        <v/>
      </c>
      <c r="V219" s="1"/>
      <c r="W219" s="1"/>
    </row>
    <row r="220" spans="1:23">
      <c r="A220" s="1"/>
      <c r="B220" s="8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8"/>
      <c r="R220" s="8"/>
      <c r="S220" s="1"/>
      <c r="T220" s="6">
        <f t="shared" ca="1" si="6"/>
        <v>0</v>
      </c>
      <c r="U220" s="1" t="str">
        <f t="shared" si="7"/>
        <v/>
      </c>
      <c r="V220" s="1"/>
      <c r="W220" s="1"/>
    </row>
    <row r="221" spans="1:23">
      <c r="A221" s="1"/>
      <c r="B221" s="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8"/>
      <c r="R221" s="8"/>
      <c r="S221" s="1"/>
      <c r="T221" s="6">
        <f t="shared" ca="1" si="6"/>
        <v>0</v>
      </c>
      <c r="U221" s="1" t="str">
        <f t="shared" si="7"/>
        <v/>
      </c>
      <c r="V221" s="1"/>
      <c r="W221" s="1"/>
    </row>
    <row r="222" spans="1:23">
      <c r="A222" s="1"/>
      <c r="B222" s="8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8"/>
      <c r="R222" s="8"/>
      <c r="S222" s="1"/>
      <c r="T222" s="6">
        <f t="shared" ca="1" si="6"/>
        <v>0</v>
      </c>
      <c r="U222" s="1" t="str">
        <f t="shared" si="7"/>
        <v/>
      </c>
      <c r="V222" s="1"/>
      <c r="W222" s="1"/>
    </row>
    <row r="223" spans="1:23">
      <c r="A223" s="1"/>
      <c r="B223" s="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8"/>
      <c r="R223" s="8"/>
      <c r="S223" s="1"/>
      <c r="T223" s="6">
        <f t="shared" ca="1" si="6"/>
        <v>0</v>
      </c>
      <c r="U223" s="1" t="str">
        <f t="shared" si="7"/>
        <v/>
      </c>
      <c r="V223" s="1"/>
      <c r="W223" s="1"/>
    </row>
    <row r="224" spans="1:23">
      <c r="A224" s="1"/>
      <c r="B224" s="8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8"/>
      <c r="R224" s="8"/>
      <c r="S224" s="1"/>
      <c r="T224" s="6">
        <f t="shared" ca="1" si="6"/>
        <v>0</v>
      </c>
      <c r="U224" s="1" t="str">
        <f t="shared" si="7"/>
        <v/>
      </c>
      <c r="V224" s="1"/>
      <c r="W224" s="1"/>
    </row>
    <row r="225" spans="1:23">
      <c r="A225" s="1"/>
      <c r="B225" s="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8"/>
      <c r="R225" s="8"/>
      <c r="S225" s="1"/>
      <c r="T225" s="6">
        <f t="shared" ca="1" si="6"/>
        <v>0</v>
      </c>
      <c r="U225" s="1" t="str">
        <f t="shared" si="7"/>
        <v/>
      </c>
      <c r="V225" s="1"/>
      <c r="W225" s="1"/>
    </row>
    <row r="226" spans="1:23">
      <c r="A226" s="1"/>
      <c r="B226" s="8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8"/>
      <c r="R226" s="8"/>
      <c r="S226" s="1"/>
      <c r="T226" s="6">
        <f t="shared" ca="1" si="6"/>
        <v>0</v>
      </c>
      <c r="U226" s="1" t="str">
        <f t="shared" si="7"/>
        <v/>
      </c>
      <c r="V226" s="1"/>
      <c r="W226" s="1"/>
    </row>
    <row r="227" spans="1:23">
      <c r="A227" s="1"/>
      <c r="B227" s="8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8"/>
      <c r="R227" s="8"/>
      <c r="S227" s="1"/>
      <c r="T227" s="6">
        <f t="shared" ca="1" si="6"/>
        <v>0</v>
      </c>
      <c r="U227" s="1" t="str">
        <f t="shared" si="7"/>
        <v/>
      </c>
      <c r="V227" s="1"/>
      <c r="W227" s="1"/>
    </row>
    <row r="228" spans="1:23">
      <c r="A228" s="1"/>
      <c r="B228" s="8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8"/>
      <c r="R228" s="8"/>
      <c r="S228" s="1"/>
      <c r="T228" s="6">
        <f t="shared" ca="1" si="6"/>
        <v>0</v>
      </c>
      <c r="U228" s="1" t="str">
        <f t="shared" si="7"/>
        <v/>
      </c>
      <c r="V228" s="1"/>
      <c r="W228" s="1"/>
    </row>
    <row r="229" spans="1:23">
      <c r="A229" s="1"/>
      <c r="B229" s="8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8"/>
      <c r="R229" s="8"/>
      <c r="S229" s="1"/>
      <c r="T229" s="6">
        <f t="shared" ca="1" si="6"/>
        <v>0</v>
      </c>
      <c r="U229" s="1" t="str">
        <f t="shared" si="7"/>
        <v/>
      </c>
      <c r="V229" s="1"/>
      <c r="W229" s="1"/>
    </row>
    <row r="230" spans="1:23">
      <c r="A230" s="1"/>
      <c r="B230" s="8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8"/>
      <c r="R230" s="8"/>
      <c r="S230" s="1"/>
      <c r="T230" s="6">
        <f t="shared" ca="1" si="6"/>
        <v>0</v>
      </c>
      <c r="U230" s="1" t="str">
        <f t="shared" si="7"/>
        <v/>
      </c>
      <c r="V230" s="1"/>
      <c r="W230" s="1"/>
    </row>
    <row r="231" spans="1:23">
      <c r="A231" s="1"/>
      <c r="B231" s="8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8"/>
      <c r="R231" s="8"/>
      <c r="S231" s="1"/>
      <c r="T231" s="6">
        <f t="shared" ca="1" si="6"/>
        <v>0</v>
      </c>
      <c r="U231" s="1" t="str">
        <f t="shared" si="7"/>
        <v/>
      </c>
      <c r="V231" s="1"/>
      <c r="W231" s="1"/>
    </row>
    <row r="232" spans="1:23">
      <c r="A232" s="1"/>
      <c r="B232" s="8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8"/>
      <c r="R232" s="8"/>
      <c r="S232" s="1"/>
      <c r="T232" s="6">
        <f t="shared" ca="1" si="6"/>
        <v>0</v>
      </c>
      <c r="U232" s="1" t="str">
        <f t="shared" si="7"/>
        <v/>
      </c>
      <c r="V232" s="1"/>
      <c r="W232" s="1"/>
    </row>
    <row r="233" spans="1:23">
      <c r="A233" s="1"/>
      <c r="B233" s="8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8"/>
      <c r="R233" s="8"/>
      <c r="S233" s="1"/>
      <c r="T233" s="6">
        <f t="shared" ca="1" si="6"/>
        <v>0</v>
      </c>
      <c r="U233" s="1" t="str">
        <f t="shared" si="7"/>
        <v/>
      </c>
      <c r="V233" s="1"/>
      <c r="W233" s="1"/>
    </row>
    <row r="234" spans="1:23">
      <c r="A234" s="1"/>
      <c r="B234" s="8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8"/>
      <c r="R234" s="8"/>
      <c r="S234" s="1"/>
      <c r="T234" s="6">
        <f t="shared" ca="1" si="6"/>
        <v>0</v>
      </c>
      <c r="U234" s="1" t="str">
        <f t="shared" si="7"/>
        <v/>
      </c>
      <c r="V234" s="1"/>
      <c r="W234" s="1"/>
    </row>
    <row r="235" spans="1:23">
      <c r="A235" s="1"/>
      <c r="B235" s="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8"/>
      <c r="R235" s="8"/>
      <c r="S235" s="1"/>
      <c r="T235" s="6">
        <f t="shared" ca="1" si="6"/>
        <v>0</v>
      </c>
      <c r="U235" s="1" t="str">
        <f t="shared" si="7"/>
        <v/>
      </c>
      <c r="V235" s="1"/>
      <c r="W235" s="1"/>
    </row>
    <row r="236" spans="1:23">
      <c r="A236" s="1"/>
      <c r="B236" s="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8"/>
      <c r="R236" s="8"/>
      <c r="S236" s="1"/>
      <c r="T236" s="6">
        <f t="shared" ca="1" si="6"/>
        <v>0</v>
      </c>
      <c r="U236" s="1" t="str">
        <f t="shared" si="7"/>
        <v/>
      </c>
      <c r="V236" s="1"/>
      <c r="W236" s="1"/>
    </row>
    <row r="237" spans="1:23">
      <c r="A237" s="1"/>
      <c r="B237" s="8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8"/>
      <c r="R237" s="8"/>
      <c r="S237" s="1"/>
      <c r="T237" s="6">
        <f t="shared" ca="1" si="6"/>
        <v>0</v>
      </c>
      <c r="U237" s="1" t="str">
        <f t="shared" si="7"/>
        <v/>
      </c>
      <c r="V237" s="1"/>
      <c r="W237" s="1"/>
    </row>
    <row r="238" spans="1:23">
      <c r="A238" s="1"/>
      <c r="B238" s="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8"/>
      <c r="R238" s="8"/>
      <c r="S238" s="1"/>
      <c r="T238" s="6">
        <f t="shared" ca="1" si="6"/>
        <v>0</v>
      </c>
      <c r="U238" s="1" t="str">
        <f t="shared" si="7"/>
        <v/>
      </c>
      <c r="V238" s="1"/>
      <c r="W238" s="1"/>
    </row>
    <row r="239" spans="1:23">
      <c r="A239" s="1"/>
      <c r="B239" s="8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8"/>
      <c r="R239" s="8"/>
      <c r="S239" s="1"/>
      <c r="T239" s="6">
        <f t="shared" ca="1" si="6"/>
        <v>0</v>
      </c>
      <c r="U239" s="1" t="str">
        <f t="shared" si="7"/>
        <v/>
      </c>
      <c r="V239" s="1"/>
      <c r="W239" s="1"/>
    </row>
    <row r="240" spans="1:23">
      <c r="A240" s="1"/>
      <c r="B240" s="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8"/>
      <c r="R240" s="8"/>
      <c r="S240" s="1"/>
      <c r="T240" s="6">
        <f t="shared" ca="1" si="6"/>
        <v>0</v>
      </c>
      <c r="U240" s="1" t="str">
        <f t="shared" si="7"/>
        <v/>
      </c>
      <c r="V240" s="1"/>
      <c r="W240" s="1"/>
    </row>
    <row r="241" spans="1:23">
      <c r="A241" s="1"/>
      <c r="B241" s="8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8"/>
      <c r="R241" s="8"/>
      <c r="S241" s="1"/>
      <c r="T241" s="6">
        <f t="shared" ca="1" si="6"/>
        <v>0</v>
      </c>
      <c r="U241" s="1" t="str">
        <f t="shared" si="7"/>
        <v/>
      </c>
      <c r="V241" s="1"/>
      <c r="W241" s="1"/>
    </row>
    <row r="242" spans="1:23">
      <c r="A242" s="1"/>
      <c r="B242" s="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8"/>
      <c r="R242" s="8"/>
      <c r="S242" s="1"/>
      <c r="T242" s="6">
        <f t="shared" ca="1" si="6"/>
        <v>0</v>
      </c>
      <c r="U242" s="1" t="str">
        <f t="shared" si="7"/>
        <v/>
      </c>
      <c r="V242" s="1"/>
      <c r="W242" s="1"/>
    </row>
    <row r="243" spans="1:23">
      <c r="A243" s="1"/>
      <c r="B243" s="8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8"/>
      <c r="R243" s="8"/>
      <c r="S243" s="1"/>
      <c r="T243" s="6">
        <f t="shared" ca="1" si="6"/>
        <v>0</v>
      </c>
      <c r="U243" s="1" t="str">
        <f t="shared" si="7"/>
        <v/>
      </c>
      <c r="V243" s="1"/>
      <c r="W243" s="1"/>
    </row>
    <row r="244" spans="1:23">
      <c r="A244" s="1"/>
      <c r="B244" s="8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8"/>
      <c r="R244" s="8"/>
      <c r="S244" s="1"/>
      <c r="T244" s="6">
        <f t="shared" ca="1" si="6"/>
        <v>0</v>
      </c>
      <c r="U244" s="1" t="str">
        <f t="shared" si="7"/>
        <v/>
      </c>
      <c r="V244" s="1"/>
      <c r="W244" s="1"/>
    </row>
    <row r="245" spans="1:23">
      <c r="A245" s="1"/>
      <c r="B245" s="8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8"/>
      <c r="R245" s="8"/>
      <c r="S245" s="1"/>
      <c r="T245" s="6">
        <f t="shared" ca="1" si="6"/>
        <v>0</v>
      </c>
      <c r="U245" s="1" t="str">
        <f t="shared" si="7"/>
        <v/>
      </c>
      <c r="V245" s="1"/>
      <c r="W245" s="1"/>
    </row>
    <row r="246" spans="1:23">
      <c r="A246" s="1"/>
      <c r="B246" s="8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8"/>
      <c r="R246" s="8"/>
      <c r="S246" s="1"/>
      <c r="T246" s="6">
        <f t="shared" ca="1" si="6"/>
        <v>0</v>
      </c>
      <c r="U246" s="1" t="str">
        <f t="shared" si="7"/>
        <v/>
      </c>
      <c r="V246" s="1"/>
      <c r="W246" s="1"/>
    </row>
    <row r="247" spans="1:23">
      <c r="A247" s="1"/>
      <c r="B247" s="8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8"/>
      <c r="R247" s="8"/>
      <c r="S247" s="1"/>
      <c r="T247" s="6">
        <f t="shared" ca="1" si="6"/>
        <v>0</v>
      </c>
      <c r="U247" s="1" t="str">
        <f t="shared" si="7"/>
        <v/>
      </c>
      <c r="V247" s="1"/>
      <c r="W247" s="1"/>
    </row>
    <row r="248" spans="1:23">
      <c r="A248" s="1"/>
      <c r="B248" s="8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8"/>
      <c r="R248" s="8"/>
      <c r="S248" s="1"/>
      <c r="T248" s="6">
        <f t="shared" ca="1" si="6"/>
        <v>0</v>
      </c>
      <c r="U248" s="1" t="str">
        <f t="shared" si="7"/>
        <v/>
      </c>
      <c r="V248" s="1"/>
      <c r="W248" s="1"/>
    </row>
    <row r="249" spans="1:23">
      <c r="A249" s="1"/>
      <c r="B249" s="8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8"/>
      <c r="R249" s="8"/>
      <c r="S249" s="1"/>
      <c r="T249" s="6">
        <f t="shared" ca="1" si="6"/>
        <v>0</v>
      </c>
      <c r="U249" s="1" t="str">
        <f t="shared" si="7"/>
        <v/>
      </c>
      <c r="V249" s="1"/>
      <c r="W249" s="1"/>
    </row>
    <row r="250" spans="1:23">
      <c r="A250" s="1"/>
      <c r="B250" s="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8"/>
      <c r="R250" s="8"/>
      <c r="S250" s="1"/>
      <c r="T250" s="6">
        <f t="shared" ca="1" si="6"/>
        <v>0</v>
      </c>
      <c r="U250" s="1" t="str">
        <f t="shared" si="7"/>
        <v/>
      </c>
      <c r="V250" s="1"/>
      <c r="W250" s="1"/>
    </row>
    <row r="251" spans="1:23">
      <c r="A251" s="1"/>
      <c r="B251" s="8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8"/>
      <c r="R251" s="8"/>
      <c r="S251" s="1"/>
      <c r="T251" s="6">
        <f t="shared" ca="1" si="6"/>
        <v>0</v>
      </c>
      <c r="U251" s="1" t="str">
        <f t="shared" si="7"/>
        <v/>
      </c>
      <c r="V251" s="1"/>
      <c r="W251" s="1"/>
    </row>
    <row r="252" spans="1:23">
      <c r="A252" s="1"/>
      <c r="B252" s="8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8"/>
      <c r="R252" s="8"/>
      <c r="S252" s="1"/>
      <c r="T252" s="6">
        <f t="shared" ca="1" si="6"/>
        <v>0</v>
      </c>
      <c r="U252" s="1" t="str">
        <f t="shared" si="7"/>
        <v/>
      </c>
      <c r="V252" s="1"/>
      <c r="W252" s="1"/>
    </row>
    <row r="253" spans="1:23">
      <c r="A253" s="1"/>
      <c r="B253" s="8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8"/>
      <c r="R253" s="8"/>
      <c r="S253" s="1"/>
      <c r="T253" s="6">
        <f t="shared" ca="1" si="6"/>
        <v>0</v>
      </c>
      <c r="U253" s="1" t="str">
        <f t="shared" si="7"/>
        <v/>
      </c>
      <c r="V253" s="1"/>
      <c r="W253" s="1"/>
    </row>
    <row r="254" spans="1:23">
      <c r="A254" s="1"/>
      <c r="B254" s="8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8"/>
      <c r="R254" s="8"/>
      <c r="S254" s="1"/>
      <c r="T254" s="6">
        <f t="shared" ca="1" si="6"/>
        <v>0</v>
      </c>
      <c r="U254" s="1" t="str">
        <f t="shared" si="7"/>
        <v/>
      </c>
      <c r="V254" s="1"/>
      <c r="W254" s="1"/>
    </row>
    <row r="255" spans="1:23">
      <c r="A255" s="1"/>
      <c r="B255" s="8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8"/>
      <c r="R255" s="8"/>
      <c r="S255" s="1"/>
      <c r="T255" s="6">
        <f t="shared" ca="1" si="6"/>
        <v>0</v>
      </c>
      <c r="U255" s="1" t="str">
        <f t="shared" si="7"/>
        <v/>
      </c>
      <c r="V255" s="1"/>
      <c r="W255" s="1"/>
    </row>
    <row r="256" spans="1:23">
      <c r="A256" s="1"/>
      <c r="B256" s="8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8"/>
      <c r="R256" s="8"/>
      <c r="S256" s="1"/>
      <c r="T256" s="6">
        <f t="shared" ca="1" si="6"/>
        <v>0</v>
      </c>
      <c r="U256" s="1" t="str">
        <f t="shared" si="7"/>
        <v/>
      </c>
      <c r="V256" s="1"/>
      <c r="W256" s="1"/>
    </row>
    <row r="257" spans="1:23">
      <c r="A257" s="1"/>
      <c r="B257" s="8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8"/>
      <c r="R257" s="8"/>
      <c r="S257" s="1"/>
      <c r="T257" s="6">
        <f t="shared" ca="1" si="6"/>
        <v>0</v>
      </c>
      <c r="U257" s="1" t="str">
        <f t="shared" si="7"/>
        <v/>
      </c>
      <c r="V257" s="1"/>
      <c r="W257" s="1"/>
    </row>
    <row r="258" spans="1:23">
      <c r="A258" s="1"/>
      <c r="B258" s="8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8"/>
      <c r="R258" s="8"/>
      <c r="S258" s="1"/>
      <c r="T258" s="6">
        <f t="shared" ref="T258:T297" ca="1" si="8">IF(AND(S258&lt;&gt;"Clôturée",Q258&lt;&gt;"",TODAY()&gt;Q258),TODAY()-Q258,0)</f>
        <v>0</v>
      </c>
      <c r="U258" s="1" t="str">
        <f t="shared" ref="U258:U297" si="9">IF(M258="Critique","P1",IF(M258="Majeure","P2",IF(M258="Mineure","P3","")))</f>
        <v/>
      </c>
      <c r="V258" s="1"/>
      <c r="W258" s="1"/>
    </row>
    <row r="259" spans="1:23">
      <c r="A259" s="1"/>
      <c r="B259" s="8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8"/>
      <c r="R259" s="8"/>
      <c r="S259" s="1"/>
      <c r="T259" s="6">
        <f t="shared" ca="1" si="8"/>
        <v>0</v>
      </c>
      <c r="U259" s="1" t="str">
        <f t="shared" si="9"/>
        <v/>
      </c>
      <c r="V259" s="1"/>
      <c r="W259" s="1"/>
    </row>
    <row r="260" spans="1:23">
      <c r="A260" s="1"/>
      <c r="B260" s="8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8"/>
      <c r="R260" s="8"/>
      <c r="S260" s="1"/>
      <c r="T260" s="6">
        <f t="shared" ca="1" si="8"/>
        <v>0</v>
      </c>
      <c r="U260" s="1" t="str">
        <f t="shared" si="9"/>
        <v/>
      </c>
      <c r="V260" s="1"/>
      <c r="W260" s="1"/>
    </row>
    <row r="261" spans="1:23">
      <c r="A261" s="1"/>
      <c r="B261" s="8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8"/>
      <c r="R261" s="8"/>
      <c r="S261" s="1"/>
      <c r="T261" s="6">
        <f t="shared" ca="1" si="8"/>
        <v>0</v>
      </c>
      <c r="U261" s="1" t="str">
        <f t="shared" si="9"/>
        <v/>
      </c>
      <c r="V261" s="1"/>
      <c r="W261" s="1"/>
    </row>
    <row r="262" spans="1:23">
      <c r="A262" s="1"/>
      <c r="B262" s="8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8"/>
      <c r="R262" s="8"/>
      <c r="S262" s="1"/>
      <c r="T262" s="6">
        <f t="shared" ca="1" si="8"/>
        <v>0</v>
      </c>
      <c r="U262" s="1" t="str">
        <f t="shared" si="9"/>
        <v/>
      </c>
      <c r="V262" s="1"/>
      <c r="W262" s="1"/>
    </row>
    <row r="263" spans="1:23">
      <c r="A263" s="1"/>
      <c r="B263" s="8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8"/>
      <c r="R263" s="8"/>
      <c r="S263" s="1"/>
      <c r="T263" s="6">
        <f t="shared" ca="1" si="8"/>
        <v>0</v>
      </c>
      <c r="U263" s="1" t="str">
        <f t="shared" si="9"/>
        <v/>
      </c>
      <c r="V263" s="1"/>
      <c r="W263" s="1"/>
    </row>
    <row r="264" spans="1:23">
      <c r="A264" s="1"/>
      <c r="B264" s="8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8"/>
      <c r="R264" s="8"/>
      <c r="S264" s="1"/>
      <c r="T264" s="6">
        <f t="shared" ca="1" si="8"/>
        <v>0</v>
      </c>
      <c r="U264" s="1" t="str">
        <f t="shared" si="9"/>
        <v/>
      </c>
      <c r="V264" s="1"/>
      <c r="W264" s="1"/>
    </row>
    <row r="265" spans="1:23">
      <c r="A265" s="1"/>
      <c r="B265" s="8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8"/>
      <c r="R265" s="8"/>
      <c r="S265" s="1"/>
      <c r="T265" s="6">
        <f t="shared" ca="1" si="8"/>
        <v>0</v>
      </c>
      <c r="U265" s="1" t="str">
        <f t="shared" si="9"/>
        <v/>
      </c>
      <c r="V265" s="1"/>
      <c r="W265" s="1"/>
    </row>
    <row r="266" spans="1:23">
      <c r="A266" s="1"/>
      <c r="B266" s="8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8"/>
      <c r="R266" s="8"/>
      <c r="S266" s="1"/>
      <c r="T266" s="6">
        <f t="shared" ca="1" si="8"/>
        <v>0</v>
      </c>
      <c r="U266" s="1" t="str">
        <f t="shared" si="9"/>
        <v/>
      </c>
      <c r="V266" s="1"/>
      <c r="W266" s="1"/>
    </row>
    <row r="267" spans="1:23">
      <c r="A267" s="1"/>
      <c r="B267" s="8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8"/>
      <c r="R267" s="8"/>
      <c r="S267" s="1"/>
      <c r="T267" s="6">
        <f t="shared" ca="1" si="8"/>
        <v>0</v>
      </c>
      <c r="U267" s="1" t="str">
        <f t="shared" si="9"/>
        <v/>
      </c>
      <c r="V267" s="1"/>
      <c r="W267" s="1"/>
    </row>
    <row r="268" spans="1:23">
      <c r="A268" s="1"/>
      <c r="B268" s="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8"/>
      <c r="R268" s="8"/>
      <c r="S268" s="1"/>
      <c r="T268" s="6">
        <f t="shared" ca="1" si="8"/>
        <v>0</v>
      </c>
      <c r="U268" s="1" t="str">
        <f t="shared" si="9"/>
        <v/>
      </c>
      <c r="V268" s="1"/>
      <c r="W268" s="1"/>
    </row>
    <row r="269" spans="1:23">
      <c r="A269" s="1"/>
      <c r="B269" s="8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8"/>
      <c r="R269" s="8"/>
      <c r="S269" s="1"/>
      <c r="T269" s="6">
        <f t="shared" ca="1" si="8"/>
        <v>0</v>
      </c>
      <c r="U269" s="1" t="str">
        <f t="shared" si="9"/>
        <v/>
      </c>
      <c r="V269" s="1"/>
      <c r="W269" s="1"/>
    </row>
    <row r="270" spans="1:23">
      <c r="A270" s="1"/>
      <c r="B270" s="8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8"/>
      <c r="R270" s="8"/>
      <c r="S270" s="1"/>
      <c r="T270" s="6">
        <f t="shared" ca="1" si="8"/>
        <v>0</v>
      </c>
      <c r="U270" s="1" t="str">
        <f t="shared" si="9"/>
        <v/>
      </c>
      <c r="V270" s="1"/>
      <c r="W270" s="1"/>
    </row>
    <row r="271" spans="1:23">
      <c r="A271" s="1"/>
      <c r="B271" s="8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8"/>
      <c r="R271" s="8"/>
      <c r="S271" s="1"/>
      <c r="T271" s="6">
        <f t="shared" ca="1" si="8"/>
        <v>0</v>
      </c>
      <c r="U271" s="1" t="str">
        <f t="shared" si="9"/>
        <v/>
      </c>
      <c r="V271" s="1"/>
      <c r="W271" s="1"/>
    </row>
    <row r="272" spans="1:23">
      <c r="A272" s="1"/>
      <c r="B272" s="8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8"/>
      <c r="R272" s="8"/>
      <c r="S272" s="1"/>
      <c r="T272" s="6">
        <f t="shared" ca="1" si="8"/>
        <v>0</v>
      </c>
      <c r="U272" s="1" t="str">
        <f t="shared" si="9"/>
        <v/>
      </c>
      <c r="V272" s="1"/>
      <c r="W272" s="1"/>
    </row>
    <row r="273" spans="1:23">
      <c r="A273" s="1"/>
      <c r="B273" s="8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8"/>
      <c r="R273" s="8"/>
      <c r="S273" s="1"/>
      <c r="T273" s="6">
        <f t="shared" ca="1" si="8"/>
        <v>0</v>
      </c>
      <c r="U273" s="1" t="str">
        <f t="shared" si="9"/>
        <v/>
      </c>
      <c r="V273" s="1"/>
      <c r="W273" s="1"/>
    </row>
    <row r="274" spans="1:23">
      <c r="A274" s="1"/>
      <c r="B274" s="8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8"/>
      <c r="R274" s="8"/>
      <c r="S274" s="1"/>
      <c r="T274" s="6">
        <f t="shared" ca="1" si="8"/>
        <v>0</v>
      </c>
      <c r="U274" s="1" t="str">
        <f t="shared" si="9"/>
        <v/>
      </c>
      <c r="V274" s="1"/>
      <c r="W274" s="1"/>
    </row>
    <row r="275" spans="1:23">
      <c r="A275" s="1"/>
      <c r="B275" s="8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8"/>
      <c r="R275" s="8"/>
      <c r="S275" s="1"/>
      <c r="T275" s="6">
        <f t="shared" ca="1" si="8"/>
        <v>0</v>
      </c>
      <c r="U275" s="1" t="str">
        <f t="shared" si="9"/>
        <v/>
      </c>
      <c r="V275" s="1"/>
      <c r="W275" s="1"/>
    </row>
    <row r="276" spans="1:23">
      <c r="A276" s="1"/>
      <c r="B276" s="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8"/>
      <c r="R276" s="8"/>
      <c r="S276" s="1"/>
      <c r="T276" s="6">
        <f t="shared" ca="1" si="8"/>
        <v>0</v>
      </c>
      <c r="U276" s="1" t="str">
        <f t="shared" si="9"/>
        <v/>
      </c>
      <c r="V276" s="1"/>
      <c r="W276" s="1"/>
    </row>
    <row r="277" spans="1:23">
      <c r="A277" s="1"/>
      <c r="B277" s="8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8"/>
      <c r="R277" s="8"/>
      <c r="S277" s="1"/>
      <c r="T277" s="6">
        <f t="shared" ca="1" si="8"/>
        <v>0</v>
      </c>
      <c r="U277" s="1" t="str">
        <f t="shared" si="9"/>
        <v/>
      </c>
      <c r="V277" s="1"/>
      <c r="W277" s="1"/>
    </row>
    <row r="278" spans="1:23">
      <c r="A278" s="1"/>
      <c r="B278" s="8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8"/>
      <c r="R278" s="8"/>
      <c r="S278" s="1"/>
      <c r="T278" s="6">
        <f t="shared" ca="1" si="8"/>
        <v>0</v>
      </c>
      <c r="U278" s="1" t="str">
        <f t="shared" si="9"/>
        <v/>
      </c>
      <c r="V278" s="1"/>
      <c r="W278" s="1"/>
    </row>
    <row r="279" spans="1:23">
      <c r="A279" s="1"/>
      <c r="B279" s="8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8"/>
      <c r="R279" s="8"/>
      <c r="S279" s="1"/>
      <c r="T279" s="6">
        <f t="shared" ca="1" si="8"/>
        <v>0</v>
      </c>
      <c r="U279" s="1" t="str">
        <f t="shared" si="9"/>
        <v/>
      </c>
      <c r="V279" s="1"/>
      <c r="W279" s="1"/>
    </row>
    <row r="280" spans="1:23">
      <c r="A280" s="1"/>
      <c r="B280" s="8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8"/>
      <c r="R280" s="8"/>
      <c r="S280" s="1"/>
      <c r="T280" s="6">
        <f t="shared" ca="1" si="8"/>
        <v>0</v>
      </c>
      <c r="U280" s="1" t="str">
        <f t="shared" si="9"/>
        <v/>
      </c>
      <c r="V280" s="1"/>
      <c r="W280" s="1"/>
    </row>
    <row r="281" spans="1:23">
      <c r="A281" s="1"/>
      <c r="B281" s="8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8"/>
      <c r="R281" s="8"/>
      <c r="S281" s="1"/>
      <c r="T281" s="6">
        <f t="shared" ca="1" si="8"/>
        <v>0</v>
      </c>
      <c r="U281" s="1" t="str">
        <f t="shared" si="9"/>
        <v/>
      </c>
      <c r="V281" s="1"/>
      <c r="W281" s="1"/>
    </row>
    <row r="282" spans="1:23">
      <c r="A282" s="1"/>
      <c r="B282" s="8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8"/>
      <c r="R282" s="8"/>
      <c r="S282" s="1"/>
      <c r="T282" s="6">
        <f t="shared" ca="1" si="8"/>
        <v>0</v>
      </c>
      <c r="U282" s="1" t="str">
        <f t="shared" si="9"/>
        <v/>
      </c>
      <c r="V282" s="1"/>
      <c r="W282" s="1"/>
    </row>
    <row r="283" spans="1:23">
      <c r="A283" s="1"/>
      <c r="B283" s="8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8"/>
      <c r="R283" s="8"/>
      <c r="S283" s="1"/>
      <c r="T283" s="6">
        <f t="shared" ca="1" si="8"/>
        <v>0</v>
      </c>
      <c r="U283" s="1" t="str">
        <f t="shared" si="9"/>
        <v/>
      </c>
      <c r="V283" s="1"/>
      <c r="W283" s="1"/>
    </row>
    <row r="284" spans="1:23">
      <c r="A284" s="1"/>
      <c r="B284" s="8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8"/>
      <c r="R284" s="8"/>
      <c r="S284" s="1"/>
      <c r="T284" s="6">
        <f t="shared" ca="1" si="8"/>
        <v>0</v>
      </c>
      <c r="U284" s="1" t="str">
        <f t="shared" si="9"/>
        <v/>
      </c>
      <c r="V284" s="1"/>
      <c r="W284" s="1"/>
    </row>
    <row r="285" spans="1:23">
      <c r="A285" s="1"/>
      <c r="B285" s="8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8"/>
      <c r="R285" s="8"/>
      <c r="S285" s="1"/>
      <c r="T285" s="6">
        <f t="shared" ca="1" si="8"/>
        <v>0</v>
      </c>
      <c r="U285" s="1" t="str">
        <f t="shared" si="9"/>
        <v/>
      </c>
      <c r="V285" s="1"/>
      <c r="W285" s="1"/>
    </row>
    <row r="286" spans="1:23">
      <c r="A286" s="1"/>
      <c r="B286" s="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8"/>
      <c r="R286" s="8"/>
      <c r="S286" s="1"/>
      <c r="T286" s="6">
        <f t="shared" ca="1" si="8"/>
        <v>0</v>
      </c>
      <c r="U286" s="1" t="str">
        <f t="shared" si="9"/>
        <v/>
      </c>
      <c r="V286" s="1"/>
      <c r="W286" s="1"/>
    </row>
    <row r="287" spans="1:23">
      <c r="A287" s="1"/>
      <c r="B287" s="8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8"/>
      <c r="R287" s="8"/>
      <c r="S287" s="1"/>
      <c r="T287" s="6">
        <f t="shared" ca="1" si="8"/>
        <v>0</v>
      </c>
      <c r="U287" s="1" t="str">
        <f t="shared" si="9"/>
        <v/>
      </c>
      <c r="V287" s="1"/>
      <c r="W287" s="1"/>
    </row>
    <row r="288" spans="1:23">
      <c r="A288" s="1"/>
      <c r="B288" s="8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8"/>
      <c r="R288" s="8"/>
      <c r="S288" s="1"/>
      <c r="T288" s="6">
        <f t="shared" ca="1" si="8"/>
        <v>0</v>
      </c>
      <c r="U288" s="1" t="str">
        <f t="shared" si="9"/>
        <v/>
      </c>
      <c r="V288" s="1"/>
      <c r="W288" s="1"/>
    </row>
    <row r="289" spans="1:23">
      <c r="A289" s="1"/>
      <c r="B289" s="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8"/>
      <c r="R289" s="8"/>
      <c r="S289" s="1"/>
      <c r="T289" s="6">
        <f t="shared" ca="1" si="8"/>
        <v>0</v>
      </c>
      <c r="U289" s="1" t="str">
        <f t="shared" si="9"/>
        <v/>
      </c>
      <c r="V289" s="1"/>
      <c r="W289" s="1"/>
    </row>
    <row r="290" spans="1:23">
      <c r="A290" s="1"/>
      <c r="B290" s="8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8"/>
      <c r="R290" s="8"/>
      <c r="S290" s="1"/>
      <c r="T290" s="6">
        <f t="shared" ca="1" si="8"/>
        <v>0</v>
      </c>
      <c r="U290" s="1" t="str">
        <f t="shared" si="9"/>
        <v/>
      </c>
      <c r="V290" s="1"/>
      <c r="W290" s="1"/>
    </row>
    <row r="291" spans="1:23">
      <c r="A291" s="1"/>
      <c r="B291" s="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8"/>
      <c r="R291" s="8"/>
      <c r="S291" s="1"/>
      <c r="T291" s="6">
        <f t="shared" ca="1" si="8"/>
        <v>0</v>
      </c>
      <c r="U291" s="1" t="str">
        <f t="shared" si="9"/>
        <v/>
      </c>
      <c r="V291" s="1"/>
      <c r="W291" s="1"/>
    </row>
    <row r="292" spans="1:23">
      <c r="A292" s="1"/>
      <c r="B292" s="8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8"/>
      <c r="R292" s="8"/>
      <c r="S292" s="1"/>
      <c r="T292" s="6">
        <f t="shared" ca="1" si="8"/>
        <v>0</v>
      </c>
      <c r="U292" s="1" t="str">
        <f t="shared" si="9"/>
        <v/>
      </c>
      <c r="V292" s="1"/>
      <c r="W292" s="1"/>
    </row>
    <row r="293" spans="1:23">
      <c r="A293" s="1"/>
      <c r="B293" s="8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8"/>
      <c r="R293" s="8"/>
      <c r="S293" s="1"/>
      <c r="T293" s="6">
        <f t="shared" ca="1" si="8"/>
        <v>0</v>
      </c>
      <c r="U293" s="1" t="str">
        <f t="shared" si="9"/>
        <v/>
      </c>
      <c r="V293" s="1"/>
      <c r="W293" s="1"/>
    </row>
    <row r="294" spans="1:23">
      <c r="A294" s="1"/>
      <c r="B294" s="8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8"/>
      <c r="R294" s="8"/>
      <c r="S294" s="1"/>
      <c r="T294" s="6">
        <f t="shared" ca="1" si="8"/>
        <v>0</v>
      </c>
      <c r="U294" s="1" t="str">
        <f t="shared" si="9"/>
        <v/>
      </c>
      <c r="V294" s="1"/>
      <c r="W294" s="1"/>
    </row>
    <row r="295" spans="1:23">
      <c r="A295" s="1"/>
      <c r="B295" s="8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8"/>
      <c r="R295" s="8"/>
      <c r="S295" s="1"/>
      <c r="T295" s="6">
        <f t="shared" ca="1" si="8"/>
        <v>0</v>
      </c>
      <c r="U295" s="1" t="str">
        <f t="shared" si="9"/>
        <v/>
      </c>
      <c r="V295" s="1"/>
      <c r="W295" s="1"/>
    </row>
    <row r="296" spans="1:23">
      <c r="A296" s="1"/>
      <c r="B296" s="8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8"/>
      <c r="R296" s="8"/>
      <c r="S296" s="1"/>
      <c r="T296" s="6">
        <f t="shared" ca="1" si="8"/>
        <v>0</v>
      </c>
      <c r="U296" s="1" t="str">
        <f t="shared" si="9"/>
        <v/>
      </c>
      <c r="V296" s="1"/>
      <c r="W296" s="1"/>
    </row>
    <row r="297" spans="1:23">
      <c r="A297" s="1"/>
      <c r="B297" s="8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8"/>
      <c r="R297" s="8"/>
      <c r="S297" s="1"/>
      <c r="T297" s="6">
        <f t="shared" ca="1" si="8"/>
        <v>0</v>
      </c>
      <c r="U297" s="1" t="str">
        <f t="shared" si="9"/>
        <v/>
      </c>
      <c r="V297" s="1"/>
      <c r="W297" s="1"/>
    </row>
  </sheetData>
  <conditionalFormatting sqref="L2:L297">
    <cfRule type="expression" dxfId="27" priority="1">
      <formula>L2="Non conforme"</formula>
    </cfRule>
    <cfRule type="expression" dxfId="26" priority="2">
      <formula>L2="Conforme"</formula>
    </cfRule>
  </conditionalFormatting>
  <conditionalFormatting sqref="M2:M297">
    <cfRule type="expression" dxfId="25" priority="3">
      <formula>M2="Critique"</formula>
    </cfRule>
  </conditionalFormatting>
  <conditionalFormatting sqref="T2:T297">
    <cfRule type="cellIs" dxfId="24" priority="4" operator="greaterThan">
      <formula>0</formula>
    </cfRule>
  </conditionalFormatting>
  <dataValidations count="9">
    <dataValidation type="list" allowBlank="1" showErrorMessage="1" errorTitle="Valeur non autorisée" error="Veuillez choisir une valeur depuis la liste dynamique REF_AGENCES." sqref="C2:C1000" xr:uid="{00000000-0002-0000-0A00-000000000000}">
      <formula1>REF_AGENCES</formula1>
    </dataValidation>
    <dataValidation type="list" allowBlank="1" showErrorMessage="1" errorTitle="Valeur non autorisée" error="Veuillez choisir une valeur depuis la liste dynamique REF_CYCLES." sqref="D2:D1000" xr:uid="{00000000-0002-0000-0A00-000001000000}">
      <formula1>REF_CYCLES</formula1>
    </dataValidation>
    <dataValidation type="list" allowBlank="1" showErrorMessage="1" errorTitle="Valeur non autorisée" error="Veuillez choisir une valeur depuis la liste dynamique REF_FREQUENCES." sqref="H2:H1000" xr:uid="{00000000-0002-0000-0A00-000002000000}">
      <formula1>REF_FREQUENCES</formula1>
    </dataValidation>
    <dataValidation type="list" allowBlank="1" showErrorMessage="1" errorTitle="Valeur non autorisée" error="Veuillez choisir une valeur depuis la liste dynamique REF_RESPONSABLES." sqref="I2:I1000 P2:P1000" xr:uid="{00000000-0002-0000-0A00-000003000000}">
      <formula1>REF_RESPONSABLES</formula1>
    </dataValidation>
    <dataValidation type="list" allowBlank="1" showErrorMessage="1" errorTitle="Valeur non autorisée" error="Veuillez choisir une valeur depuis la liste dynamique REF_NIVEAUX_RISQUE." sqref="J2:J1000" xr:uid="{00000000-0002-0000-0A00-000004000000}">
      <formula1>REF_NIVEAUX_RISQUE</formula1>
    </dataValidation>
    <dataValidation type="list" allowBlank="1" showErrorMessage="1" errorTitle="Valeur non autorisée" error="Veuillez choisir une valeur depuis la liste dynamique REF_RESULTATS_CONTROLE." sqref="L2:L1000" xr:uid="{00000000-0002-0000-0A00-000005000000}">
      <formula1>REF_RESULTATS_CONTROLE</formula1>
    </dataValidation>
    <dataValidation type="list" allowBlank="1" showErrorMessage="1" errorTitle="Valeur non autorisée" error="Veuillez choisir une valeur depuis la liste dynamique REF_GRAVITES_ANOMALIE." sqref="M2:M1000" xr:uid="{00000000-0002-0000-0A00-000006000000}">
      <formula1>REF_GRAVITES_ANOMALIE</formula1>
    </dataValidation>
    <dataValidation type="list" allowBlank="1" showErrorMessage="1" errorTitle="Valeur non autorisée" error="Veuillez choisir une valeur depuis la liste dynamique REF_STATUTS_ACTION." sqref="S2:S1000" xr:uid="{00000000-0002-0000-0A00-000008000000}">
      <formula1>REF_STATUTS_ACTION</formula1>
    </dataValidation>
    <dataValidation type="list" allowBlank="1" showErrorMessage="1" errorTitle="Valeur non autorisée" error="Veuillez choisir une valeur depuis la liste dynamique REF_PRIORITES." sqref="U2:U1000" xr:uid="{00000000-0002-0000-0A00-000009000000}">
      <formula1>REF_PRIORITES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297"/>
  <sheetViews>
    <sheetView workbookViewId="0"/>
  </sheetViews>
  <sheetFormatPr baseColWidth="10" defaultColWidth="9" defaultRowHeight="14.25"/>
  <cols>
    <col min="1" max="2" width="14" customWidth="1"/>
    <col min="3" max="3" width="18" customWidth="1"/>
    <col min="4" max="4" width="28" customWidth="1"/>
    <col min="5" max="5" width="26" customWidth="1"/>
    <col min="6" max="6" width="42" customWidth="1"/>
    <col min="7" max="7" width="48" customWidth="1"/>
    <col min="8" max="8" width="16" customWidth="1"/>
    <col min="9" max="9" width="24" customWidth="1"/>
    <col min="10" max="10" width="14" customWidth="1"/>
    <col min="11" max="11" width="34" customWidth="1"/>
    <col min="12" max="12" width="18" customWidth="1"/>
    <col min="13" max="13" width="16" customWidth="1"/>
    <col min="14" max="14" width="42" customWidth="1"/>
    <col min="15" max="15" width="48" customWidth="1"/>
    <col min="16" max="16" width="22" customWidth="1"/>
    <col min="17" max="18" width="14" customWidth="1"/>
    <col min="19" max="19" width="16" customWidth="1"/>
    <col min="20" max="20" width="12" customWidth="1"/>
    <col min="21" max="21" width="10" customWidth="1"/>
    <col min="22" max="22" width="20" customWidth="1"/>
    <col min="23" max="23" width="36" customWidth="1"/>
  </cols>
  <sheetData>
    <row r="1" spans="1:23" ht="32.1" customHeight="1">
      <c r="A1" s="2" t="s">
        <v>39</v>
      </c>
      <c r="B1" s="2" t="s">
        <v>166</v>
      </c>
      <c r="C1" s="2" t="s">
        <v>167</v>
      </c>
      <c r="D1" s="2" t="s">
        <v>18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47</v>
      </c>
      <c r="N1" s="2" t="s">
        <v>176</v>
      </c>
      <c r="O1" s="2" t="s">
        <v>177</v>
      </c>
      <c r="P1" s="2" t="s">
        <v>178</v>
      </c>
      <c r="Q1" s="2" t="s">
        <v>179</v>
      </c>
      <c r="R1" s="2" t="s">
        <v>180</v>
      </c>
      <c r="S1" s="2" t="s">
        <v>181</v>
      </c>
      <c r="T1" s="2" t="s">
        <v>182</v>
      </c>
      <c r="U1" s="2" t="s">
        <v>183</v>
      </c>
      <c r="V1" s="2" t="s">
        <v>184</v>
      </c>
      <c r="W1" s="2" t="s">
        <v>185</v>
      </c>
    </row>
    <row r="2" spans="1:23" ht="28.5">
      <c r="A2" s="1" t="s">
        <v>355</v>
      </c>
      <c r="B2" s="8"/>
      <c r="C2" s="1"/>
      <c r="D2" s="1" t="s">
        <v>94</v>
      </c>
      <c r="E2" s="1" t="s">
        <v>356</v>
      </c>
      <c r="F2" s="1" t="s">
        <v>357</v>
      </c>
      <c r="G2" s="1" t="s">
        <v>358</v>
      </c>
      <c r="H2" s="1" t="s">
        <v>84</v>
      </c>
      <c r="I2" s="1" t="s">
        <v>208</v>
      </c>
      <c r="J2" s="1" t="s">
        <v>85</v>
      </c>
      <c r="K2" s="1" t="s">
        <v>359</v>
      </c>
      <c r="L2" s="1"/>
      <c r="M2" s="1" t="s">
        <v>61</v>
      </c>
      <c r="N2" s="1"/>
      <c r="O2" s="1"/>
      <c r="P2" s="1"/>
      <c r="Q2" s="8"/>
      <c r="R2" s="8"/>
      <c r="S2" s="1" t="s">
        <v>62</v>
      </c>
      <c r="T2" s="6">
        <f t="shared" ref="T2:T65" ca="1" si="0">IF(AND(S2&lt;&gt;"Clôturée",Q2&lt;&gt;"",TODAY()&gt;Q2),TODAY()-Q2,0)</f>
        <v>0</v>
      </c>
      <c r="U2" s="1" t="str">
        <f t="shared" ref="U2:U65" si="1">IF(M2="Critique","P1",IF(M2="Majeure","P2",IF(M2="Mineure","P3","")))</f>
        <v/>
      </c>
      <c r="V2" s="1" t="s">
        <v>360</v>
      </c>
      <c r="W2" s="1"/>
    </row>
    <row r="3" spans="1:23" ht="28.5">
      <c r="A3" s="1" t="s">
        <v>361</v>
      </c>
      <c r="B3" s="8"/>
      <c r="C3" s="1"/>
      <c r="D3" s="1" t="s">
        <v>94</v>
      </c>
      <c r="E3" s="1" t="s">
        <v>362</v>
      </c>
      <c r="F3" s="1" t="s">
        <v>363</v>
      </c>
      <c r="G3" s="1" t="s">
        <v>364</v>
      </c>
      <c r="H3" s="1" t="s">
        <v>84</v>
      </c>
      <c r="I3" s="1" t="s">
        <v>208</v>
      </c>
      <c r="J3" s="1" t="s">
        <v>85</v>
      </c>
      <c r="K3" s="1" t="s">
        <v>365</v>
      </c>
      <c r="L3" s="1"/>
      <c r="M3" s="1" t="s">
        <v>61</v>
      </c>
      <c r="N3" s="1"/>
      <c r="O3" s="1"/>
      <c r="P3" s="1"/>
      <c r="Q3" s="8"/>
      <c r="R3" s="8"/>
      <c r="S3" s="1" t="s">
        <v>62</v>
      </c>
      <c r="T3" s="6">
        <f t="shared" ca="1" si="0"/>
        <v>0</v>
      </c>
      <c r="U3" s="1" t="str">
        <f t="shared" si="1"/>
        <v/>
      </c>
      <c r="V3" s="1" t="s">
        <v>360</v>
      </c>
      <c r="W3" s="1"/>
    </row>
    <row r="4" spans="1:23" ht="28.5">
      <c r="A4" s="1" t="s">
        <v>366</v>
      </c>
      <c r="B4" s="8"/>
      <c r="C4" s="1"/>
      <c r="D4" s="1" t="s">
        <v>94</v>
      </c>
      <c r="E4" s="1" t="s">
        <v>367</v>
      </c>
      <c r="F4" s="1" t="s">
        <v>368</v>
      </c>
      <c r="G4" s="1" t="s">
        <v>369</v>
      </c>
      <c r="H4" s="1" t="s">
        <v>84</v>
      </c>
      <c r="I4" s="1" t="s">
        <v>208</v>
      </c>
      <c r="J4" s="1" t="s">
        <v>85</v>
      </c>
      <c r="K4" s="1" t="s">
        <v>370</v>
      </c>
      <c r="L4" s="1"/>
      <c r="M4" s="1" t="s">
        <v>61</v>
      </c>
      <c r="N4" s="1"/>
      <c r="O4" s="1"/>
      <c r="P4" s="1"/>
      <c r="Q4" s="8"/>
      <c r="R4" s="8"/>
      <c r="S4" s="1" t="s">
        <v>62</v>
      </c>
      <c r="T4" s="6">
        <f t="shared" ca="1" si="0"/>
        <v>0</v>
      </c>
      <c r="U4" s="1" t="str">
        <f t="shared" si="1"/>
        <v/>
      </c>
      <c r="V4" s="1" t="s">
        <v>360</v>
      </c>
      <c r="W4" s="1"/>
    </row>
    <row r="5" spans="1:23" ht="28.5">
      <c r="A5" s="1" t="s">
        <v>371</v>
      </c>
      <c r="B5" s="8"/>
      <c r="C5" s="1"/>
      <c r="D5" s="1" t="s">
        <v>94</v>
      </c>
      <c r="E5" s="1" t="s">
        <v>372</v>
      </c>
      <c r="F5" s="1" t="s">
        <v>373</v>
      </c>
      <c r="G5" s="1" t="s">
        <v>374</v>
      </c>
      <c r="H5" s="1" t="s">
        <v>84</v>
      </c>
      <c r="I5" s="1" t="s">
        <v>208</v>
      </c>
      <c r="J5" s="1" t="s">
        <v>85</v>
      </c>
      <c r="K5" s="1" t="s">
        <v>375</v>
      </c>
      <c r="L5" s="1"/>
      <c r="M5" s="1" t="s">
        <v>61</v>
      </c>
      <c r="N5" s="1"/>
      <c r="O5" s="1"/>
      <c r="P5" s="1"/>
      <c r="Q5" s="8"/>
      <c r="R5" s="8"/>
      <c r="S5" s="1" t="s">
        <v>62</v>
      </c>
      <c r="T5" s="6">
        <f t="shared" ca="1" si="0"/>
        <v>0</v>
      </c>
      <c r="U5" s="1" t="str">
        <f t="shared" si="1"/>
        <v/>
      </c>
      <c r="V5" s="1" t="s">
        <v>360</v>
      </c>
      <c r="W5" s="1"/>
    </row>
    <row r="6" spans="1:23" ht="28.5">
      <c r="A6" s="1" t="s">
        <v>376</v>
      </c>
      <c r="B6" s="8"/>
      <c r="C6" s="1"/>
      <c r="D6" s="1" t="s">
        <v>94</v>
      </c>
      <c r="E6" s="1" t="s">
        <v>377</v>
      </c>
      <c r="F6" s="1" t="s">
        <v>378</v>
      </c>
      <c r="G6" s="1" t="s">
        <v>379</v>
      </c>
      <c r="H6" s="1" t="s">
        <v>84</v>
      </c>
      <c r="I6" s="1" t="s">
        <v>208</v>
      </c>
      <c r="J6" s="1" t="s">
        <v>85</v>
      </c>
      <c r="K6" s="1" t="s">
        <v>380</v>
      </c>
      <c r="L6" s="1"/>
      <c r="M6" s="1" t="s">
        <v>61</v>
      </c>
      <c r="N6" s="1"/>
      <c r="O6" s="1"/>
      <c r="P6" s="1"/>
      <c r="Q6" s="8"/>
      <c r="R6" s="8"/>
      <c r="S6" s="1" t="s">
        <v>62</v>
      </c>
      <c r="T6" s="6">
        <f t="shared" ca="1" si="0"/>
        <v>0</v>
      </c>
      <c r="U6" s="1" t="str">
        <f t="shared" si="1"/>
        <v/>
      </c>
      <c r="V6" s="1" t="s">
        <v>360</v>
      </c>
      <c r="W6" s="1"/>
    </row>
    <row r="7" spans="1:23" ht="28.5">
      <c r="A7" s="1" t="s">
        <v>381</v>
      </c>
      <c r="B7" s="8"/>
      <c r="C7" s="1"/>
      <c r="D7" s="1" t="s">
        <v>94</v>
      </c>
      <c r="E7" s="1" t="s">
        <v>382</v>
      </c>
      <c r="F7" s="1" t="s">
        <v>383</v>
      </c>
      <c r="G7" s="1" t="s">
        <v>384</v>
      </c>
      <c r="H7" s="1" t="s">
        <v>84</v>
      </c>
      <c r="I7" s="1" t="s">
        <v>208</v>
      </c>
      <c r="J7" s="1" t="s">
        <v>85</v>
      </c>
      <c r="K7" s="1" t="s">
        <v>385</v>
      </c>
      <c r="L7" s="1"/>
      <c r="M7" s="1" t="s">
        <v>61</v>
      </c>
      <c r="N7" s="1"/>
      <c r="O7" s="1"/>
      <c r="P7" s="1"/>
      <c r="Q7" s="8"/>
      <c r="R7" s="8"/>
      <c r="S7" s="1" t="s">
        <v>62</v>
      </c>
      <c r="T7" s="6">
        <f t="shared" ca="1" si="0"/>
        <v>0</v>
      </c>
      <c r="U7" s="1" t="str">
        <f t="shared" si="1"/>
        <v/>
      </c>
      <c r="V7" s="1" t="s">
        <v>360</v>
      </c>
      <c r="W7" s="1"/>
    </row>
    <row r="8" spans="1:23" ht="28.5">
      <c r="A8" s="1" t="s">
        <v>386</v>
      </c>
      <c r="B8" s="8"/>
      <c r="C8" s="1"/>
      <c r="D8" s="1" t="s">
        <v>94</v>
      </c>
      <c r="E8" s="1" t="s">
        <v>387</v>
      </c>
      <c r="F8" s="1" t="s">
        <v>388</v>
      </c>
      <c r="G8" s="1" t="s">
        <v>389</v>
      </c>
      <c r="H8" s="1" t="s">
        <v>84</v>
      </c>
      <c r="I8" s="1" t="s">
        <v>208</v>
      </c>
      <c r="J8" s="1" t="s">
        <v>85</v>
      </c>
      <c r="K8" s="1" t="s">
        <v>390</v>
      </c>
      <c r="L8" s="1"/>
      <c r="M8" s="1" t="s">
        <v>61</v>
      </c>
      <c r="N8" s="1"/>
      <c r="O8" s="1"/>
      <c r="P8" s="1"/>
      <c r="Q8" s="8"/>
      <c r="R8" s="8"/>
      <c r="S8" s="1" t="s">
        <v>62</v>
      </c>
      <c r="T8" s="6">
        <f t="shared" ca="1" si="0"/>
        <v>0</v>
      </c>
      <c r="U8" s="1" t="str">
        <f t="shared" si="1"/>
        <v/>
      </c>
      <c r="V8" s="1" t="s">
        <v>360</v>
      </c>
      <c r="W8" s="1"/>
    </row>
    <row r="9" spans="1:23">
      <c r="A9" s="1"/>
      <c r="B9" s="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8"/>
      <c r="R9" s="8"/>
      <c r="S9" s="1"/>
      <c r="T9" s="6">
        <f t="shared" ca="1" si="0"/>
        <v>0</v>
      </c>
      <c r="U9" s="1" t="str">
        <f t="shared" si="1"/>
        <v/>
      </c>
      <c r="V9" s="1"/>
      <c r="W9" s="1"/>
    </row>
    <row r="10" spans="1:23">
      <c r="A10" s="1"/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8"/>
      <c r="R10" s="8"/>
      <c r="S10" s="1"/>
      <c r="T10" s="6">
        <f t="shared" ca="1" si="0"/>
        <v>0</v>
      </c>
      <c r="U10" s="1" t="str">
        <f t="shared" si="1"/>
        <v/>
      </c>
      <c r="V10" s="1"/>
      <c r="W10" s="1"/>
    </row>
    <row r="11" spans="1:23">
      <c r="A11" s="1"/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8"/>
      <c r="R11" s="8"/>
      <c r="S11" s="1"/>
      <c r="T11" s="6">
        <f t="shared" ca="1" si="0"/>
        <v>0</v>
      </c>
      <c r="U11" s="1" t="str">
        <f t="shared" si="1"/>
        <v/>
      </c>
      <c r="V11" s="1"/>
      <c r="W11" s="1"/>
    </row>
    <row r="12" spans="1:23">
      <c r="A12" s="1"/>
      <c r="B12" s="8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8"/>
      <c r="R12" s="8"/>
      <c r="S12" s="1"/>
      <c r="T12" s="6">
        <f t="shared" ca="1" si="0"/>
        <v>0</v>
      </c>
      <c r="U12" s="1" t="str">
        <f t="shared" si="1"/>
        <v/>
      </c>
      <c r="V12" s="1"/>
      <c r="W12" s="1"/>
    </row>
    <row r="13" spans="1:23">
      <c r="A13" s="1"/>
      <c r="B13" s="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8"/>
      <c r="R13" s="8"/>
      <c r="S13" s="1"/>
      <c r="T13" s="6">
        <f t="shared" ca="1" si="0"/>
        <v>0</v>
      </c>
      <c r="U13" s="1" t="str">
        <f t="shared" si="1"/>
        <v/>
      </c>
      <c r="V13" s="1"/>
      <c r="W13" s="1"/>
    </row>
    <row r="14" spans="1:23">
      <c r="A14" s="1"/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8"/>
      <c r="R14" s="8"/>
      <c r="S14" s="1"/>
      <c r="T14" s="6">
        <f t="shared" ca="1" si="0"/>
        <v>0</v>
      </c>
      <c r="U14" s="1" t="str">
        <f t="shared" si="1"/>
        <v/>
      </c>
      <c r="V14" s="1"/>
      <c r="W14" s="1"/>
    </row>
    <row r="15" spans="1:23">
      <c r="A15" s="1"/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8"/>
      <c r="R15" s="8"/>
      <c r="S15" s="1"/>
      <c r="T15" s="6">
        <f t="shared" ca="1" si="0"/>
        <v>0</v>
      </c>
      <c r="U15" s="1" t="str">
        <f t="shared" si="1"/>
        <v/>
      </c>
      <c r="V15" s="1"/>
      <c r="W15" s="1"/>
    </row>
    <row r="16" spans="1:23">
      <c r="A16" s="1"/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8"/>
      <c r="R16" s="8"/>
      <c r="S16" s="1"/>
      <c r="T16" s="6">
        <f t="shared" ca="1" si="0"/>
        <v>0</v>
      </c>
      <c r="U16" s="1" t="str">
        <f t="shared" si="1"/>
        <v/>
      </c>
      <c r="V16" s="1"/>
      <c r="W16" s="1"/>
    </row>
    <row r="17" spans="1:23">
      <c r="A17" s="1"/>
      <c r="B17" s="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8"/>
      <c r="R17" s="8"/>
      <c r="S17" s="1"/>
      <c r="T17" s="6">
        <f t="shared" ca="1" si="0"/>
        <v>0</v>
      </c>
      <c r="U17" s="1" t="str">
        <f t="shared" si="1"/>
        <v/>
      </c>
      <c r="V17" s="1"/>
      <c r="W17" s="1"/>
    </row>
    <row r="18" spans="1:23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8"/>
      <c r="R18" s="8"/>
      <c r="S18" s="1"/>
      <c r="T18" s="6">
        <f t="shared" ca="1" si="0"/>
        <v>0</v>
      </c>
      <c r="U18" s="1" t="str">
        <f t="shared" si="1"/>
        <v/>
      </c>
      <c r="V18" s="1"/>
      <c r="W18" s="1"/>
    </row>
    <row r="19" spans="1:23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8"/>
      <c r="R19" s="8"/>
      <c r="S19" s="1"/>
      <c r="T19" s="6">
        <f t="shared" ca="1" si="0"/>
        <v>0</v>
      </c>
      <c r="U19" s="1" t="str">
        <f t="shared" si="1"/>
        <v/>
      </c>
      <c r="V19" s="1"/>
      <c r="W19" s="1"/>
    </row>
    <row r="20" spans="1:23">
      <c r="A20" s="1"/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8"/>
      <c r="R20" s="8"/>
      <c r="S20" s="1"/>
      <c r="T20" s="6">
        <f t="shared" ca="1" si="0"/>
        <v>0</v>
      </c>
      <c r="U20" s="1" t="str">
        <f t="shared" si="1"/>
        <v/>
      </c>
      <c r="V20" s="1"/>
      <c r="W20" s="1"/>
    </row>
    <row r="21" spans="1:23">
      <c r="A21" s="1"/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8"/>
      <c r="R21" s="8"/>
      <c r="S21" s="1"/>
      <c r="T21" s="6">
        <f t="shared" ca="1" si="0"/>
        <v>0</v>
      </c>
      <c r="U21" s="1" t="str">
        <f t="shared" si="1"/>
        <v/>
      </c>
      <c r="V21" s="1"/>
      <c r="W21" s="1"/>
    </row>
    <row r="22" spans="1:23">
      <c r="A22" s="1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8"/>
      <c r="R22" s="8"/>
      <c r="S22" s="1"/>
      <c r="T22" s="6">
        <f t="shared" ca="1" si="0"/>
        <v>0</v>
      </c>
      <c r="U22" s="1" t="str">
        <f t="shared" si="1"/>
        <v/>
      </c>
      <c r="V22" s="1"/>
      <c r="W22" s="1"/>
    </row>
    <row r="23" spans="1:23">
      <c r="A23" s="1"/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8"/>
      <c r="R23" s="8"/>
      <c r="S23" s="1"/>
      <c r="T23" s="6">
        <f t="shared" ca="1" si="0"/>
        <v>0</v>
      </c>
      <c r="U23" s="1" t="str">
        <f t="shared" si="1"/>
        <v/>
      </c>
      <c r="V23" s="1"/>
      <c r="W23" s="1"/>
    </row>
    <row r="24" spans="1:23">
      <c r="A24" s="1"/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8"/>
      <c r="R24" s="8"/>
      <c r="S24" s="1"/>
      <c r="T24" s="6">
        <f t="shared" ca="1" si="0"/>
        <v>0</v>
      </c>
      <c r="U24" s="1" t="str">
        <f t="shared" si="1"/>
        <v/>
      </c>
      <c r="V24" s="1"/>
      <c r="W24" s="1"/>
    </row>
    <row r="25" spans="1:23">
      <c r="A25" s="1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8"/>
      <c r="R25" s="8"/>
      <c r="S25" s="1"/>
      <c r="T25" s="6">
        <f t="shared" ca="1" si="0"/>
        <v>0</v>
      </c>
      <c r="U25" s="1" t="str">
        <f t="shared" si="1"/>
        <v/>
      </c>
      <c r="V25" s="1"/>
      <c r="W25" s="1"/>
    </row>
    <row r="26" spans="1:23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8"/>
      <c r="R26" s="8"/>
      <c r="S26" s="1"/>
      <c r="T26" s="6">
        <f t="shared" ca="1" si="0"/>
        <v>0</v>
      </c>
      <c r="U26" s="1" t="str">
        <f t="shared" si="1"/>
        <v/>
      </c>
      <c r="V26" s="1"/>
      <c r="W26" s="1"/>
    </row>
    <row r="27" spans="1:23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8"/>
      <c r="R27" s="8"/>
      <c r="S27" s="1"/>
      <c r="T27" s="6">
        <f t="shared" ca="1" si="0"/>
        <v>0</v>
      </c>
      <c r="U27" s="1" t="str">
        <f t="shared" si="1"/>
        <v/>
      </c>
      <c r="V27" s="1"/>
      <c r="W27" s="1"/>
    </row>
    <row r="28" spans="1:23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8"/>
      <c r="R28" s="8"/>
      <c r="S28" s="1"/>
      <c r="T28" s="6">
        <f t="shared" ca="1" si="0"/>
        <v>0</v>
      </c>
      <c r="U28" s="1" t="str">
        <f t="shared" si="1"/>
        <v/>
      </c>
      <c r="V28" s="1"/>
      <c r="W28" s="1"/>
    </row>
    <row r="29" spans="1:23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8"/>
      <c r="R29" s="8"/>
      <c r="S29" s="1"/>
      <c r="T29" s="6">
        <f t="shared" ca="1" si="0"/>
        <v>0</v>
      </c>
      <c r="U29" s="1" t="str">
        <f t="shared" si="1"/>
        <v/>
      </c>
      <c r="V29" s="1"/>
      <c r="W29" s="1"/>
    </row>
    <row r="30" spans="1:23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8"/>
      <c r="R30" s="8"/>
      <c r="S30" s="1"/>
      <c r="T30" s="6">
        <f t="shared" ca="1" si="0"/>
        <v>0</v>
      </c>
      <c r="U30" s="1" t="str">
        <f t="shared" si="1"/>
        <v/>
      </c>
      <c r="V30" s="1"/>
      <c r="W30" s="1"/>
    </row>
    <row r="31" spans="1:23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8"/>
      <c r="R31" s="8"/>
      <c r="S31" s="1"/>
      <c r="T31" s="6">
        <f t="shared" ca="1" si="0"/>
        <v>0</v>
      </c>
      <c r="U31" s="1" t="str">
        <f t="shared" si="1"/>
        <v/>
      </c>
      <c r="V31" s="1"/>
      <c r="W31" s="1"/>
    </row>
    <row r="32" spans="1:23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8"/>
      <c r="R32" s="8"/>
      <c r="S32" s="1"/>
      <c r="T32" s="6">
        <f t="shared" ca="1" si="0"/>
        <v>0</v>
      </c>
      <c r="U32" s="1" t="str">
        <f t="shared" si="1"/>
        <v/>
      </c>
      <c r="V32" s="1"/>
      <c r="W32" s="1"/>
    </row>
    <row r="33" spans="1:23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8"/>
      <c r="R33" s="8"/>
      <c r="S33" s="1"/>
      <c r="T33" s="6">
        <f t="shared" ca="1" si="0"/>
        <v>0</v>
      </c>
      <c r="U33" s="1" t="str">
        <f t="shared" si="1"/>
        <v/>
      </c>
      <c r="V33" s="1"/>
      <c r="W33" s="1"/>
    </row>
    <row r="34" spans="1:23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8"/>
      <c r="R34" s="8"/>
      <c r="S34" s="1"/>
      <c r="T34" s="6">
        <f t="shared" ca="1" si="0"/>
        <v>0</v>
      </c>
      <c r="U34" s="1" t="str">
        <f t="shared" si="1"/>
        <v/>
      </c>
      <c r="V34" s="1"/>
      <c r="W34" s="1"/>
    </row>
    <row r="35" spans="1:23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8"/>
      <c r="R35" s="8"/>
      <c r="S35" s="1"/>
      <c r="T35" s="6">
        <f t="shared" ca="1" si="0"/>
        <v>0</v>
      </c>
      <c r="U35" s="1" t="str">
        <f t="shared" si="1"/>
        <v/>
      </c>
      <c r="V35" s="1"/>
      <c r="W35" s="1"/>
    </row>
    <row r="36" spans="1:23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8"/>
      <c r="R36" s="8"/>
      <c r="S36" s="1"/>
      <c r="T36" s="6">
        <f t="shared" ca="1" si="0"/>
        <v>0</v>
      </c>
      <c r="U36" s="1" t="str">
        <f t="shared" si="1"/>
        <v/>
      </c>
      <c r="V36" s="1"/>
      <c r="W36" s="1"/>
    </row>
    <row r="37" spans="1:23">
      <c r="A37" s="1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8"/>
      <c r="R37" s="8"/>
      <c r="S37" s="1"/>
      <c r="T37" s="6">
        <f t="shared" ca="1" si="0"/>
        <v>0</v>
      </c>
      <c r="U37" s="1" t="str">
        <f t="shared" si="1"/>
        <v/>
      </c>
      <c r="V37" s="1"/>
      <c r="W37" s="1"/>
    </row>
    <row r="38" spans="1:23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8"/>
      <c r="R38" s="8"/>
      <c r="S38" s="1"/>
      <c r="T38" s="6">
        <f t="shared" ca="1" si="0"/>
        <v>0</v>
      </c>
      <c r="U38" s="1" t="str">
        <f t="shared" si="1"/>
        <v/>
      </c>
      <c r="V38" s="1"/>
      <c r="W38" s="1"/>
    </row>
    <row r="39" spans="1:23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8"/>
      <c r="R39" s="8"/>
      <c r="S39" s="1"/>
      <c r="T39" s="6">
        <f t="shared" ca="1" si="0"/>
        <v>0</v>
      </c>
      <c r="U39" s="1" t="str">
        <f t="shared" si="1"/>
        <v/>
      </c>
      <c r="V39" s="1"/>
      <c r="W39" s="1"/>
    </row>
    <row r="40" spans="1:23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1"/>
      <c r="T40" s="6">
        <f t="shared" ca="1" si="0"/>
        <v>0</v>
      </c>
      <c r="U40" s="1" t="str">
        <f t="shared" si="1"/>
        <v/>
      </c>
      <c r="V40" s="1"/>
      <c r="W40" s="1"/>
    </row>
    <row r="41" spans="1:23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1"/>
      <c r="T41" s="6">
        <f t="shared" ca="1" si="0"/>
        <v>0</v>
      </c>
      <c r="U41" s="1" t="str">
        <f t="shared" si="1"/>
        <v/>
      </c>
      <c r="V41" s="1"/>
      <c r="W41" s="1"/>
    </row>
    <row r="42" spans="1:23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1"/>
      <c r="T42" s="6">
        <f t="shared" ca="1" si="0"/>
        <v>0</v>
      </c>
      <c r="U42" s="1" t="str">
        <f t="shared" si="1"/>
        <v/>
      </c>
      <c r="V42" s="1"/>
      <c r="W42" s="1"/>
    </row>
    <row r="43" spans="1:23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1"/>
      <c r="T43" s="6">
        <f t="shared" ca="1" si="0"/>
        <v>0</v>
      </c>
      <c r="U43" s="1" t="str">
        <f t="shared" si="1"/>
        <v/>
      </c>
      <c r="V43" s="1"/>
      <c r="W43" s="1"/>
    </row>
    <row r="44" spans="1:23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1"/>
      <c r="T44" s="6">
        <f t="shared" ca="1" si="0"/>
        <v>0</v>
      </c>
      <c r="U44" s="1" t="str">
        <f t="shared" si="1"/>
        <v/>
      </c>
      <c r="V44" s="1"/>
      <c r="W44" s="1"/>
    </row>
    <row r="45" spans="1:23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1"/>
      <c r="T45" s="6">
        <f t="shared" ca="1" si="0"/>
        <v>0</v>
      </c>
      <c r="U45" s="1" t="str">
        <f t="shared" si="1"/>
        <v/>
      </c>
      <c r="V45" s="1"/>
      <c r="W45" s="1"/>
    </row>
    <row r="46" spans="1:23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8"/>
      <c r="R46" s="8"/>
      <c r="S46" s="1"/>
      <c r="T46" s="6">
        <f t="shared" ca="1" si="0"/>
        <v>0</v>
      </c>
      <c r="U46" s="1" t="str">
        <f t="shared" si="1"/>
        <v/>
      </c>
      <c r="V46" s="1"/>
      <c r="W46" s="1"/>
    </row>
    <row r="47" spans="1:23">
      <c r="A47" s="1"/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8"/>
      <c r="R47" s="8"/>
      <c r="S47" s="1"/>
      <c r="T47" s="6">
        <f t="shared" ca="1" si="0"/>
        <v>0</v>
      </c>
      <c r="U47" s="1" t="str">
        <f t="shared" si="1"/>
        <v/>
      </c>
      <c r="V47" s="1"/>
      <c r="W47" s="1"/>
    </row>
    <row r="48" spans="1:23">
      <c r="A48" s="1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8"/>
      <c r="R48" s="8"/>
      <c r="S48" s="1"/>
      <c r="T48" s="6">
        <f t="shared" ca="1" si="0"/>
        <v>0</v>
      </c>
      <c r="U48" s="1" t="str">
        <f t="shared" si="1"/>
        <v/>
      </c>
      <c r="V48" s="1"/>
      <c r="W48" s="1"/>
    </row>
    <row r="49" spans="1:23">
      <c r="A49" s="1"/>
      <c r="B49" s="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8"/>
      <c r="R49" s="8"/>
      <c r="S49" s="1"/>
      <c r="T49" s="6">
        <f t="shared" ca="1" si="0"/>
        <v>0</v>
      </c>
      <c r="U49" s="1" t="str">
        <f t="shared" si="1"/>
        <v/>
      </c>
      <c r="V49" s="1"/>
      <c r="W49" s="1"/>
    </row>
    <row r="50" spans="1:23">
      <c r="A50" s="1"/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8"/>
      <c r="R50" s="8"/>
      <c r="S50" s="1"/>
      <c r="T50" s="6">
        <f t="shared" ca="1" si="0"/>
        <v>0</v>
      </c>
      <c r="U50" s="1" t="str">
        <f t="shared" si="1"/>
        <v/>
      </c>
      <c r="V50" s="1"/>
      <c r="W50" s="1"/>
    </row>
    <row r="51" spans="1:23">
      <c r="A51" s="1"/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8"/>
      <c r="R51" s="8"/>
      <c r="S51" s="1"/>
      <c r="T51" s="6">
        <f t="shared" ca="1" si="0"/>
        <v>0</v>
      </c>
      <c r="U51" s="1" t="str">
        <f t="shared" si="1"/>
        <v/>
      </c>
      <c r="V51" s="1"/>
      <c r="W51" s="1"/>
    </row>
    <row r="52" spans="1:23">
      <c r="A52" s="1"/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8"/>
      <c r="R52" s="8"/>
      <c r="S52" s="1"/>
      <c r="T52" s="6">
        <f t="shared" ca="1" si="0"/>
        <v>0</v>
      </c>
      <c r="U52" s="1" t="str">
        <f t="shared" si="1"/>
        <v/>
      </c>
      <c r="V52" s="1"/>
      <c r="W52" s="1"/>
    </row>
    <row r="53" spans="1:23">
      <c r="A53" s="1"/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8"/>
      <c r="R53" s="8"/>
      <c r="S53" s="1"/>
      <c r="T53" s="6">
        <f t="shared" ca="1" si="0"/>
        <v>0</v>
      </c>
      <c r="U53" s="1" t="str">
        <f t="shared" si="1"/>
        <v/>
      </c>
      <c r="V53" s="1"/>
      <c r="W53" s="1"/>
    </row>
    <row r="54" spans="1:23">
      <c r="A54" s="1"/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8"/>
      <c r="R54" s="8"/>
      <c r="S54" s="1"/>
      <c r="T54" s="6">
        <f t="shared" ca="1" si="0"/>
        <v>0</v>
      </c>
      <c r="U54" s="1" t="str">
        <f t="shared" si="1"/>
        <v/>
      </c>
      <c r="V54" s="1"/>
      <c r="W54" s="1"/>
    </row>
    <row r="55" spans="1:23">
      <c r="A55" s="1"/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8"/>
      <c r="R55" s="8"/>
      <c r="S55" s="1"/>
      <c r="T55" s="6">
        <f t="shared" ca="1" si="0"/>
        <v>0</v>
      </c>
      <c r="U55" s="1" t="str">
        <f t="shared" si="1"/>
        <v/>
      </c>
      <c r="V55" s="1"/>
      <c r="W55" s="1"/>
    </row>
    <row r="56" spans="1:23">
      <c r="A56" s="1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8"/>
      <c r="R56" s="8"/>
      <c r="S56" s="1"/>
      <c r="T56" s="6">
        <f t="shared" ca="1" si="0"/>
        <v>0</v>
      </c>
      <c r="U56" s="1" t="str">
        <f t="shared" si="1"/>
        <v/>
      </c>
      <c r="V56" s="1"/>
      <c r="W56" s="1"/>
    </row>
    <row r="57" spans="1:23">
      <c r="A57" s="1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8"/>
      <c r="R57" s="8"/>
      <c r="S57" s="1"/>
      <c r="T57" s="6">
        <f t="shared" ca="1" si="0"/>
        <v>0</v>
      </c>
      <c r="U57" s="1" t="str">
        <f t="shared" si="1"/>
        <v/>
      </c>
      <c r="V57" s="1"/>
      <c r="W57" s="1"/>
    </row>
    <row r="58" spans="1:23">
      <c r="A58" s="1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8"/>
      <c r="R58" s="8"/>
      <c r="S58" s="1"/>
      <c r="T58" s="6">
        <f t="shared" ca="1" si="0"/>
        <v>0</v>
      </c>
      <c r="U58" s="1" t="str">
        <f t="shared" si="1"/>
        <v/>
      </c>
      <c r="V58" s="1"/>
      <c r="W58" s="1"/>
    </row>
    <row r="59" spans="1:23">
      <c r="A59" s="1"/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8"/>
      <c r="R59" s="8"/>
      <c r="S59" s="1"/>
      <c r="T59" s="6">
        <f t="shared" ca="1" si="0"/>
        <v>0</v>
      </c>
      <c r="U59" s="1" t="str">
        <f t="shared" si="1"/>
        <v/>
      </c>
      <c r="V59" s="1"/>
      <c r="W59" s="1"/>
    </row>
    <row r="60" spans="1:23">
      <c r="A60" s="1"/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8"/>
      <c r="R60" s="8"/>
      <c r="S60" s="1"/>
      <c r="T60" s="6">
        <f t="shared" ca="1" si="0"/>
        <v>0</v>
      </c>
      <c r="U60" s="1" t="str">
        <f t="shared" si="1"/>
        <v/>
      </c>
      <c r="V60" s="1"/>
      <c r="W60" s="1"/>
    </row>
    <row r="61" spans="1:23">
      <c r="A61" s="1"/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8"/>
      <c r="R61" s="8"/>
      <c r="S61" s="1"/>
      <c r="T61" s="6">
        <f t="shared" ca="1" si="0"/>
        <v>0</v>
      </c>
      <c r="U61" s="1" t="str">
        <f t="shared" si="1"/>
        <v/>
      </c>
      <c r="V61" s="1"/>
      <c r="W61" s="1"/>
    </row>
    <row r="62" spans="1:23">
      <c r="A62" s="1"/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8"/>
      <c r="R62" s="8"/>
      <c r="S62" s="1"/>
      <c r="T62" s="6">
        <f t="shared" ca="1" si="0"/>
        <v>0</v>
      </c>
      <c r="U62" s="1" t="str">
        <f t="shared" si="1"/>
        <v/>
      </c>
      <c r="V62" s="1"/>
      <c r="W62" s="1"/>
    </row>
    <row r="63" spans="1:23">
      <c r="A63" s="1"/>
      <c r="B63" s="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8"/>
      <c r="R63" s="8"/>
      <c r="S63" s="1"/>
      <c r="T63" s="6">
        <f t="shared" ca="1" si="0"/>
        <v>0</v>
      </c>
      <c r="U63" s="1" t="str">
        <f t="shared" si="1"/>
        <v/>
      </c>
      <c r="V63" s="1"/>
      <c r="W63" s="1"/>
    </row>
    <row r="64" spans="1:23">
      <c r="A64" s="1"/>
      <c r="B64" s="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8"/>
      <c r="R64" s="8"/>
      <c r="S64" s="1"/>
      <c r="T64" s="6">
        <f t="shared" ca="1" si="0"/>
        <v>0</v>
      </c>
      <c r="U64" s="1" t="str">
        <f t="shared" si="1"/>
        <v/>
      </c>
      <c r="V64" s="1"/>
      <c r="W64" s="1"/>
    </row>
    <row r="65" spans="1:23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8"/>
      <c r="R65" s="8"/>
      <c r="S65" s="1"/>
      <c r="T65" s="6">
        <f t="shared" ca="1" si="0"/>
        <v>0</v>
      </c>
      <c r="U65" s="1" t="str">
        <f t="shared" si="1"/>
        <v/>
      </c>
      <c r="V65" s="1"/>
      <c r="W65" s="1"/>
    </row>
    <row r="66" spans="1:23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8"/>
      <c r="R66" s="8"/>
      <c r="S66" s="1"/>
      <c r="T66" s="6">
        <f t="shared" ref="T66:T129" ca="1" si="2">IF(AND(S66&lt;&gt;"Clôturée",Q66&lt;&gt;"",TODAY()&gt;Q66),TODAY()-Q66,0)</f>
        <v>0</v>
      </c>
      <c r="U66" s="1" t="str">
        <f t="shared" ref="U66:U129" si="3">IF(M66="Critique","P1",IF(M66="Majeure","P2",IF(M66="Mineure","P3","")))</f>
        <v/>
      </c>
      <c r="V66" s="1"/>
      <c r="W66" s="1"/>
    </row>
    <row r="67" spans="1:23">
      <c r="A67" s="1"/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8"/>
      <c r="R67" s="8"/>
      <c r="S67" s="1"/>
      <c r="T67" s="6">
        <f t="shared" ca="1" si="2"/>
        <v>0</v>
      </c>
      <c r="U67" s="1" t="str">
        <f t="shared" si="3"/>
        <v/>
      </c>
      <c r="V67" s="1"/>
      <c r="W67" s="1"/>
    </row>
    <row r="68" spans="1:23">
      <c r="A68" s="1"/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8"/>
      <c r="R68" s="8"/>
      <c r="S68" s="1"/>
      <c r="T68" s="6">
        <f t="shared" ca="1" si="2"/>
        <v>0</v>
      </c>
      <c r="U68" s="1" t="str">
        <f t="shared" si="3"/>
        <v/>
      </c>
      <c r="V68" s="1"/>
      <c r="W68" s="1"/>
    </row>
    <row r="69" spans="1:23">
      <c r="A69" s="1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8"/>
      <c r="R69" s="8"/>
      <c r="S69" s="1"/>
      <c r="T69" s="6">
        <f t="shared" ca="1" si="2"/>
        <v>0</v>
      </c>
      <c r="U69" s="1" t="str">
        <f t="shared" si="3"/>
        <v/>
      </c>
      <c r="V69" s="1"/>
      <c r="W69" s="1"/>
    </row>
    <row r="70" spans="1:23">
      <c r="A70" s="1"/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8"/>
      <c r="R70" s="8"/>
      <c r="S70" s="1"/>
      <c r="T70" s="6">
        <f t="shared" ca="1" si="2"/>
        <v>0</v>
      </c>
      <c r="U70" s="1" t="str">
        <f t="shared" si="3"/>
        <v/>
      </c>
      <c r="V70" s="1"/>
      <c r="W70" s="1"/>
    </row>
    <row r="71" spans="1:23">
      <c r="A71" s="1"/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8"/>
      <c r="R71" s="8"/>
      <c r="S71" s="1"/>
      <c r="T71" s="6">
        <f t="shared" ca="1" si="2"/>
        <v>0</v>
      </c>
      <c r="U71" s="1" t="str">
        <f t="shared" si="3"/>
        <v/>
      </c>
      <c r="V71" s="1"/>
      <c r="W71" s="1"/>
    </row>
    <row r="72" spans="1:23">
      <c r="A72" s="1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8"/>
      <c r="R72" s="8"/>
      <c r="S72" s="1"/>
      <c r="T72" s="6">
        <f t="shared" ca="1" si="2"/>
        <v>0</v>
      </c>
      <c r="U72" s="1" t="str">
        <f t="shared" si="3"/>
        <v/>
      </c>
      <c r="V72" s="1"/>
      <c r="W72" s="1"/>
    </row>
    <row r="73" spans="1:23">
      <c r="A73" s="1"/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8"/>
      <c r="R73" s="8"/>
      <c r="S73" s="1"/>
      <c r="T73" s="6">
        <f t="shared" ca="1" si="2"/>
        <v>0</v>
      </c>
      <c r="U73" s="1" t="str">
        <f t="shared" si="3"/>
        <v/>
      </c>
      <c r="V73" s="1"/>
      <c r="W73" s="1"/>
    </row>
    <row r="74" spans="1:23">
      <c r="A74" s="1"/>
      <c r="B74" s="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8"/>
      <c r="R74" s="8"/>
      <c r="S74" s="1"/>
      <c r="T74" s="6">
        <f t="shared" ca="1" si="2"/>
        <v>0</v>
      </c>
      <c r="U74" s="1" t="str">
        <f t="shared" si="3"/>
        <v/>
      </c>
      <c r="V74" s="1"/>
      <c r="W74" s="1"/>
    </row>
    <row r="75" spans="1:23">
      <c r="A75" s="1"/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8"/>
      <c r="R75" s="8"/>
      <c r="S75" s="1"/>
      <c r="T75" s="6">
        <f t="shared" ca="1" si="2"/>
        <v>0</v>
      </c>
      <c r="U75" s="1" t="str">
        <f t="shared" si="3"/>
        <v/>
      </c>
      <c r="V75" s="1"/>
      <c r="W75" s="1"/>
    </row>
    <row r="76" spans="1:23">
      <c r="A76" s="1"/>
      <c r="B76" s="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8"/>
      <c r="R76" s="8"/>
      <c r="S76" s="1"/>
      <c r="T76" s="6">
        <f t="shared" ca="1" si="2"/>
        <v>0</v>
      </c>
      <c r="U76" s="1" t="str">
        <f t="shared" si="3"/>
        <v/>
      </c>
      <c r="V76" s="1"/>
      <c r="W76" s="1"/>
    </row>
    <row r="77" spans="1:23">
      <c r="A77" s="1"/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8"/>
      <c r="R77" s="8"/>
      <c r="S77" s="1"/>
      <c r="T77" s="6">
        <f t="shared" ca="1" si="2"/>
        <v>0</v>
      </c>
      <c r="U77" s="1" t="str">
        <f t="shared" si="3"/>
        <v/>
      </c>
      <c r="V77" s="1"/>
      <c r="W77" s="1"/>
    </row>
    <row r="78" spans="1:23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8"/>
      <c r="R78" s="8"/>
      <c r="S78" s="1"/>
      <c r="T78" s="6">
        <f t="shared" ca="1" si="2"/>
        <v>0</v>
      </c>
      <c r="U78" s="1" t="str">
        <f t="shared" si="3"/>
        <v/>
      </c>
      <c r="V78" s="1"/>
      <c r="W78" s="1"/>
    </row>
    <row r="79" spans="1:23">
      <c r="A79" s="1"/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8"/>
      <c r="R79" s="8"/>
      <c r="S79" s="1"/>
      <c r="T79" s="6">
        <f t="shared" ca="1" si="2"/>
        <v>0</v>
      </c>
      <c r="U79" s="1" t="str">
        <f t="shared" si="3"/>
        <v/>
      </c>
      <c r="V79" s="1"/>
      <c r="W79" s="1"/>
    </row>
    <row r="80" spans="1:23">
      <c r="A80" s="1"/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8"/>
      <c r="R80" s="8"/>
      <c r="S80" s="1"/>
      <c r="T80" s="6">
        <f t="shared" ca="1" si="2"/>
        <v>0</v>
      </c>
      <c r="U80" s="1" t="str">
        <f t="shared" si="3"/>
        <v/>
      </c>
      <c r="V80" s="1"/>
      <c r="W80" s="1"/>
    </row>
    <row r="81" spans="1:23">
      <c r="A81" s="1"/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8"/>
      <c r="R81" s="8"/>
      <c r="S81" s="1"/>
      <c r="T81" s="6">
        <f t="shared" ca="1" si="2"/>
        <v>0</v>
      </c>
      <c r="U81" s="1" t="str">
        <f t="shared" si="3"/>
        <v/>
      </c>
      <c r="V81" s="1"/>
      <c r="W81" s="1"/>
    </row>
    <row r="82" spans="1:23">
      <c r="A82" s="1"/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8"/>
      <c r="R82" s="8"/>
      <c r="S82" s="1"/>
      <c r="T82" s="6">
        <f t="shared" ca="1" si="2"/>
        <v>0</v>
      </c>
      <c r="U82" s="1" t="str">
        <f t="shared" si="3"/>
        <v/>
      </c>
      <c r="V82" s="1"/>
      <c r="W82" s="1"/>
    </row>
    <row r="83" spans="1:23">
      <c r="A83" s="1"/>
      <c r="B83" s="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8"/>
      <c r="R83" s="8"/>
      <c r="S83" s="1"/>
      <c r="T83" s="6">
        <f t="shared" ca="1" si="2"/>
        <v>0</v>
      </c>
      <c r="U83" s="1" t="str">
        <f t="shared" si="3"/>
        <v/>
      </c>
      <c r="V83" s="1"/>
      <c r="W83" s="1"/>
    </row>
    <row r="84" spans="1:23">
      <c r="A84" s="1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8"/>
      <c r="R84" s="8"/>
      <c r="S84" s="1"/>
      <c r="T84" s="6">
        <f t="shared" ca="1" si="2"/>
        <v>0</v>
      </c>
      <c r="U84" s="1" t="str">
        <f t="shared" si="3"/>
        <v/>
      </c>
      <c r="V84" s="1"/>
      <c r="W84" s="1"/>
    </row>
    <row r="85" spans="1:23">
      <c r="A85" s="1"/>
      <c r="B85" s="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8"/>
      <c r="R85" s="8"/>
      <c r="S85" s="1"/>
      <c r="T85" s="6">
        <f t="shared" ca="1" si="2"/>
        <v>0</v>
      </c>
      <c r="U85" s="1" t="str">
        <f t="shared" si="3"/>
        <v/>
      </c>
      <c r="V85" s="1"/>
      <c r="W85" s="1"/>
    </row>
    <row r="86" spans="1:23">
      <c r="A86" s="1"/>
      <c r="B86" s="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8"/>
      <c r="R86" s="8"/>
      <c r="S86" s="1"/>
      <c r="T86" s="6">
        <f t="shared" ca="1" si="2"/>
        <v>0</v>
      </c>
      <c r="U86" s="1" t="str">
        <f t="shared" si="3"/>
        <v/>
      </c>
      <c r="V86" s="1"/>
      <c r="W86" s="1"/>
    </row>
    <row r="87" spans="1:23">
      <c r="A87" s="1"/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8"/>
      <c r="R87" s="8"/>
      <c r="S87" s="1"/>
      <c r="T87" s="6">
        <f t="shared" ca="1" si="2"/>
        <v>0</v>
      </c>
      <c r="U87" s="1" t="str">
        <f t="shared" si="3"/>
        <v/>
      </c>
      <c r="V87" s="1"/>
      <c r="W87" s="1"/>
    </row>
    <row r="88" spans="1:23">
      <c r="A88" s="1"/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8"/>
      <c r="R88" s="8"/>
      <c r="S88" s="1"/>
      <c r="T88" s="6">
        <f t="shared" ca="1" si="2"/>
        <v>0</v>
      </c>
      <c r="U88" s="1" t="str">
        <f t="shared" si="3"/>
        <v/>
      </c>
      <c r="V88" s="1"/>
      <c r="W88" s="1"/>
    </row>
    <row r="89" spans="1:23">
      <c r="A89" s="1"/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8"/>
      <c r="R89" s="8"/>
      <c r="S89" s="1"/>
      <c r="T89" s="6">
        <f t="shared" ca="1" si="2"/>
        <v>0</v>
      </c>
      <c r="U89" s="1" t="str">
        <f t="shared" si="3"/>
        <v/>
      </c>
      <c r="V89" s="1"/>
      <c r="W89" s="1"/>
    </row>
    <row r="90" spans="1:23">
      <c r="A90" s="1"/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8"/>
      <c r="R90" s="8"/>
      <c r="S90" s="1"/>
      <c r="T90" s="6">
        <f t="shared" ca="1" si="2"/>
        <v>0</v>
      </c>
      <c r="U90" s="1" t="str">
        <f t="shared" si="3"/>
        <v/>
      </c>
      <c r="V90" s="1"/>
      <c r="W90" s="1"/>
    </row>
    <row r="91" spans="1:23">
      <c r="A91" s="1"/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8"/>
      <c r="R91" s="8"/>
      <c r="S91" s="1"/>
      <c r="T91" s="6">
        <f t="shared" ca="1" si="2"/>
        <v>0</v>
      </c>
      <c r="U91" s="1" t="str">
        <f t="shared" si="3"/>
        <v/>
      </c>
      <c r="V91" s="1"/>
      <c r="W91" s="1"/>
    </row>
    <row r="92" spans="1:23">
      <c r="A92" s="1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8"/>
      <c r="R92" s="8"/>
      <c r="S92" s="1"/>
      <c r="T92" s="6">
        <f t="shared" ca="1" si="2"/>
        <v>0</v>
      </c>
      <c r="U92" s="1" t="str">
        <f t="shared" si="3"/>
        <v/>
      </c>
      <c r="V92" s="1"/>
      <c r="W92" s="1"/>
    </row>
    <row r="93" spans="1:23">
      <c r="A93" s="1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8"/>
      <c r="R93" s="8"/>
      <c r="S93" s="1"/>
      <c r="T93" s="6">
        <f t="shared" ca="1" si="2"/>
        <v>0</v>
      </c>
      <c r="U93" s="1" t="str">
        <f t="shared" si="3"/>
        <v/>
      </c>
      <c r="V93" s="1"/>
      <c r="W93" s="1"/>
    </row>
    <row r="94" spans="1:23">
      <c r="A94" s="1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8"/>
      <c r="R94" s="8"/>
      <c r="S94" s="1"/>
      <c r="T94" s="6">
        <f t="shared" ca="1" si="2"/>
        <v>0</v>
      </c>
      <c r="U94" s="1" t="str">
        <f t="shared" si="3"/>
        <v/>
      </c>
      <c r="V94" s="1"/>
      <c r="W94" s="1"/>
    </row>
    <row r="95" spans="1:23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8"/>
      <c r="R95" s="8"/>
      <c r="S95" s="1"/>
      <c r="T95" s="6">
        <f t="shared" ca="1" si="2"/>
        <v>0</v>
      </c>
      <c r="U95" s="1" t="str">
        <f t="shared" si="3"/>
        <v/>
      </c>
      <c r="V95" s="1"/>
      <c r="W95" s="1"/>
    </row>
    <row r="96" spans="1:23">
      <c r="A96" s="1"/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8"/>
      <c r="R96" s="8"/>
      <c r="S96" s="1"/>
      <c r="T96" s="6">
        <f t="shared" ca="1" si="2"/>
        <v>0</v>
      </c>
      <c r="U96" s="1" t="str">
        <f t="shared" si="3"/>
        <v/>
      </c>
      <c r="V96" s="1"/>
      <c r="W96" s="1"/>
    </row>
    <row r="97" spans="1:23">
      <c r="A97" s="1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8"/>
      <c r="R97" s="8"/>
      <c r="S97" s="1"/>
      <c r="T97" s="6">
        <f t="shared" ca="1" si="2"/>
        <v>0</v>
      </c>
      <c r="U97" s="1" t="str">
        <f t="shared" si="3"/>
        <v/>
      </c>
      <c r="V97" s="1"/>
      <c r="W97" s="1"/>
    </row>
    <row r="98" spans="1:23">
      <c r="A98" s="1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8"/>
      <c r="R98" s="8"/>
      <c r="S98" s="1"/>
      <c r="T98" s="6">
        <f t="shared" ca="1" si="2"/>
        <v>0</v>
      </c>
      <c r="U98" s="1" t="str">
        <f t="shared" si="3"/>
        <v/>
      </c>
      <c r="V98" s="1"/>
      <c r="W98" s="1"/>
    </row>
    <row r="99" spans="1:23">
      <c r="A99" s="1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8"/>
      <c r="R99" s="8"/>
      <c r="S99" s="1"/>
      <c r="T99" s="6">
        <f t="shared" ca="1" si="2"/>
        <v>0</v>
      </c>
      <c r="U99" s="1" t="str">
        <f t="shared" si="3"/>
        <v/>
      </c>
      <c r="V99" s="1"/>
      <c r="W99" s="1"/>
    </row>
    <row r="100" spans="1:23">
      <c r="A100" s="1"/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8"/>
      <c r="R100" s="8"/>
      <c r="S100" s="1"/>
      <c r="T100" s="6">
        <f t="shared" ca="1" si="2"/>
        <v>0</v>
      </c>
      <c r="U100" s="1" t="str">
        <f t="shared" si="3"/>
        <v/>
      </c>
      <c r="V100" s="1"/>
      <c r="W100" s="1"/>
    </row>
    <row r="101" spans="1:23">
      <c r="A101" s="1"/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8"/>
      <c r="R101" s="8"/>
      <c r="S101" s="1"/>
      <c r="T101" s="6">
        <f t="shared" ca="1" si="2"/>
        <v>0</v>
      </c>
      <c r="U101" s="1" t="str">
        <f t="shared" si="3"/>
        <v/>
      </c>
      <c r="V101" s="1"/>
      <c r="W101" s="1"/>
    </row>
    <row r="102" spans="1:23">
      <c r="A102" s="1"/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8"/>
      <c r="R102" s="8"/>
      <c r="S102" s="1"/>
      <c r="T102" s="6">
        <f t="shared" ca="1" si="2"/>
        <v>0</v>
      </c>
      <c r="U102" s="1" t="str">
        <f t="shared" si="3"/>
        <v/>
      </c>
      <c r="V102" s="1"/>
      <c r="W102" s="1"/>
    </row>
    <row r="103" spans="1:23">
      <c r="A103" s="1"/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8"/>
      <c r="R103" s="8"/>
      <c r="S103" s="1"/>
      <c r="T103" s="6">
        <f t="shared" ca="1" si="2"/>
        <v>0</v>
      </c>
      <c r="U103" s="1" t="str">
        <f t="shared" si="3"/>
        <v/>
      </c>
      <c r="V103" s="1"/>
      <c r="W103" s="1"/>
    </row>
    <row r="104" spans="1:23">
      <c r="A104" s="1"/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8"/>
      <c r="R104" s="8"/>
      <c r="S104" s="1"/>
      <c r="T104" s="6">
        <f t="shared" ca="1" si="2"/>
        <v>0</v>
      </c>
      <c r="U104" s="1" t="str">
        <f t="shared" si="3"/>
        <v/>
      </c>
      <c r="V104" s="1"/>
      <c r="W104" s="1"/>
    </row>
    <row r="105" spans="1:23">
      <c r="A105" s="1"/>
      <c r="B105" s="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8"/>
      <c r="R105" s="8"/>
      <c r="S105" s="1"/>
      <c r="T105" s="6">
        <f t="shared" ca="1" si="2"/>
        <v>0</v>
      </c>
      <c r="U105" s="1" t="str">
        <f t="shared" si="3"/>
        <v/>
      </c>
      <c r="V105" s="1"/>
      <c r="W105" s="1"/>
    </row>
    <row r="106" spans="1:23">
      <c r="A106" s="1"/>
      <c r="B106" s="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8"/>
      <c r="R106" s="8"/>
      <c r="S106" s="1"/>
      <c r="T106" s="6">
        <f t="shared" ca="1" si="2"/>
        <v>0</v>
      </c>
      <c r="U106" s="1" t="str">
        <f t="shared" si="3"/>
        <v/>
      </c>
      <c r="V106" s="1"/>
      <c r="W106" s="1"/>
    </row>
    <row r="107" spans="1:23">
      <c r="A107" s="1"/>
      <c r="B107" s="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8"/>
      <c r="R107" s="8"/>
      <c r="S107" s="1"/>
      <c r="T107" s="6">
        <f t="shared" ca="1" si="2"/>
        <v>0</v>
      </c>
      <c r="U107" s="1" t="str">
        <f t="shared" si="3"/>
        <v/>
      </c>
      <c r="V107" s="1"/>
      <c r="W107" s="1"/>
    </row>
    <row r="108" spans="1:23">
      <c r="A108" s="1"/>
      <c r="B108" s="8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8"/>
      <c r="R108" s="8"/>
      <c r="S108" s="1"/>
      <c r="T108" s="6">
        <f t="shared" ca="1" si="2"/>
        <v>0</v>
      </c>
      <c r="U108" s="1" t="str">
        <f t="shared" si="3"/>
        <v/>
      </c>
      <c r="V108" s="1"/>
      <c r="W108" s="1"/>
    </row>
    <row r="109" spans="1:23">
      <c r="A109" s="1"/>
      <c r="B109" s="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8"/>
      <c r="R109" s="8"/>
      <c r="S109" s="1"/>
      <c r="T109" s="6">
        <f t="shared" ca="1" si="2"/>
        <v>0</v>
      </c>
      <c r="U109" s="1" t="str">
        <f t="shared" si="3"/>
        <v/>
      </c>
      <c r="V109" s="1"/>
      <c r="W109" s="1"/>
    </row>
    <row r="110" spans="1:23">
      <c r="A110" s="1"/>
      <c r="B110" s="8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8"/>
      <c r="R110" s="8"/>
      <c r="S110" s="1"/>
      <c r="T110" s="6">
        <f t="shared" ca="1" si="2"/>
        <v>0</v>
      </c>
      <c r="U110" s="1" t="str">
        <f t="shared" si="3"/>
        <v/>
      </c>
      <c r="V110" s="1"/>
      <c r="W110" s="1"/>
    </row>
    <row r="111" spans="1:23">
      <c r="A111" s="1"/>
      <c r="B111" s="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8"/>
      <c r="R111" s="8"/>
      <c r="S111" s="1"/>
      <c r="T111" s="6">
        <f t="shared" ca="1" si="2"/>
        <v>0</v>
      </c>
      <c r="U111" s="1" t="str">
        <f t="shared" si="3"/>
        <v/>
      </c>
      <c r="V111" s="1"/>
      <c r="W111" s="1"/>
    </row>
    <row r="112" spans="1:23">
      <c r="A112" s="1"/>
      <c r="B112" s="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8"/>
      <c r="R112" s="8"/>
      <c r="S112" s="1"/>
      <c r="T112" s="6">
        <f t="shared" ca="1" si="2"/>
        <v>0</v>
      </c>
      <c r="U112" s="1" t="str">
        <f t="shared" si="3"/>
        <v/>
      </c>
      <c r="V112" s="1"/>
      <c r="W112" s="1"/>
    </row>
    <row r="113" spans="1:23">
      <c r="A113" s="1"/>
      <c r="B113" s="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8"/>
      <c r="R113" s="8"/>
      <c r="S113" s="1"/>
      <c r="T113" s="6">
        <f t="shared" ca="1" si="2"/>
        <v>0</v>
      </c>
      <c r="U113" s="1" t="str">
        <f t="shared" si="3"/>
        <v/>
      </c>
      <c r="V113" s="1"/>
      <c r="W113" s="1"/>
    </row>
    <row r="114" spans="1:23">
      <c r="A114" s="1"/>
      <c r="B114" s="8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8"/>
      <c r="R114" s="8"/>
      <c r="S114" s="1"/>
      <c r="T114" s="6">
        <f t="shared" ca="1" si="2"/>
        <v>0</v>
      </c>
      <c r="U114" s="1" t="str">
        <f t="shared" si="3"/>
        <v/>
      </c>
      <c r="V114" s="1"/>
      <c r="W114" s="1"/>
    </row>
    <row r="115" spans="1:23">
      <c r="A115" s="1"/>
      <c r="B115" s="8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8"/>
      <c r="R115" s="8"/>
      <c r="S115" s="1"/>
      <c r="T115" s="6">
        <f t="shared" ca="1" si="2"/>
        <v>0</v>
      </c>
      <c r="U115" s="1" t="str">
        <f t="shared" si="3"/>
        <v/>
      </c>
      <c r="V115" s="1"/>
      <c r="W115" s="1"/>
    </row>
    <row r="116" spans="1:23">
      <c r="A116" s="1"/>
      <c r="B116" s="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8"/>
      <c r="R116" s="8"/>
      <c r="S116" s="1"/>
      <c r="T116" s="6">
        <f t="shared" ca="1" si="2"/>
        <v>0</v>
      </c>
      <c r="U116" s="1" t="str">
        <f t="shared" si="3"/>
        <v/>
      </c>
      <c r="V116" s="1"/>
      <c r="W116" s="1"/>
    </row>
    <row r="117" spans="1:23">
      <c r="A117" s="1"/>
      <c r="B117" s="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8"/>
      <c r="R117" s="8"/>
      <c r="S117" s="1"/>
      <c r="T117" s="6">
        <f t="shared" ca="1" si="2"/>
        <v>0</v>
      </c>
      <c r="U117" s="1" t="str">
        <f t="shared" si="3"/>
        <v/>
      </c>
      <c r="V117" s="1"/>
      <c r="W117" s="1"/>
    </row>
    <row r="118" spans="1:23">
      <c r="A118" s="1"/>
      <c r="B118" s="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8"/>
      <c r="R118" s="8"/>
      <c r="S118" s="1"/>
      <c r="T118" s="6">
        <f t="shared" ca="1" si="2"/>
        <v>0</v>
      </c>
      <c r="U118" s="1" t="str">
        <f t="shared" si="3"/>
        <v/>
      </c>
      <c r="V118" s="1"/>
      <c r="W118" s="1"/>
    </row>
    <row r="119" spans="1:23">
      <c r="A119" s="1"/>
      <c r="B119" s="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8"/>
      <c r="R119" s="8"/>
      <c r="S119" s="1"/>
      <c r="T119" s="6">
        <f t="shared" ca="1" si="2"/>
        <v>0</v>
      </c>
      <c r="U119" s="1" t="str">
        <f t="shared" si="3"/>
        <v/>
      </c>
      <c r="V119" s="1"/>
      <c r="W119" s="1"/>
    </row>
    <row r="120" spans="1:23">
      <c r="A120" s="1"/>
      <c r="B120" s="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8"/>
      <c r="R120" s="8"/>
      <c r="S120" s="1"/>
      <c r="T120" s="6">
        <f t="shared" ca="1" si="2"/>
        <v>0</v>
      </c>
      <c r="U120" s="1" t="str">
        <f t="shared" si="3"/>
        <v/>
      </c>
      <c r="V120" s="1"/>
      <c r="W120" s="1"/>
    </row>
    <row r="121" spans="1:23">
      <c r="A121" s="1"/>
      <c r="B121" s="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8"/>
      <c r="R121" s="8"/>
      <c r="S121" s="1"/>
      <c r="T121" s="6">
        <f t="shared" ca="1" si="2"/>
        <v>0</v>
      </c>
      <c r="U121" s="1" t="str">
        <f t="shared" si="3"/>
        <v/>
      </c>
      <c r="V121" s="1"/>
      <c r="W121" s="1"/>
    </row>
    <row r="122" spans="1:23">
      <c r="A122" s="1"/>
      <c r="B122" s="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8"/>
      <c r="R122" s="8"/>
      <c r="S122" s="1"/>
      <c r="T122" s="6">
        <f t="shared" ca="1" si="2"/>
        <v>0</v>
      </c>
      <c r="U122" s="1" t="str">
        <f t="shared" si="3"/>
        <v/>
      </c>
      <c r="V122" s="1"/>
      <c r="W122" s="1"/>
    </row>
    <row r="123" spans="1:23">
      <c r="A123" s="1"/>
      <c r="B123" s="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8"/>
      <c r="R123" s="8"/>
      <c r="S123" s="1"/>
      <c r="T123" s="6">
        <f t="shared" ca="1" si="2"/>
        <v>0</v>
      </c>
      <c r="U123" s="1" t="str">
        <f t="shared" si="3"/>
        <v/>
      </c>
      <c r="V123" s="1"/>
      <c r="W123" s="1"/>
    </row>
    <row r="124" spans="1:23">
      <c r="A124" s="1"/>
      <c r="B124" s="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8"/>
      <c r="R124" s="8"/>
      <c r="S124" s="1"/>
      <c r="T124" s="6">
        <f t="shared" ca="1" si="2"/>
        <v>0</v>
      </c>
      <c r="U124" s="1" t="str">
        <f t="shared" si="3"/>
        <v/>
      </c>
      <c r="V124" s="1"/>
      <c r="W124" s="1"/>
    </row>
    <row r="125" spans="1:23">
      <c r="A125" s="1"/>
      <c r="B125" s="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8"/>
      <c r="R125" s="8"/>
      <c r="S125" s="1"/>
      <c r="T125" s="6">
        <f t="shared" ca="1" si="2"/>
        <v>0</v>
      </c>
      <c r="U125" s="1" t="str">
        <f t="shared" si="3"/>
        <v/>
      </c>
      <c r="V125" s="1"/>
      <c r="W125" s="1"/>
    </row>
    <row r="126" spans="1:23">
      <c r="A126" s="1"/>
      <c r="B126" s="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8"/>
      <c r="R126" s="8"/>
      <c r="S126" s="1"/>
      <c r="T126" s="6">
        <f t="shared" ca="1" si="2"/>
        <v>0</v>
      </c>
      <c r="U126" s="1" t="str">
        <f t="shared" si="3"/>
        <v/>
      </c>
      <c r="V126" s="1"/>
      <c r="W126" s="1"/>
    </row>
    <row r="127" spans="1:23">
      <c r="A127" s="1"/>
      <c r="B127" s="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8"/>
      <c r="R127" s="8"/>
      <c r="S127" s="1"/>
      <c r="T127" s="6">
        <f t="shared" ca="1" si="2"/>
        <v>0</v>
      </c>
      <c r="U127" s="1" t="str">
        <f t="shared" si="3"/>
        <v/>
      </c>
      <c r="V127" s="1"/>
      <c r="W127" s="1"/>
    </row>
    <row r="128" spans="1:23">
      <c r="A128" s="1"/>
      <c r="B128" s="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8"/>
      <c r="R128" s="8"/>
      <c r="S128" s="1"/>
      <c r="T128" s="6">
        <f t="shared" ca="1" si="2"/>
        <v>0</v>
      </c>
      <c r="U128" s="1" t="str">
        <f t="shared" si="3"/>
        <v/>
      </c>
      <c r="V128" s="1"/>
      <c r="W128" s="1"/>
    </row>
    <row r="129" spans="1:23">
      <c r="A129" s="1"/>
      <c r="B129" s="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8"/>
      <c r="R129" s="8"/>
      <c r="S129" s="1"/>
      <c r="T129" s="6">
        <f t="shared" ca="1" si="2"/>
        <v>0</v>
      </c>
      <c r="U129" s="1" t="str">
        <f t="shared" si="3"/>
        <v/>
      </c>
      <c r="V129" s="1"/>
      <c r="W129" s="1"/>
    </row>
    <row r="130" spans="1:23">
      <c r="A130" s="1"/>
      <c r="B130" s="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8"/>
      <c r="R130" s="8"/>
      <c r="S130" s="1"/>
      <c r="T130" s="6">
        <f t="shared" ref="T130:T193" ca="1" si="4">IF(AND(S130&lt;&gt;"Clôturée",Q130&lt;&gt;"",TODAY()&gt;Q130),TODAY()-Q130,0)</f>
        <v>0</v>
      </c>
      <c r="U130" s="1" t="str">
        <f t="shared" ref="U130:U193" si="5">IF(M130="Critique","P1",IF(M130="Majeure","P2",IF(M130="Mineure","P3","")))</f>
        <v/>
      </c>
      <c r="V130" s="1"/>
      <c r="W130" s="1"/>
    </row>
    <row r="131" spans="1:23">
      <c r="A131" s="1"/>
      <c r="B131" s="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8"/>
      <c r="R131" s="8"/>
      <c r="S131" s="1"/>
      <c r="T131" s="6">
        <f t="shared" ca="1" si="4"/>
        <v>0</v>
      </c>
      <c r="U131" s="1" t="str">
        <f t="shared" si="5"/>
        <v/>
      </c>
      <c r="V131" s="1"/>
      <c r="W131" s="1"/>
    </row>
    <row r="132" spans="1:23">
      <c r="A132" s="1"/>
      <c r="B132" s="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8"/>
      <c r="R132" s="8"/>
      <c r="S132" s="1"/>
      <c r="T132" s="6">
        <f t="shared" ca="1" si="4"/>
        <v>0</v>
      </c>
      <c r="U132" s="1" t="str">
        <f t="shared" si="5"/>
        <v/>
      </c>
      <c r="V132" s="1"/>
      <c r="W132" s="1"/>
    </row>
    <row r="133" spans="1:23">
      <c r="A133" s="1"/>
      <c r="B133" s="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8"/>
      <c r="R133" s="8"/>
      <c r="S133" s="1"/>
      <c r="T133" s="6">
        <f t="shared" ca="1" si="4"/>
        <v>0</v>
      </c>
      <c r="U133" s="1" t="str">
        <f t="shared" si="5"/>
        <v/>
      </c>
      <c r="V133" s="1"/>
      <c r="W133" s="1"/>
    </row>
    <row r="134" spans="1:23">
      <c r="A134" s="1"/>
      <c r="B134" s="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8"/>
      <c r="R134" s="8"/>
      <c r="S134" s="1"/>
      <c r="T134" s="6">
        <f t="shared" ca="1" si="4"/>
        <v>0</v>
      </c>
      <c r="U134" s="1" t="str">
        <f t="shared" si="5"/>
        <v/>
      </c>
      <c r="V134" s="1"/>
      <c r="W134" s="1"/>
    </row>
    <row r="135" spans="1:23">
      <c r="A135" s="1"/>
      <c r="B135" s="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8"/>
      <c r="R135" s="8"/>
      <c r="S135" s="1"/>
      <c r="T135" s="6">
        <f t="shared" ca="1" si="4"/>
        <v>0</v>
      </c>
      <c r="U135" s="1" t="str">
        <f t="shared" si="5"/>
        <v/>
      </c>
      <c r="V135" s="1"/>
      <c r="W135" s="1"/>
    </row>
    <row r="136" spans="1:23">
      <c r="A136" s="1"/>
      <c r="B136" s="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8"/>
      <c r="R136" s="8"/>
      <c r="S136" s="1"/>
      <c r="T136" s="6">
        <f t="shared" ca="1" si="4"/>
        <v>0</v>
      </c>
      <c r="U136" s="1" t="str">
        <f t="shared" si="5"/>
        <v/>
      </c>
      <c r="V136" s="1"/>
      <c r="W136" s="1"/>
    </row>
    <row r="137" spans="1:23">
      <c r="A137" s="1"/>
      <c r="B137" s="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8"/>
      <c r="R137" s="8"/>
      <c r="S137" s="1"/>
      <c r="T137" s="6">
        <f t="shared" ca="1" si="4"/>
        <v>0</v>
      </c>
      <c r="U137" s="1" t="str">
        <f t="shared" si="5"/>
        <v/>
      </c>
      <c r="V137" s="1"/>
      <c r="W137" s="1"/>
    </row>
    <row r="138" spans="1:23">
      <c r="A138" s="1"/>
      <c r="B138" s="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8"/>
      <c r="R138" s="8"/>
      <c r="S138" s="1"/>
      <c r="T138" s="6">
        <f t="shared" ca="1" si="4"/>
        <v>0</v>
      </c>
      <c r="U138" s="1" t="str">
        <f t="shared" si="5"/>
        <v/>
      </c>
      <c r="V138" s="1"/>
      <c r="W138" s="1"/>
    </row>
    <row r="139" spans="1:23">
      <c r="A139" s="1"/>
      <c r="B139" s="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8"/>
      <c r="R139" s="8"/>
      <c r="S139" s="1"/>
      <c r="T139" s="6">
        <f t="shared" ca="1" si="4"/>
        <v>0</v>
      </c>
      <c r="U139" s="1" t="str">
        <f t="shared" si="5"/>
        <v/>
      </c>
      <c r="V139" s="1"/>
      <c r="W139" s="1"/>
    </row>
    <row r="140" spans="1:23">
      <c r="A140" s="1"/>
      <c r="B140" s="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8"/>
      <c r="R140" s="8"/>
      <c r="S140" s="1"/>
      <c r="T140" s="6">
        <f t="shared" ca="1" si="4"/>
        <v>0</v>
      </c>
      <c r="U140" s="1" t="str">
        <f t="shared" si="5"/>
        <v/>
      </c>
      <c r="V140" s="1"/>
      <c r="W140" s="1"/>
    </row>
    <row r="141" spans="1:23">
      <c r="A141" s="1"/>
      <c r="B141" s="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8"/>
      <c r="R141" s="8"/>
      <c r="S141" s="1"/>
      <c r="T141" s="6">
        <f t="shared" ca="1" si="4"/>
        <v>0</v>
      </c>
      <c r="U141" s="1" t="str">
        <f t="shared" si="5"/>
        <v/>
      </c>
      <c r="V141" s="1"/>
      <c r="W141" s="1"/>
    </row>
    <row r="142" spans="1:23">
      <c r="A142" s="1"/>
      <c r="B142" s="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8"/>
      <c r="R142" s="8"/>
      <c r="S142" s="1"/>
      <c r="T142" s="6">
        <f t="shared" ca="1" si="4"/>
        <v>0</v>
      </c>
      <c r="U142" s="1" t="str">
        <f t="shared" si="5"/>
        <v/>
      </c>
      <c r="V142" s="1"/>
      <c r="W142" s="1"/>
    </row>
    <row r="143" spans="1:23">
      <c r="A143" s="1"/>
      <c r="B143" s="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8"/>
      <c r="R143" s="8"/>
      <c r="S143" s="1"/>
      <c r="T143" s="6">
        <f t="shared" ca="1" si="4"/>
        <v>0</v>
      </c>
      <c r="U143" s="1" t="str">
        <f t="shared" si="5"/>
        <v/>
      </c>
      <c r="V143" s="1"/>
      <c r="W143" s="1"/>
    </row>
    <row r="144" spans="1:23">
      <c r="A144" s="1"/>
      <c r="B144" s="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8"/>
      <c r="R144" s="8"/>
      <c r="S144" s="1"/>
      <c r="T144" s="6">
        <f t="shared" ca="1" si="4"/>
        <v>0</v>
      </c>
      <c r="U144" s="1" t="str">
        <f t="shared" si="5"/>
        <v/>
      </c>
      <c r="V144" s="1"/>
      <c r="W144" s="1"/>
    </row>
    <row r="145" spans="1:23">
      <c r="A145" s="1"/>
      <c r="B145" s="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8"/>
      <c r="R145" s="8"/>
      <c r="S145" s="1"/>
      <c r="T145" s="6">
        <f t="shared" ca="1" si="4"/>
        <v>0</v>
      </c>
      <c r="U145" s="1" t="str">
        <f t="shared" si="5"/>
        <v/>
      </c>
      <c r="V145" s="1"/>
      <c r="W145" s="1"/>
    </row>
    <row r="146" spans="1:23">
      <c r="A146" s="1"/>
      <c r="B146" s="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8"/>
      <c r="R146" s="8"/>
      <c r="S146" s="1"/>
      <c r="T146" s="6">
        <f t="shared" ca="1" si="4"/>
        <v>0</v>
      </c>
      <c r="U146" s="1" t="str">
        <f t="shared" si="5"/>
        <v/>
      </c>
      <c r="V146" s="1"/>
      <c r="W146" s="1"/>
    </row>
    <row r="147" spans="1:23">
      <c r="A147" s="1"/>
      <c r="B147" s="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8"/>
      <c r="R147" s="8"/>
      <c r="S147" s="1"/>
      <c r="T147" s="6">
        <f t="shared" ca="1" si="4"/>
        <v>0</v>
      </c>
      <c r="U147" s="1" t="str">
        <f t="shared" si="5"/>
        <v/>
      </c>
      <c r="V147" s="1"/>
      <c r="W147" s="1"/>
    </row>
    <row r="148" spans="1:23">
      <c r="A148" s="1"/>
      <c r="B148" s="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8"/>
      <c r="R148" s="8"/>
      <c r="S148" s="1"/>
      <c r="T148" s="6">
        <f t="shared" ca="1" si="4"/>
        <v>0</v>
      </c>
      <c r="U148" s="1" t="str">
        <f t="shared" si="5"/>
        <v/>
      </c>
      <c r="V148" s="1"/>
      <c r="W148" s="1"/>
    </row>
    <row r="149" spans="1:23">
      <c r="A149" s="1"/>
      <c r="B149" s="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8"/>
      <c r="R149" s="8"/>
      <c r="S149" s="1"/>
      <c r="T149" s="6">
        <f t="shared" ca="1" si="4"/>
        <v>0</v>
      </c>
      <c r="U149" s="1" t="str">
        <f t="shared" si="5"/>
        <v/>
      </c>
      <c r="V149" s="1"/>
      <c r="W149" s="1"/>
    </row>
    <row r="150" spans="1:23">
      <c r="A150" s="1"/>
      <c r="B150" s="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8"/>
      <c r="R150" s="8"/>
      <c r="S150" s="1"/>
      <c r="T150" s="6">
        <f t="shared" ca="1" si="4"/>
        <v>0</v>
      </c>
      <c r="U150" s="1" t="str">
        <f t="shared" si="5"/>
        <v/>
      </c>
      <c r="V150" s="1"/>
      <c r="W150" s="1"/>
    </row>
    <row r="151" spans="1:23">
      <c r="A151" s="1"/>
      <c r="B151" s="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8"/>
      <c r="R151" s="8"/>
      <c r="S151" s="1"/>
      <c r="T151" s="6">
        <f t="shared" ca="1" si="4"/>
        <v>0</v>
      </c>
      <c r="U151" s="1" t="str">
        <f t="shared" si="5"/>
        <v/>
      </c>
      <c r="V151" s="1"/>
      <c r="W151" s="1"/>
    </row>
    <row r="152" spans="1:23">
      <c r="A152" s="1"/>
      <c r="B152" s="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8"/>
      <c r="R152" s="8"/>
      <c r="S152" s="1"/>
      <c r="T152" s="6">
        <f t="shared" ca="1" si="4"/>
        <v>0</v>
      </c>
      <c r="U152" s="1" t="str">
        <f t="shared" si="5"/>
        <v/>
      </c>
      <c r="V152" s="1"/>
      <c r="W152" s="1"/>
    </row>
    <row r="153" spans="1:23">
      <c r="A153" s="1"/>
      <c r="B153" s="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8"/>
      <c r="R153" s="8"/>
      <c r="S153" s="1"/>
      <c r="T153" s="6">
        <f t="shared" ca="1" si="4"/>
        <v>0</v>
      </c>
      <c r="U153" s="1" t="str">
        <f t="shared" si="5"/>
        <v/>
      </c>
      <c r="V153" s="1"/>
      <c r="W153" s="1"/>
    </row>
    <row r="154" spans="1:23">
      <c r="A154" s="1"/>
      <c r="B154" s="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8"/>
      <c r="R154" s="8"/>
      <c r="S154" s="1"/>
      <c r="T154" s="6">
        <f t="shared" ca="1" si="4"/>
        <v>0</v>
      </c>
      <c r="U154" s="1" t="str">
        <f t="shared" si="5"/>
        <v/>
      </c>
      <c r="V154" s="1"/>
      <c r="W154" s="1"/>
    </row>
    <row r="155" spans="1:23">
      <c r="A155" s="1"/>
      <c r="B155" s="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8"/>
      <c r="R155" s="8"/>
      <c r="S155" s="1"/>
      <c r="T155" s="6">
        <f t="shared" ca="1" si="4"/>
        <v>0</v>
      </c>
      <c r="U155" s="1" t="str">
        <f t="shared" si="5"/>
        <v/>
      </c>
      <c r="V155" s="1"/>
      <c r="W155" s="1"/>
    </row>
    <row r="156" spans="1:23">
      <c r="A156" s="1"/>
      <c r="B156" s="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8"/>
      <c r="R156" s="8"/>
      <c r="S156" s="1"/>
      <c r="T156" s="6">
        <f t="shared" ca="1" si="4"/>
        <v>0</v>
      </c>
      <c r="U156" s="1" t="str">
        <f t="shared" si="5"/>
        <v/>
      </c>
      <c r="V156" s="1"/>
      <c r="W156" s="1"/>
    </row>
    <row r="157" spans="1:23">
      <c r="A157" s="1"/>
      <c r="B157" s="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8"/>
      <c r="R157" s="8"/>
      <c r="S157" s="1"/>
      <c r="T157" s="6">
        <f t="shared" ca="1" si="4"/>
        <v>0</v>
      </c>
      <c r="U157" s="1" t="str">
        <f t="shared" si="5"/>
        <v/>
      </c>
      <c r="V157" s="1"/>
      <c r="W157" s="1"/>
    </row>
    <row r="158" spans="1:23">
      <c r="A158" s="1"/>
      <c r="B158" s="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8"/>
      <c r="R158" s="8"/>
      <c r="S158" s="1"/>
      <c r="T158" s="6">
        <f t="shared" ca="1" si="4"/>
        <v>0</v>
      </c>
      <c r="U158" s="1" t="str">
        <f t="shared" si="5"/>
        <v/>
      </c>
      <c r="V158" s="1"/>
      <c r="W158" s="1"/>
    </row>
    <row r="159" spans="1:23">
      <c r="A159" s="1"/>
      <c r="B159" s="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8"/>
      <c r="R159" s="8"/>
      <c r="S159" s="1"/>
      <c r="T159" s="6">
        <f t="shared" ca="1" si="4"/>
        <v>0</v>
      </c>
      <c r="U159" s="1" t="str">
        <f t="shared" si="5"/>
        <v/>
      </c>
      <c r="V159" s="1"/>
      <c r="W159" s="1"/>
    </row>
    <row r="160" spans="1:23">
      <c r="A160" s="1"/>
      <c r="B160" s="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8"/>
      <c r="R160" s="8"/>
      <c r="S160" s="1"/>
      <c r="T160" s="6">
        <f t="shared" ca="1" si="4"/>
        <v>0</v>
      </c>
      <c r="U160" s="1" t="str">
        <f t="shared" si="5"/>
        <v/>
      </c>
      <c r="V160" s="1"/>
      <c r="W160" s="1"/>
    </row>
    <row r="161" spans="1:23">
      <c r="A161" s="1"/>
      <c r="B161" s="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8"/>
      <c r="R161" s="8"/>
      <c r="S161" s="1"/>
      <c r="T161" s="6">
        <f t="shared" ca="1" si="4"/>
        <v>0</v>
      </c>
      <c r="U161" s="1" t="str">
        <f t="shared" si="5"/>
        <v/>
      </c>
      <c r="V161" s="1"/>
      <c r="W161" s="1"/>
    </row>
    <row r="162" spans="1:23">
      <c r="A162" s="1"/>
      <c r="B162" s="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8"/>
      <c r="R162" s="8"/>
      <c r="S162" s="1"/>
      <c r="T162" s="6">
        <f t="shared" ca="1" si="4"/>
        <v>0</v>
      </c>
      <c r="U162" s="1" t="str">
        <f t="shared" si="5"/>
        <v/>
      </c>
      <c r="V162" s="1"/>
      <c r="W162" s="1"/>
    </row>
    <row r="163" spans="1:23">
      <c r="A163" s="1"/>
      <c r="B163" s="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8"/>
      <c r="R163" s="8"/>
      <c r="S163" s="1"/>
      <c r="T163" s="6">
        <f t="shared" ca="1" si="4"/>
        <v>0</v>
      </c>
      <c r="U163" s="1" t="str">
        <f t="shared" si="5"/>
        <v/>
      </c>
      <c r="V163" s="1"/>
      <c r="W163" s="1"/>
    </row>
    <row r="164" spans="1:23">
      <c r="A164" s="1"/>
      <c r="B164" s="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8"/>
      <c r="R164" s="8"/>
      <c r="S164" s="1"/>
      <c r="T164" s="6">
        <f t="shared" ca="1" si="4"/>
        <v>0</v>
      </c>
      <c r="U164" s="1" t="str">
        <f t="shared" si="5"/>
        <v/>
      </c>
      <c r="V164" s="1"/>
      <c r="W164" s="1"/>
    </row>
    <row r="165" spans="1:23">
      <c r="A165" s="1"/>
      <c r="B165" s="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8"/>
      <c r="R165" s="8"/>
      <c r="S165" s="1"/>
      <c r="T165" s="6">
        <f t="shared" ca="1" si="4"/>
        <v>0</v>
      </c>
      <c r="U165" s="1" t="str">
        <f t="shared" si="5"/>
        <v/>
      </c>
      <c r="V165" s="1"/>
      <c r="W165" s="1"/>
    </row>
    <row r="166" spans="1:23">
      <c r="A166" s="1"/>
      <c r="B166" s="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8"/>
      <c r="R166" s="8"/>
      <c r="S166" s="1"/>
      <c r="T166" s="6">
        <f t="shared" ca="1" si="4"/>
        <v>0</v>
      </c>
      <c r="U166" s="1" t="str">
        <f t="shared" si="5"/>
        <v/>
      </c>
      <c r="V166" s="1"/>
      <c r="W166" s="1"/>
    </row>
    <row r="167" spans="1:23">
      <c r="A167" s="1"/>
      <c r="B167" s="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8"/>
      <c r="R167" s="8"/>
      <c r="S167" s="1"/>
      <c r="T167" s="6">
        <f t="shared" ca="1" si="4"/>
        <v>0</v>
      </c>
      <c r="U167" s="1" t="str">
        <f t="shared" si="5"/>
        <v/>
      </c>
      <c r="V167" s="1"/>
      <c r="W167" s="1"/>
    </row>
    <row r="168" spans="1:23">
      <c r="A168" s="1"/>
      <c r="B168" s="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8"/>
      <c r="R168" s="8"/>
      <c r="S168" s="1"/>
      <c r="T168" s="6">
        <f t="shared" ca="1" si="4"/>
        <v>0</v>
      </c>
      <c r="U168" s="1" t="str">
        <f t="shared" si="5"/>
        <v/>
      </c>
      <c r="V168" s="1"/>
      <c r="W168" s="1"/>
    </row>
    <row r="169" spans="1:23">
      <c r="A169" s="1"/>
      <c r="B169" s="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8"/>
      <c r="R169" s="8"/>
      <c r="S169" s="1"/>
      <c r="T169" s="6">
        <f t="shared" ca="1" si="4"/>
        <v>0</v>
      </c>
      <c r="U169" s="1" t="str">
        <f t="shared" si="5"/>
        <v/>
      </c>
      <c r="V169" s="1"/>
      <c r="W169" s="1"/>
    </row>
    <row r="170" spans="1:23">
      <c r="A170" s="1"/>
      <c r="B170" s="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8"/>
      <c r="R170" s="8"/>
      <c r="S170" s="1"/>
      <c r="T170" s="6">
        <f t="shared" ca="1" si="4"/>
        <v>0</v>
      </c>
      <c r="U170" s="1" t="str">
        <f t="shared" si="5"/>
        <v/>
      </c>
      <c r="V170" s="1"/>
      <c r="W170" s="1"/>
    </row>
    <row r="171" spans="1:23">
      <c r="A171" s="1"/>
      <c r="B171" s="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8"/>
      <c r="R171" s="8"/>
      <c r="S171" s="1"/>
      <c r="T171" s="6">
        <f t="shared" ca="1" si="4"/>
        <v>0</v>
      </c>
      <c r="U171" s="1" t="str">
        <f t="shared" si="5"/>
        <v/>
      </c>
      <c r="V171" s="1"/>
      <c r="W171" s="1"/>
    </row>
    <row r="172" spans="1:23">
      <c r="A172" s="1"/>
      <c r="B172" s="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8"/>
      <c r="R172" s="8"/>
      <c r="S172" s="1"/>
      <c r="T172" s="6">
        <f t="shared" ca="1" si="4"/>
        <v>0</v>
      </c>
      <c r="U172" s="1" t="str">
        <f t="shared" si="5"/>
        <v/>
      </c>
      <c r="V172" s="1"/>
      <c r="W172" s="1"/>
    </row>
    <row r="173" spans="1:23">
      <c r="A173" s="1"/>
      <c r="B173" s="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8"/>
      <c r="R173" s="8"/>
      <c r="S173" s="1"/>
      <c r="T173" s="6">
        <f t="shared" ca="1" si="4"/>
        <v>0</v>
      </c>
      <c r="U173" s="1" t="str">
        <f t="shared" si="5"/>
        <v/>
      </c>
      <c r="V173" s="1"/>
      <c r="W173" s="1"/>
    </row>
    <row r="174" spans="1:23">
      <c r="A174" s="1"/>
      <c r="B174" s="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8"/>
      <c r="R174" s="8"/>
      <c r="S174" s="1"/>
      <c r="T174" s="6">
        <f t="shared" ca="1" si="4"/>
        <v>0</v>
      </c>
      <c r="U174" s="1" t="str">
        <f t="shared" si="5"/>
        <v/>
      </c>
      <c r="V174" s="1"/>
      <c r="W174" s="1"/>
    </row>
    <row r="175" spans="1:23">
      <c r="A175" s="1"/>
      <c r="B175" s="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8"/>
      <c r="R175" s="8"/>
      <c r="S175" s="1"/>
      <c r="T175" s="6">
        <f t="shared" ca="1" si="4"/>
        <v>0</v>
      </c>
      <c r="U175" s="1" t="str">
        <f t="shared" si="5"/>
        <v/>
      </c>
      <c r="V175" s="1"/>
      <c r="W175" s="1"/>
    </row>
    <row r="176" spans="1:23">
      <c r="A176" s="1"/>
      <c r="B176" s="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8"/>
      <c r="R176" s="8"/>
      <c r="S176" s="1"/>
      <c r="T176" s="6">
        <f t="shared" ca="1" si="4"/>
        <v>0</v>
      </c>
      <c r="U176" s="1" t="str">
        <f t="shared" si="5"/>
        <v/>
      </c>
      <c r="V176" s="1"/>
      <c r="W176" s="1"/>
    </row>
    <row r="177" spans="1:23">
      <c r="A177" s="1"/>
      <c r="B177" s="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8"/>
      <c r="R177" s="8"/>
      <c r="S177" s="1"/>
      <c r="T177" s="6">
        <f t="shared" ca="1" si="4"/>
        <v>0</v>
      </c>
      <c r="U177" s="1" t="str">
        <f t="shared" si="5"/>
        <v/>
      </c>
      <c r="V177" s="1"/>
      <c r="W177" s="1"/>
    </row>
    <row r="178" spans="1:23">
      <c r="A178" s="1"/>
      <c r="B178" s="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8"/>
      <c r="R178" s="8"/>
      <c r="S178" s="1"/>
      <c r="T178" s="6">
        <f t="shared" ca="1" si="4"/>
        <v>0</v>
      </c>
      <c r="U178" s="1" t="str">
        <f t="shared" si="5"/>
        <v/>
      </c>
      <c r="V178" s="1"/>
      <c r="W178" s="1"/>
    </row>
    <row r="179" spans="1:23">
      <c r="A179" s="1"/>
      <c r="B179" s="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8"/>
      <c r="R179" s="8"/>
      <c r="S179" s="1"/>
      <c r="T179" s="6">
        <f t="shared" ca="1" si="4"/>
        <v>0</v>
      </c>
      <c r="U179" s="1" t="str">
        <f t="shared" si="5"/>
        <v/>
      </c>
      <c r="V179" s="1"/>
      <c r="W179" s="1"/>
    </row>
    <row r="180" spans="1:23">
      <c r="A180" s="1"/>
      <c r="B180" s="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8"/>
      <c r="R180" s="8"/>
      <c r="S180" s="1"/>
      <c r="T180" s="6">
        <f t="shared" ca="1" si="4"/>
        <v>0</v>
      </c>
      <c r="U180" s="1" t="str">
        <f t="shared" si="5"/>
        <v/>
      </c>
      <c r="V180" s="1"/>
      <c r="W180" s="1"/>
    </row>
    <row r="181" spans="1:23">
      <c r="A181" s="1"/>
      <c r="B181" s="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8"/>
      <c r="R181" s="8"/>
      <c r="S181" s="1"/>
      <c r="T181" s="6">
        <f t="shared" ca="1" si="4"/>
        <v>0</v>
      </c>
      <c r="U181" s="1" t="str">
        <f t="shared" si="5"/>
        <v/>
      </c>
      <c r="V181" s="1"/>
      <c r="W181" s="1"/>
    </row>
    <row r="182" spans="1:23">
      <c r="A182" s="1"/>
      <c r="B182" s="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8"/>
      <c r="R182" s="8"/>
      <c r="S182" s="1"/>
      <c r="T182" s="6">
        <f t="shared" ca="1" si="4"/>
        <v>0</v>
      </c>
      <c r="U182" s="1" t="str">
        <f t="shared" si="5"/>
        <v/>
      </c>
      <c r="V182" s="1"/>
      <c r="W182" s="1"/>
    </row>
    <row r="183" spans="1:23">
      <c r="A183" s="1"/>
      <c r="B183" s="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8"/>
      <c r="R183" s="8"/>
      <c r="S183" s="1"/>
      <c r="T183" s="6">
        <f t="shared" ca="1" si="4"/>
        <v>0</v>
      </c>
      <c r="U183" s="1" t="str">
        <f t="shared" si="5"/>
        <v/>
      </c>
      <c r="V183" s="1"/>
      <c r="W183" s="1"/>
    </row>
    <row r="184" spans="1:23">
      <c r="A184" s="1"/>
      <c r="B184" s="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8"/>
      <c r="R184" s="8"/>
      <c r="S184" s="1"/>
      <c r="T184" s="6">
        <f t="shared" ca="1" si="4"/>
        <v>0</v>
      </c>
      <c r="U184" s="1" t="str">
        <f t="shared" si="5"/>
        <v/>
      </c>
      <c r="V184" s="1"/>
      <c r="W184" s="1"/>
    </row>
    <row r="185" spans="1:23">
      <c r="A185" s="1"/>
      <c r="B185" s="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8"/>
      <c r="R185" s="8"/>
      <c r="S185" s="1"/>
      <c r="T185" s="6">
        <f t="shared" ca="1" si="4"/>
        <v>0</v>
      </c>
      <c r="U185" s="1" t="str">
        <f t="shared" si="5"/>
        <v/>
      </c>
      <c r="V185" s="1"/>
      <c r="W185" s="1"/>
    </row>
    <row r="186" spans="1:23">
      <c r="A186" s="1"/>
      <c r="B186" s="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8"/>
      <c r="R186" s="8"/>
      <c r="S186" s="1"/>
      <c r="T186" s="6">
        <f t="shared" ca="1" si="4"/>
        <v>0</v>
      </c>
      <c r="U186" s="1" t="str">
        <f t="shared" si="5"/>
        <v/>
      </c>
      <c r="V186" s="1"/>
      <c r="W186" s="1"/>
    </row>
    <row r="187" spans="1:23">
      <c r="A187" s="1"/>
      <c r="B187" s="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8"/>
      <c r="R187" s="8"/>
      <c r="S187" s="1"/>
      <c r="T187" s="6">
        <f t="shared" ca="1" si="4"/>
        <v>0</v>
      </c>
      <c r="U187" s="1" t="str">
        <f t="shared" si="5"/>
        <v/>
      </c>
      <c r="V187" s="1"/>
      <c r="W187" s="1"/>
    </row>
    <row r="188" spans="1:23">
      <c r="A188" s="1"/>
      <c r="B188" s="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8"/>
      <c r="R188" s="8"/>
      <c r="S188" s="1"/>
      <c r="T188" s="6">
        <f t="shared" ca="1" si="4"/>
        <v>0</v>
      </c>
      <c r="U188" s="1" t="str">
        <f t="shared" si="5"/>
        <v/>
      </c>
      <c r="V188" s="1"/>
      <c r="W188" s="1"/>
    </row>
    <row r="189" spans="1:23">
      <c r="A189" s="1"/>
      <c r="B189" s="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8"/>
      <c r="R189" s="8"/>
      <c r="S189" s="1"/>
      <c r="T189" s="6">
        <f t="shared" ca="1" si="4"/>
        <v>0</v>
      </c>
      <c r="U189" s="1" t="str">
        <f t="shared" si="5"/>
        <v/>
      </c>
      <c r="V189" s="1"/>
      <c r="W189" s="1"/>
    </row>
    <row r="190" spans="1:23">
      <c r="A190" s="1"/>
      <c r="B190" s="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8"/>
      <c r="R190" s="8"/>
      <c r="S190" s="1"/>
      <c r="T190" s="6">
        <f t="shared" ca="1" si="4"/>
        <v>0</v>
      </c>
      <c r="U190" s="1" t="str">
        <f t="shared" si="5"/>
        <v/>
      </c>
      <c r="V190" s="1"/>
      <c r="W190" s="1"/>
    </row>
    <row r="191" spans="1:23">
      <c r="A191" s="1"/>
      <c r="B191" s="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8"/>
      <c r="R191" s="8"/>
      <c r="S191" s="1"/>
      <c r="T191" s="6">
        <f t="shared" ca="1" si="4"/>
        <v>0</v>
      </c>
      <c r="U191" s="1" t="str">
        <f t="shared" si="5"/>
        <v/>
      </c>
      <c r="V191" s="1"/>
      <c r="W191" s="1"/>
    </row>
    <row r="192" spans="1:23">
      <c r="A192" s="1"/>
      <c r="B192" s="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8"/>
      <c r="R192" s="8"/>
      <c r="S192" s="1"/>
      <c r="T192" s="6">
        <f t="shared" ca="1" si="4"/>
        <v>0</v>
      </c>
      <c r="U192" s="1" t="str">
        <f t="shared" si="5"/>
        <v/>
      </c>
      <c r="V192" s="1"/>
      <c r="W192" s="1"/>
    </row>
    <row r="193" spans="1:23">
      <c r="A193" s="1"/>
      <c r="B193" s="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8"/>
      <c r="R193" s="8"/>
      <c r="S193" s="1"/>
      <c r="T193" s="6">
        <f t="shared" ca="1" si="4"/>
        <v>0</v>
      </c>
      <c r="U193" s="1" t="str">
        <f t="shared" si="5"/>
        <v/>
      </c>
      <c r="V193" s="1"/>
      <c r="W193" s="1"/>
    </row>
    <row r="194" spans="1:23">
      <c r="A194" s="1"/>
      <c r="B194" s="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8"/>
      <c r="R194" s="8"/>
      <c r="S194" s="1"/>
      <c r="T194" s="6">
        <f t="shared" ref="T194:T257" ca="1" si="6">IF(AND(S194&lt;&gt;"Clôturée",Q194&lt;&gt;"",TODAY()&gt;Q194),TODAY()-Q194,0)</f>
        <v>0</v>
      </c>
      <c r="U194" s="1" t="str">
        <f t="shared" ref="U194:U257" si="7">IF(M194="Critique","P1",IF(M194="Majeure","P2",IF(M194="Mineure","P3","")))</f>
        <v/>
      </c>
      <c r="V194" s="1"/>
      <c r="W194" s="1"/>
    </row>
    <row r="195" spans="1:23">
      <c r="A195" s="1"/>
      <c r="B195" s="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8"/>
      <c r="R195" s="8"/>
      <c r="S195" s="1"/>
      <c r="T195" s="6">
        <f t="shared" ca="1" si="6"/>
        <v>0</v>
      </c>
      <c r="U195" s="1" t="str">
        <f t="shared" si="7"/>
        <v/>
      </c>
      <c r="V195" s="1"/>
      <c r="W195" s="1"/>
    </row>
    <row r="196" spans="1:23">
      <c r="A196" s="1"/>
      <c r="B196" s="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8"/>
      <c r="R196" s="8"/>
      <c r="S196" s="1"/>
      <c r="T196" s="6">
        <f t="shared" ca="1" si="6"/>
        <v>0</v>
      </c>
      <c r="U196" s="1" t="str">
        <f t="shared" si="7"/>
        <v/>
      </c>
      <c r="V196" s="1"/>
      <c r="W196" s="1"/>
    </row>
    <row r="197" spans="1:23">
      <c r="A197" s="1"/>
      <c r="B197" s="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8"/>
      <c r="R197" s="8"/>
      <c r="S197" s="1"/>
      <c r="T197" s="6">
        <f t="shared" ca="1" si="6"/>
        <v>0</v>
      </c>
      <c r="U197" s="1" t="str">
        <f t="shared" si="7"/>
        <v/>
      </c>
      <c r="V197" s="1"/>
      <c r="W197" s="1"/>
    </row>
    <row r="198" spans="1:23">
      <c r="A198" s="1"/>
      <c r="B198" s="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8"/>
      <c r="R198" s="8"/>
      <c r="S198" s="1"/>
      <c r="T198" s="6">
        <f t="shared" ca="1" si="6"/>
        <v>0</v>
      </c>
      <c r="U198" s="1" t="str">
        <f t="shared" si="7"/>
        <v/>
      </c>
      <c r="V198" s="1"/>
      <c r="W198" s="1"/>
    </row>
    <row r="199" spans="1:23">
      <c r="A199" s="1"/>
      <c r="B199" s="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8"/>
      <c r="R199" s="8"/>
      <c r="S199" s="1"/>
      <c r="T199" s="6">
        <f t="shared" ca="1" si="6"/>
        <v>0</v>
      </c>
      <c r="U199" s="1" t="str">
        <f t="shared" si="7"/>
        <v/>
      </c>
      <c r="V199" s="1"/>
      <c r="W199" s="1"/>
    </row>
    <row r="200" spans="1:23">
      <c r="A200" s="1"/>
      <c r="B200" s="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8"/>
      <c r="R200" s="8"/>
      <c r="S200" s="1"/>
      <c r="T200" s="6">
        <f t="shared" ca="1" si="6"/>
        <v>0</v>
      </c>
      <c r="U200" s="1" t="str">
        <f t="shared" si="7"/>
        <v/>
      </c>
      <c r="V200" s="1"/>
      <c r="W200" s="1"/>
    </row>
    <row r="201" spans="1:23">
      <c r="A201" s="1"/>
      <c r="B201" s="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8"/>
      <c r="R201" s="8"/>
      <c r="S201" s="1"/>
      <c r="T201" s="6">
        <f t="shared" ca="1" si="6"/>
        <v>0</v>
      </c>
      <c r="U201" s="1" t="str">
        <f t="shared" si="7"/>
        <v/>
      </c>
      <c r="V201" s="1"/>
      <c r="W201" s="1"/>
    </row>
    <row r="202" spans="1:23">
      <c r="A202" s="1"/>
      <c r="B202" s="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8"/>
      <c r="R202" s="8"/>
      <c r="S202" s="1"/>
      <c r="T202" s="6">
        <f t="shared" ca="1" si="6"/>
        <v>0</v>
      </c>
      <c r="U202" s="1" t="str">
        <f t="shared" si="7"/>
        <v/>
      </c>
      <c r="V202" s="1"/>
      <c r="W202" s="1"/>
    </row>
    <row r="203" spans="1:23">
      <c r="A203" s="1"/>
      <c r="B203" s="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8"/>
      <c r="R203" s="8"/>
      <c r="S203" s="1"/>
      <c r="T203" s="6">
        <f t="shared" ca="1" si="6"/>
        <v>0</v>
      </c>
      <c r="U203" s="1" t="str">
        <f t="shared" si="7"/>
        <v/>
      </c>
      <c r="V203" s="1"/>
      <c r="W203" s="1"/>
    </row>
    <row r="204" spans="1:23">
      <c r="A204" s="1"/>
      <c r="B204" s="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8"/>
      <c r="R204" s="8"/>
      <c r="S204" s="1"/>
      <c r="T204" s="6">
        <f t="shared" ca="1" si="6"/>
        <v>0</v>
      </c>
      <c r="U204" s="1" t="str">
        <f t="shared" si="7"/>
        <v/>
      </c>
      <c r="V204" s="1"/>
      <c r="W204" s="1"/>
    </row>
    <row r="205" spans="1:23">
      <c r="A205" s="1"/>
      <c r="B205" s="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8"/>
      <c r="R205" s="8"/>
      <c r="S205" s="1"/>
      <c r="T205" s="6">
        <f t="shared" ca="1" si="6"/>
        <v>0</v>
      </c>
      <c r="U205" s="1" t="str">
        <f t="shared" si="7"/>
        <v/>
      </c>
      <c r="V205" s="1"/>
      <c r="W205" s="1"/>
    </row>
    <row r="206" spans="1:23">
      <c r="A206" s="1"/>
      <c r="B206" s="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8"/>
      <c r="R206" s="8"/>
      <c r="S206" s="1"/>
      <c r="T206" s="6">
        <f t="shared" ca="1" si="6"/>
        <v>0</v>
      </c>
      <c r="U206" s="1" t="str">
        <f t="shared" si="7"/>
        <v/>
      </c>
      <c r="V206" s="1"/>
      <c r="W206" s="1"/>
    </row>
    <row r="207" spans="1:23">
      <c r="A207" s="1"/>
      <c r="B207" s="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8"/>
      <c r="R207" s="8"/>
      <c r="S207" s="1"/>
      <c r="T207" s="6">
        <f t="shared" ca="1" si="6"/>
        <v>0</v>
      </c>
      <c r="U207" s="1" t="str">
        <f t="shared" si="7"/>
        <v/>
      </c>
      <c r="V207" s="1"/>
      <c r="W207" s="1"/>
    </row>
    <row r="208" spans="1:23">
      <c r="A208" s="1"/>
      <c r="B208" s="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8"/>
      <c r="R208" s="8"/>
      <c r="S208" s="1"/>
      <c r="T208" s="6">
        <f t="shared" ca="1" si="6"/>
        <v>0</v>
      </c>
      <c r="U208" s="1" t="str">
        <f t="shared" si="7"/>
        <v/>
      </c>
      <c r="V208" s="1"/>
      <c r="W208" s="1"/>
    </row>
    <row r="209" spans="1:23">
      <c r="A209" s="1"/>
      <c r="B209" s="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8"/>
      <c r="R209" s="8"/>
      <c r="S209" s="1"/>
      <c r="T209" s="6">
        <f t="shared" ca="1" si="6"/>
        <v>0</v>
      </c>
      <c r="U209" s="1" t="str">
        <f t="shared" si="7"/>
        <v/>
      </c>
      <c r="V209" s="1"/>
      <c r="W209" s="1"/>
    </row>
    <row r="210" spans="1:23">
      <c r="A210" s="1"/>
      <c r="B210" s="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8"/>
      <c r="R210" s="8"/>
      <c r="S210" s="1"/>
      <c r="T210" s="6">
        <f t="shared" ca="1" si="6"/>
        <v>0</v>
      </c>
      <c r="U210" s="1" t="str">
        <f t="shared" si="7"/>
        <v/>
      </c>
      <c r="V210" s="1"/>
      <c r="W210" s="1"/>
    </row>
    <row r="211" spans="1:23">
      <c r="A211" s="1"/>
      <c r="B211" s="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8"/>
      <c r="R211" s="8"/>
      <c r="S211" s="1"/>
      <c r="T211" s="6">
        <f t="shared" ca="1" si="6"/>
        <v>0</v>
      </c>
      <c r="U211" s="1" t="str">
        <f t="shared" si="7"/>
        <v/>
      </c>
      <c r="V211" s="1"/>
      <c r="W211" s="1"/>
    </row>
    <row r="212" spans="1:23">
      <c r="A212" s="1"/>
      <c r="B212" s="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8"/>
      <c r="R212" s="8"/>
      <c r="S212" s="1"/>
      <c r="T212" s="6">
        <f t="shared" ca="1" si="6"/>
        <v>0</v>
      </c>
      <c r="U212" s="1" t="str">
        <f t="shared" si="7"/>
        <v/>
      </c>
      <c r="V212" s="1"/>
      <c r="W212" s="1"/>
    </row>
    <row r="213" spans="1:23">
      <c r="A213" s="1"/>
      <c r="B213" s="8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8"/>
      <c r="R213" s="8"/>
      <c r="S213" s="1"/>
      <c r="T213" s="6">
        <f t="shared" ca="1" si="6"/>
        <v>0</v>
      </c>
      <c r="U213" s="1" t="str">
        <f t="shared" si="7"/>
        <v/>
      </c>
      <c r="V213" s="1"/>
      <c r="W213" s="1"/>
    </row>
    <row r="214" spans="1:23">
      <c r="A214" s="1"/>
      <c r="B214" s="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8"/>
      <c r="R214" s="8"/>
      <c r="S214" s="1"/>
      <c r="T214" s="6">
        <f t="shared" ca="1" si="6"/>
        <v>0</v>
      </c>
      <c r="U214" s="1" t="str">
        <f t="shared" si="7"/>
        <v/>
      </c>
      <c r="V214" s="1"/>
      <c r="W214" s="1"/>
    </row>
    <row r="215" spans="1:23">
      <c r="A215" s="1"/>
      <c r="B215" s="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8"/>
      <c r="R215" s="8"/>
      <c r="S215" s="1"/>
      <c r="T215" s="6">
        <f t="shared" ca="1" si="6"/>
        <v>0</v>
      </c>
      <c r="U215" s="1" t="str">
        <f t="shared" si="7"/>
        <v/>
      </c>
      <c r="V215" s="1"/>
      <c r="W215" s="1"/>
    </row>
    <row r="216" spans="1:23">
      <c r="A216" s="1"/>
      <c r="B216" s="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8"/>
      <c r="R216" s="8"/>
      <c r="S216" s="1"/>
      <c r="T216" s="6">
        <f t="shared" ca="1" si="6"/>
        <v>0</v>
      </c>
      <c r="U216" s="1" t="str">
        <f t="shared" si="7"/>
        <v/>
      </c>
      <c r="V216" s="1"/>
      <c r="W216" s="1"/>
    </row>
    <row r="217" spans="1:23">
      <c r="A217" s="1"/>
      <c r="B217" s="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8"/>
      <c r="R217" s="8"/>
      <c r="S217" s="1"/>
      <c r="T217" s="6">
        <f t="shared" ca="1" si="6"/>
        <v>0</v>
      </c>
      <c r="U217" s="1" t="str">
        <f t="shared" si="7"/>
        <v/>
      </c>
      <c r="V217" s="1"/>
      <c r="W217" s="1"/>
    </row>
    <row r="218" spans="1:23">
      <c r="A218" s="1"/>
      <c r="B218" s="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8"/>
      <c r="R218" s="8"/>
      <c r="S218" s="1"/>
      <c r="T218" s="6">
        <f t="shared" ca="1" si="6"/>
        <v>0</v>
      </c>
      <c r="U218" s="1" t="str">
        <f t="shared" si="7"/>
        <v/>
      </c>
      <c r="V218" s="1"/>
      <c r="W218" s="1"/>
    </row>
    <row r="219" spans="1:23">
      <c r="A219" s="1"/>
      <c r="B219" s="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8"/>
      <c r="R219" s="8"/>
      <c r="S219" s="1"/>
      <c r="T219" s="6">
        <f t="shared" ca="1" si="6"/>
        <v>0</v>
      </c>
      <c r="U219" s="1" t="str">
        <f t="shared" si="7"/>
        <v/>
      </c>
      <c r="V219" s="1"/>
      <c r="W219" s="1"/>
    </row>
    <row r="220" spans="1:23">
      <c r="A220" s="1"/>
      <c r="B220" s="8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8"/>
      <c r="R220" s="8"/>
      <c r="S220" s="1"/>
      <c r="T220" s="6">
        <f t="shared" ca="1" si="6"/>
        <v>0</v>
      </c>
      <c r="U220" s="1" t="str">
        <f t="shared" si="7"/>
        <v/>
      </c>
      <c r="V220" s="1"/>
      <c r="W220" s="1"/>
    </row>
    <row r="221" spans="1:23">
      <c r="A221" s="1"/>
      <c r="B221" s="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8"/>
      <c r="R221" s="8"/>
      <c r="S221" s="1"/>
      <c r="T221" s="6">
        <f t="shared" ca="1" si="6"/>
        <v>0</v>
      </c>
      <c r="U221" s="1" t="str">
        <f t="shared" si="7"/>
        <v/>
      </c>
      <c r="V221" s="1"/>
      <c r="W221" s="1"/>
    </row>
    <row r="222" spans="1:23">
      <c r="A222" s="1"/>
      <c r="B222" s="8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8"/>
      <c r="R222" s="8"/>
      <c r="S222" s="1"/>
      <c r="T222" s="6">
        <f t="shared" ca="1" si="6"/>
        <v>0</v>
      </c>
      <c r="U222" s="1" t="str">
        <f t="shared" si="7"/>
        <v/>
      </c>
      <c r="V222" s="1"/>
      <c r="W222" s="1"/>
    </row>
    <row r="223" spans="1:23">
      <c r="A223" s="1"/>
      <c r="B223" s="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8"/>
      <c r="R223" s="8"/>
      <c r="S223" s="1"/>
      <c r="T223" s="6">
        <f t="shared" ca="1" si="6"/>
        <v>0</v>
      </c>
      <c r="U223" s="1" t="str">
        <f t="shared" si="7"/>
        <v/>
      </c>
      <c r="V223" s="1"/>
      <c r="W223" s="1"/>
    </row>
    <row r="224" spans="1:23">
      <c r="A224" s="1"/>
      <c r="B224" s="8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8"/>
      <c r="R224" s="8"/>
      <c r="S224" s="1"/>
      <c r="T224" s="6">
        <f t="shared" ca="1" si="6"/>
        <v>0</v>
      </c>
      <c r="U224" s="1" t="str">
        <f t="shared" si="7"/>
        <v/>
      </c>
      <c r="V224" s="1"/>
      <c r="W224" s="1"/>
    </row>
    <row r="225" spans="1:23">
      <c r="A225" s="1"/>
      <c r="B225" s="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8"/>
      <c r="R225" s="8"/>
      <c r="S225" s="1"/>
      <c r="T225" s="6">
        <f t="shared" ca="1" si="6"/>
        <v>0</v>
      </c>
      <c r="U225" s="1" t="str">
        <f t="shared" si="7"/>
        <v/>
      </c>
      <c r="V225" s="1"/>
      <c r="W225" s="1"/>
    </row>
    <row r="226" spans="1:23">
      <c r="A226" s="1"/>
      <c r="B226" s="8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8"/>
      <c r="R226" s="8"/>
      <c r="S226" s="1"/>
      <c r="T226" s="6">
        <f t="shared" ca="1" si="6"/>
        <v>0</v>
      </c>
      <c r="U226" s="1" t="str">
        <f t="shared" si="7"/>
        <v/>
      </c>
      <c r="V226" s="1"/>
      <c r="W226" s="1"/>
    </row>
    <row r="227" spans="1:23">
      <c r="A227" s="1"/>
      <c r="B227" s="8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8"/>
      <c r="R227" s="8"/>
      <c r="S227" s="1"/>
      <c r="T227" s="6">
        <f t="shared" ca="1" si="6"/>
        <v>0</v>
      </c>
      <c r="U227" s="1" t="str">
        <f t="shared" si="7"/>
        <v/>
      </c>
      <c r="V227" s="1"/>
      <c r="W227" s="1"/>
    </row>
    <row r="228" spans="1:23">
      <c r="A228" s="1"/>
      <c r="B228" s="8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8"/>
      <c r="R228" s="8"/>
      <c r="S228" s="1"/>
      <c r="T228" s="6">
        <f t="shared" ca="1" si="6"/>
        <v>0</v>
      </c>
      <c r="U228" s="1" t="str">
        <f t="shared" si="7"/>
        <v/>
      </c>
      <c r="V228" s="1"/>
      <c r="W228" s="1"/>
    </row>
    <row r="229" spans="1:23">
      <c r="A229" s="1"/>
      <c r="B229" s="8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8"/>
      <c r="R229" s="8"/>
      <c r="S229" s="1"/>
      <c r="T229" s="6">
        <f t="shared" ca="1" si="6"/>
        <v>0</v>
      </c>
      <c r="U229" s="1" t="str">
        <f t="shared" si="7"/>
        <v/>
      </c>
      <c r="V229" s="1"/>
      <c r="W229" s="1"/>
    </row>
    <row r="230" spans="1:23">
      <c r="A230" s="1"/>
      <c r="B230" s="8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8"/>
      <c r="R230" s="8"/>
      <c r="S230" s="1"/>
      <c r="T230" s="6">
        <f t="shared" ca="1" si="6"/>
        <v>0</v>
      </c>
      <c r="U230" s="1" t="str">
        <f t="shared" si="7"/>
        <v/>
      </c>
      <c r="V230" s="1"/>
      <c r="W230" s="1"/>
    </row>
    <row r="231" spans="1:23">
      <c r="A231" s="1"/>
      <c r="B231" s="8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8"/>
      <c r="R231" s="8"/>
      <c r="S231" s="1"/>
      <c r="T231" s="6">
        <f t="shared" ca="1" si="6"/>
        <v>0</v>
      </c>
      <c r="U231" s="1" t="str">
        <f t="shared" si="7"/>
        <v/>
      </c>
      <c r="V231" s="1"/>
      <c r="W231" s="1"/>
    </row>
    <row r="232" spans="1:23">
      <c r="A232" s="1"/>
      <c r="B232" s="8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8"/>
      <c r="R232" s="8"/>
      <c r="S232" s="1"/>
      <c r="T232" s="6">
        <f t="shared" ca="1" si="6"/>
        <v>0</v>
      </c>
      <c r="U232" s="1" t="str">
        <f t="shared" si="7"/>
        <v/>
      </c>
      <c r="V232" s="1"/>
      <c r="W232" s="1"/>
    </row>
    <row r="233" spans="1:23">
      <c r="A233" s="1"/>
      <c r="B233" s="8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8"/>
      <c r="R233" s="8"/>
      <c r="S233" s="1"/>
      <c r="T233" s="6">
        <f t="shared" ca="1" si="6"/>
        <v>0</v>
      </c>
      <c r="U233" s="1" t="str">
        <f t="shared" si="7"/>
        <v/>
      </c>
      <c r="V233" s="1"/>
      <c r="W233" s="1"/>
    </row>
    <row r="234" spans="1:23">
      <c r="A234" s="1"/>
      <c r="B234" s="8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8"/>
      <c r="R234" s="8"/>
      <c r="S234" s="1"/>
      <c r="T234" s="6">
        <f t="shared" ca="1" si="6"/>
        <v>0</v>
      </c>
      <c r="U234" s="1" t="str">
        <f t="shared" si="7"/>
        <v/>
      </c>
      <c r="V234" s="1"/>
      <c r="W234" s="1"/>
    </row>
    <row r="235" spans="1:23">
      <c r="A235" s="1"/>
      <c r="B235" s="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8"/>
      <c r="R235" s="8"/>
      <c r="S235" s="1"/>
      <c r="T235" s="6">
        <f t="shared" ca="1" si="6"/>
        <v>0</v>
      </c>
      <c r="U235" s="1" t="str">
        <f t="shared" si="7"/>
        <v/>
      </c>
      <c r="V235" s="1"/>
      <c r="W235" s="1"/>
    </row>
    <row r="236" spans="1:23">
      <c r="A236" s="1"/>
      <c r="B236" s="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8"/>
      <c r="R236" s="8"/>
      <c r="S236" s="1"/>
      <c r="T236" s="6">
        <f t="shared" ca="1" si="6"/>
        <v>0</v>
      </c>
      <c r="U236" s="1" t="str">
        <f t="shared" si="7"/>
        <v/>
      </c>
      <c r="V236" s="1"/>
      <c r="W236" s="1"/>
    </row>
    <row r="237" spans="1:23">
      <c r="A237" s="1"/>
      <c r="B237" s="8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8"/>
      <c r="R237" s="8"/>
      <c r="S237" s="1"/>
      <c r="T237" s="6">
        <f t="shared" ca="1" si="6"/>
        <v>0</v>
      </c>
      <c r="U237" s="1" t="str">
        <f t="shared" si="7"/>
        <v/>
      </c>
      <c r="V237" s="1"/>
      <c r="W237" s="1"/>
    </row>
    <row r="238" spans="1:23">
      <c r="A238" s="1"/>
      <c r="B238" s="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8"/>
      <c r="R238" s="8"/>
      <c r="S238" s="1"/>
      <c r="T238" s="6">
        <f t="shared" ca="1" si="6"/>
        <v>0</v>
      </c>
      <c r="U238" s="1" t="str">
        <f t="shared" si="7"/>
        <v/>
      </c>
      <c r="V238" s="1"/>
      <c r="W238" s="1"/>
    </row>
    <row r="239" spans="1:23">
      <c r="A239" s="1"/>
      <c r="B239" s="8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8"/>
      <c r="R239" s="8"/>
      <c r="S239" s="1"/>
      <c r="T239" s="6">
        <f t="shared" ca="1" si="6"/>
        <v>0</v>
      </c>
      <c r="U239" s="1" t="str">
        <f t="shared" si="7"/>
        <v/>
      </c>
      <c r="V239" s="1"/>
      <c r="W239" s="1"/>
    </row>
    <row r="240" spans="1:23">
      <c r="A240" s="1"/>
      <c r="B240" s="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8"/>
      <c r="R240" s="8"/>
      <c r="S240" s="1"/>
      <c r="T240" s="6">
        <f t="shared" ca="1" si="6"/>
        <v>0</v>
      </c>
      <c r="U240" s="1" t="str">
        <f t="shared" si="7"/>
        <v/>
      </c>
      <c r="V240" s="1"/>
      <c r="W240" s="1"/>
    </row>
    <row r="241" spans="1:23">
      <c r="A241" s="1"/>
      <c r="B241" s="8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8"/>
      <c r="R241" s="8"/>
      <c r="S241" s="1"/>
      <c r="T241" s="6">
        <f t="shared" ca="1" si="6"/>
        <v>0</v>
      </c>
      <c r="U241" s="1" t="str">
        <f t="shared" si="7"/>
        <v/>
      </c>
      <c r="V241" s="1"/>
      <c r="W241" s="1"/>
    </row>
    <row r="242" spans="1:23">
      <c r="A242" s="1"/>
      <c r="B242" s="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8"/>
      <c r="R242" s="8"/>
      <c r="S242" s="1"/>
      <c r="T242" s="6">
        <f t="shared" ca="1" si="6"/>
        <v>0</v>
      </c>
      <c r="U242" s="1" t="str">
        <f t="shared" si="7"/>
        <v/>
      </c>
      <c r="V242" s="1"/>
      <c r="W242" s="1"/>
    </row>
    <row r="243" spans="1:23">
      <c r="A243" s="1"/>
      <c r="B243" s="8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8"/>
      <c r="R243" s="8"/>
      <c r="S243" s="1"/>
      <c r="T243" s="6">
        <f t="shared" ca="1" si="6"/>
        <v>0</v>
      </c>
      <c r="U243" s="1" t="str">
        <f t="shared" si="7"/>
        <v/>
      </c>
      <c r="V243" s="1"/>
      <c r="W243" s="1"/>
    </row>
    <row r="244" spans="1:23">
      <c r="A244" s="1"/>
      <c r="B244" s="8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8"/>
      <c r="R244" s="8"/>
      <c r="S244" s="1"/>
      <c r="T244" s="6">
        <f t="shared" ca="1" si="6"/>
        <v>0</v>
      </c>
      <c r="U244" s="1" t="str">
        <f t="shared" si="7"/>
        <v/>
      </c>
      <c r="V244" s="1"/>
      <c r="W244" s="1"/>
    </row>
    <row r="245" spans="1:23">
      <c r="A245" s="1"/>
      <c r="B245" s="8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8"/>
      <c r="R245" s="8"/>
      <c r="S245" s="1"/>
      <c r="T245" s="6">
        <f t="shared" ca="1" si="6"/>
        <v>0</v>
      </c>
      <c r="U245" s="1" t="str">
        <f t="shared" si="7"/>
        <v/>
      </c>
      <c r="V245" s="1"/>
      <c r="W245" s="1"/>
    </row>
    <row r="246" spans="1:23">
      <c r="A246" s="1"/>
      <c r="B246" s="8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8"/>
      <c r="R246" s="8"/>
      <c r="S246" s="1"/>
      <c r="T246" s="6">
        <f t="shared" ca="1" si="6"/>
        <v>0</v>
      </c>
      <c r="U246" s="1" t="str">
        <f t="shared" si="7"/>
        <v/>
      </c>
      <c r="V246" s="1"/>
      <c r="W246" s="1"/>
    </row>
    <row r="247" spans="1:23">
      <c r="A247" s="1"/>
      <c r="B247" s="8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8"/>
      <c r="R247" s="8"/>
      <c r="S247" s="1"/>
      <c r="T247" s="6">
        <f t="shared" ca="1" si="6"/>
        <v>0</v>
      </c>
      <c r="U247" s="1" t="str">
        <f t="shared" si="7"/>
        <v/>
      </c>
      <c r="V247" s="1"/>
      <c r="W247" s="1"/>
    </row>
    <row r="248" spans="1:23">
      <c r="A248" s="1"/>
      <c r="B248" s="8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8"/>
      <c r="R248" s="8"/>
      <c r="S248" s="1"/>
      <c r="T248" s="6">
        <f t="shared" ca="1" si="6"/>
        <v>0</v>
      </c>
      <c r="U248" s="1" t="str">
        <f t="shared" si="7"/>
        <v/>
      </c>
      <c r="V248" s="1"/>
      <c r="W248" s="1"/>
    </row>
    <row r="249" spans="1:23">
      <c r="A249" s="1"/>
      <c r="B249" s="8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8"/>
      <c r="R249" s="8"/>
      <c r="S249" s="1"/>
      <c r="T249" s="6">
        <f t="shared" ca="1" si="6"/>
        <v>0</v>
      </c>
      <c r="U249" s="1" t="str">
        <f t="shared" si="7"/>
        <v/>
      </c>
      <c r="V249" s="1"/>
      <c r="W249" s="1"/>
    </row>
    <row r="250" spans="1:23">
      <c r="A250" s="1"/>
      <c r="B250" s="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8"/>
      <c r="R250" s="8"/>
      <c r="S250" s="1"/>
      <c r="T250" s="6">
        <f t="shared" ca="1" si="6"/>
        <v>0</v>
      </c>
      <c r="U250" s="1" t="str">
        <f t="shared" si="7"/>
        <v/>
      </c>
      <c r="V250" s="1"/>
      <c r="W250" s="1"/>
    </row>
    <row r="251" spans="1:23">
      <c r="A251" s="1"/>
      <c r="B251" s="8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8"/>
      <c r="R251" s="8"/>
      <c r="S251" s="1"/>
      <c r="T251" s="6">
        <f t="shared" ca="1" si="6"/>
        <v>0</v>
      </c>
      <c r="U251" s="1" t="str">
        <f t="shared" si="7"/>
        <v/>
      </c>
      <c r="V251" s="1"/>
      <c r="W251" s="1"/>
    </row>
    <row r="252" spans="1:23">
      <c r="A252" s="1"/>
      <c r="B252" s="8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8"/>
      <c r="R252" s="8"/>
      <c r="S252" s="1"/>
      <c r="T252" s="6">
        <f t="shared" ca="1" si="6"/>
        <v>0</v>
      </c>
      <c r="U252" s="1" t="str">
        <f t="shared" si="7"/>
        <v/>
      </c>
      <c r="V252" s="1"/>
      <c r="W252" s="1"/>
    </row>
    <row r="253" spans="1:23">
      <c r="A253" s="1"/>
      <c r="B253" s="8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8"/>
      <c r="R253" s="8"/>
      <c r="S253" s="1"/>
      <c r="T253" s="6">
        <f t="shared" ca="1" si="6"/>
        <v>0</v>
      </c>
      <c r="U253" s="1" t="str">
        <f t="shared" si="7"/>
        <v/>
      </c>
      <c r="V253" s="1"/>
      <c r="W253" s="1"/>
    </row>
    <row r="254" spans="1:23">
      <c r="A254" s="1"/>
      <c r="B254" s="8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8"/>
      <c r="R254" s="8"/>
      <c r="S254" s="1"/>
      <c r="T254" s="6">
        <f t="shared" ca="1" si="6"/>
        <v>0</v>
      </c>
      <c r="U254" s="1" t="str">
        <f t="shared" si="7"/>
        <v/>
      </c>
      <c r="V254" s="1"/>
      <c r="W254" s="1"/>
    </row>
    <row r="255" spans="1:23">
      <c r="A255" s="1"/>
      <c r="B255" s="8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8"/>
      <c r="R255" s="8"/>
      <c r="S255" s="1"/>
      <c r="T255" s="6">
        <f t="shared" ca="1" si="6"/>
        <v>0</v>
      </c>
      <c r="U255" s="1" t="str">
        <f t="shared" si="7"/>
        <v/>
      </c>
      <c r="V255" s="1"/>
      <c r="W255" s="1"/>
    </row>
    <row r="256" spans="1:23">
      <c r="A256" s="1"/>
      <c r="B256" s="8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8"/>
      <c r="R256" s="8"/>
      <c r="S256" s="1"/>
      <c r="T256" s="6">
        <f t="shared" ca="1" si="6"/>
        <v>0</v>
      </c>
      <c r="U256" s="1" t="str">
        <f t="shared" si="7"/>
        <v/>
      </c>
      <c r="V256" s="1"/>
      <c r="W256" s="1"/>
    </row>
    <row r="257" spans="1:23">
      <c r="A257" s="1"/>
      <c r="B257" s="8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8"/>
      <c r="R257" s="8"/>
      <c r="S257" s="1"/>
      <c r="T257" s="6">
        <f t="shared" ca="1" si="6"/>
        <v>0</v>
      </c>
      <c r="U257" s="1" t="str">
        <f t="shared" si="7"/>
        <v/>
      </c>
      <c r="V257" s="1"/>
      <c r="W257" s="1"/>
    </row>
    <row r="258" spans="1:23">
      <c r="A258" s="1"/>
      <c r="B258" s="8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8"/>
      <c r="R258" s="8"/>
      <c r="S258" s="1"/>
      <c r="T258" s="6">
        <f t="shared" ref="T258:T297" ca="1" si="8">IF(AND(S258&lt;&gt;"Clôturée",Q258&lt;&gt;"",TODAY()&gt;Q258),TODAY()-Q258,0)</f>
        <v>0</v>
      </c>
      <c r="U258" s="1" t="str">
        <f t="shared" ref="U258:U297" si="9">IF(M258="Critique","P1",IF(M258="Majeure","P2",IF(M258="Mineure","P3","")))</f>
        <v/>
      </c>
      <c r="V258" s="1"/>
      <c r="W258" s="1"/>
    </row>
    <row r="259" spans="1:23">
      <c r="A259" s="1"/>
      <c r="B259" s="8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8"/>
      <c r="R259" s="8"/>
      <c r="S259" s="1"/>
      <c r="T259" s="6">
        <f t="shared" ca="1" si="8"/>
        <v>0</v>
      </c>
      <c r="U259" s="1" t="str">
        <f t="shared" si="9"/>
        <v/>
      </c>
      <c r="V259" s="1"/>
      <c r="W259" s="1"/>
    </row>
    <row r="260" spans="1:23">
      <c r="A260" s="1"/>
      <c r="B260" s="8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8"/>
      <c r="R260" s="8"/>
      <c r="S260" s="1"/>
      <c r="T260" s="6">
        <f t="shared" ca="1" si="8"/>
        <v>0</v>
      </c>
      <c r="U260" s="1" t="str">
        <f t="shared" si="9"/>
        <v/>
      </c>
      <c r="V260" s="1"/>
      <c r="W260" s="1"/>
    </row>
    <row r="261" spans="1:23">
      <c r="A261" s="1"/>
      <c r="B261" s="8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8"/>
      <c r="R261" s="8"/>
      <c r="S261" s="1"/>
      <c r="T261" s="6">
        <f t="shared" ca="1" si="8"/>
        <v>0</v>
      </c>
      <c r="U261" s="1" t="str">
        <f t="shared" si="9"/>
        <v/>
      </c>
      <c r="V261" s="1"/>
      <c r="W261" s="1"/>
    </row>
    <row r="262" spans="1:23">
      <c r="A262" s="1"/>
      <c r="B262" s="8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8"/>
      <c r="R262" s="8"/>
      <c r="S262" s="1"/>
      <c r="T262" s="6">
        <f t="shared" ca="1" si="8"/>
        <v>0</v>
      </c>
      <c r="U262" s="1" t="str">
        <f t="shared" si="9"/>
        <v/>
      </c>
      <c r="V262" s="1"/>
      <c r="W262" s="1"/>
    </row>
    <row r="263" spans="1:23">
      <c r="A263" s="1"/>
      <c r="B263" s="8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8"/>
      <c r="R263" s="8"/>
      <c r="S263" s="1"/>
      <c r="T263" s="6">
        <f t="shared" ca="1" si="8"/>
        <v>0</v>
      </c>
      <c r="U263" s="1" t="str">
        <f t="shared" si="9"/>
        <v/>
      </c>
      <c r="V263" s="1"/>
      <c r="W263" s="1"/>
    </row>
    <row r="264" spans="1:23">
      <c r="A264" s="1"/>
      <c r="B264" s="8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8"/>
      <c r="R264" s="8"/>
      <c r="S264" s="1"/>
      <c r="T264" s="6">
        <f t="shared" ca="1" si="8"/>
        <v>0</v>
      </c>
      <c r="U264" s="1" t="str">
        <f t="shared" si="9"/>
        <v/>
      </c>
      <c r="V264" s="1"/>
      <c r="W264" s="1"/>
    </row>
    <row r="265" spans="1:23">
      <c r="A265" s="1"/>
      <c r="B265" s="8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8"/>
      <c r="R265" s="8"/>
      <c r="S265" s="1"/>
      <c r="T265" s="6">
        <f t="shared" ca="1" si="8"/>
        <v>0</v>
      </c>
      <c r="U265" s="1" t="str">
        <f t="shared" si="9"/>
        <v/>
      </c>
      <c r="V265" s="1"/>
      <c r="W265" s="1"/>
    </row>
    <row r="266" spans="1:23">
      <c r="A266" s="1"/>
      <c r="B266" s="8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8"/>
      <c r="R266" s="8"/>
      <c r="S266" s="1"/>
      <c r="T266" s="6">
        <f t="shared" ca="1" si="8"/>
        <v>0</v>
      </c>
      <c r="U266" s="1" t="str">
        <f t="shared" si="9"/>
        <v/>
      </c>
      <c r="V266" s="1"/>
      <c r="W266" s="1"/>
    </row>
    <row r="267" spans="1:23">
      <c r="A267" s="1"/>
      <c r="B267" s="8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8"/>
      <c r="R267" s="8"/>
      <c r="S267" s="1"/>
      <c r="T267" s="6">
        <f t="shared" ca="1" si="8"/>
        <v>0</v>
      </c>
      <c r="U267" s="1" t="str">
        <f t="shared" si="9"/>
        <v/>
      </c>
      <c r="V267" s="1"/>
      <c r="W267" s="1"/>
    </row>
    <row r="268" spans="1:23">
      <c r="A268" s="1"/>
      <c r="B268" s="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8"/>
      <c r="R268" s="8"/>
      <c r="S268" s="1"/>
      <c r="T268" s="6">
        <f t="shared" ca="1" si="8"/>
        <v>0</v>
      </c>
      <c r="U268" s="1" t="str">
        <f t="shared" si="9"/>
        <v/>
      </c>
      <c r="V268" s="1"/>
      <c r="W268" s="1"/>
    </row>
    <row r="269" spans="1:23">
      <c r="A269" s="1"/>
      <c r="B269" s="8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8"/>
      <c r="R269" s="8"/>
      <c r="S269" s="1"/>
      <c r="T269" s="6">
        <f t="shared" ca="1" si="8"/>
        <v>0</v>
      </c>
      <c r="U269" s="1" t="str">
        <f t="shared" si="9"/>
        <v/>
      </c>
      <c r="V269" s="1"/>
      <c r="W269" s="1"/>
    </row>
    <row r="270" spans="1:23">
      <c r="A270" s="1"/>
      <c r="B270" s="8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8"/>
      <c r="R270" s="8"/>
      <c r="S270" s="1"/>
      <c r="T270" s="6">
        <f t="shared" ca="1" si="8"/>
        <v>0</v>
      </c>
      <c r="U270" s="1" t="str">
        <f t="shared" si="9"/>
        <v/>
      </c>
      <c r="V270" s="1"/>
      <c r="W270" s="1"/>
    </row>
    <row r="271" spans="1:23">
      <c r="A271" s="1"/>
      <c r="B271" s="8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8"/>
      <c r="R271" s="8"/>
      <c r="S271" s="1"/>
      <c r="T271" s="6">
        <f t="shared" ca="1" si="8"/>
        <v>0</v>
      </c>
      <c r="U271" s="1" t="str">
        <f t="shared" si="9"/>
        <v/>
      </c>
      <c r="V271" s="1"/>
      <c r="W271" s="1"/>
    </row>
    <row r="272" spans="1:23">
      <c r="A272" s="1"/>
      <c r="B272" s="8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8"/>
      <c r="R272" s="8"/>
      <c r="S272" s="1"/>
      <c r="T272" s="6">
        <f t="shared" ca="1" si="8"/>
        <v>0</v>
      </c>
      <c r="U272" s="1" t="str">
        <f t="shared" si="9"/>
        <v/>
      </c>
      <c r="V272" s="1"/>
      <c r="W272" s="1"/>
    </row>
    <row r="273" spans="1:23">
      <c r="A273" s="1"/>
      <c r="B273" s="8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8"/>
      <c r="R273" s="8"/>
      <c r="S273" s="1"/>
      <c r="T273" s="6">
        <f t="shared" ca="1" si="8"/>
        <v>0</v>
      </c>
      <c r="U273" s="1" t="str">
        <f t="shared" si="9"/>
        <v/>
      </c>
      <c r="V273" s="1"/>
      <c r="W273" s="1"/>
    </row>
    <row r="274" spans="1:23">
      <c r="A274" s="1"/>
      <c r="B274" s="8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8"/>
      <c r="R274" s="8"/>
      <c r="S274" s="1"/>
      <c r="T274" s="6">
        <f t="shared" ca="1" si="8"/>
        <v>0</v>
      </c>
      <c r="U274" s="1" t="str">
        <f t="shared" si="9"/>
        <v/>
      </c>
      <c r="V274" s="1"/>
      <c r="W274" s="1"/>
    </row>
    <row r="275" spans="1:23">
      <c r="A275" s="1"/>
      <c r="B275" s="8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8"/>
      <c r="R275" s="8"/>
      <c r="S275" s="1"/>
      <c r="T275" s="6">
        <f t="shared" ca="1" si="8"/>
        <v>0</v>
      </c>
      <c r="U275" s="1" t="str">
        <f t="shared" si="9"/>
        <v/>
      </c>
      <c r="V275" s="1"/>
      <c r="W275" s="1"/>
    </row>
    <row r="276" spans="1:23">
      <c r="A276" s="1"/>
      <c r="B276" s="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8"/>
      <c r="R276" s="8"/>
      <c r="S276" s="1"/>
      <c r="T276" s="6">
        <f t="shared" ca="1" si="8"/>
        <v>0</v>
      </c>
      <c r="U276" s="1" t="str">
        <f t="shared" si="9"/>
        <v/>
      </c>
      <c r="V276" s="1"/>
      <c r="W276" s="1"/>
    </row>
    <row r="277" spans="1:23">
      <c r="A277" s="1"/>
      <c r="B277" s="8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8"/>
      <c r="R277" s="8"/>
      <c r="S277" s="1"/>
      <c r="T277" s="6">
        <f t="shared" ca="1" si="8"/>
        <v>0</v>
      </c>
      <c r="U277" s="1" t="str">
        <f t="shared" si="9"/>
        <v/>
      </c>
      <c r="V277" s="1"/>
      <c r="W277" s="1"/>
    </row>
    <row r="278" spans="1:23">
      <c r="A278" s="1"/>
      <c r="B278" s="8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8"/>
      <c r="R278" s="8"/>
      <c r="S278" s="1"/>
      <c r="T278" s="6">
        <f t="shared" ca="1" si="8"/>
        <v>0</v>
      </c>
      <c r="U278" s="1" t="str">
        <f t="shared" si="9"/>
        <v/>
      </c>
      <c r="V278" s="1"/>
      <c r="W278" s="1"/>
    </row>
    <row r="279" spans="1:23">
      <c r="A279" s="1"/>
      <c r="B279" s="8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8"/>
      <c r="R279" s="8"/>
      <c r="S279" s="1"/>
      <c r="T279" s="6">
        <f t="shared" ca="1" si="8"/>
        <v>0</v>
      </c>
      <c r="U279" s="1" t="str">
        <f t="shared" si="9"/>
        <v/>
      </c>
      <c r="V279" s="1"/>
      <c r="W279" s="1"/>
    </row>
    <row r="280" spans="1:23">
      <c r="A280" s="1"/>
      <c r="B280" s="8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8"/>
      <c r="R280" s="8"/>
      <c r="S280" s="1"/>
      <c r="T280" s="6">
        <f t="shared" ca="1" si="8"/>
        <v>0</v>
      </c>
      <c r="U280" s="1" t="str">
        <f t="shared" si="9"/>
        <v/>
      </c>
      <c r="V280" s="1"/>
      <c r="W280" s="1"/>
    </row>
    <row r="281" spans="1:23">
      <c r="A281" s="1"/>
      <c r="B281" s="8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8"/>
      <c r="R281" s="8"/>
      <c r="S281" s="1"/>
      <c r="T281" s="6">
        <f t="shared" ca="1" si="8"/>
        <v>0</v>
      </c>
      <c r="U281" s="1" t="str">
        <f t="shared" si="9"/>
        <v/>
      </c>
      <c r="V281" s="1"/>
      <c r="W281" s="1"/>
    </row>
    <row r="282" spans="1:23">
      <c r="A282" s="1"/>
      <c r="B282" s="8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8"/>
      <c r="R282" s="8"/>
      <c r="S282" s="1"/>
      <c r="T282" s="6">
        <f t="shared" ca="1" si="8"/>
        <v>0</v>
      </c>
      <c r="U282" s="1" t="str">
        <f t="shared" si="9"/>
        <v/>
      </c>
      <c r="V282" s="1"/>
      <c r="W282" s="1"/>
    </row>
    <row r="283" spans="1:23">
      <c r="A283" s="1"/>
      <c r="B283" s="8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8"/>
      <c r="R283" s="8"/>
      <c r="S283" s="1"/>
      <c r="T283" s="6">
        <f t="shared" ca="1" si="8"/>
        <v>0</v>
      </c>
      <c r="U283" s="1" t="str">
        <f t="shared" si="9"/>
        <v/>
      </c>
      <c r="V283" s="1"/>
      <c r="W283" s="1"/>
    </row>
    <row r="284" spans="1:23">
      <c r="A284" s="1"/>
      <c r="B284" s="8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8"/>
      <c r="R284" s="8"/>
      <c r="S284" s="1"/>
      <c r="T284" s="6">
        <f t="shared" ca="1" si="8"/>
        <v>0</v>
      </c>
      <c r="U284" s="1" t="str">
        <f t="shared" si="9"/>
        <v/>
      </c>
      <c r="V284" s="1"/>
      <c r="W284" s="1"/>
    </row>
    <row r="285" spans="1:23">
      <c r="A285" s="1"/>
      <c r="B285" s="8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8"/>
      <c r="R285" s="8"/>
      <c r="S285" s="1"/>
      <c r="T285" s="6">
        <f t="shared" ca="1" si="8"/>
        <v>0</v>
      </c>
      <c r="U285" s="1" t="str">
        <f t="shared" si="9"/>
        <v/>
      </c>
      <c r="V285" s="1"/>
      <c r="W285" s="1"/>
    </row>
    <row r="286" spans="1:23">
      <c r="A286" s="1"/>
      <c r="B286" s="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8"/>
      <c r="R286" s="8"/>
      <c r="S286" s="1"/>
      <c r="T286" s="6">
        <f t="shared" ca="1" si="8"/>
        <v>0</v>
      </c>
      <c r="U286" s="1" t="str">
        <f t="shared" si="9"/>
        <v/>
      </c>
      <c r="V286" s="1"/>
      <c r="W286" s="1"/>
    </row>
    <row r="287" spans="1:23">
      <c r="A287" s="1"/>
      <c r="B287" s="8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8"/>
      <c r="R287" s="8"/>
      <c r="S287" s="1"/>
      <c r="T287" s="6">
        <f t="shared" ca="1" si="8"/>
        <v>0</v>
      </c>
      <c r="U287" s="1" t="str">
        <f t="shared" si="9"/>
        <v/>
      </c>
      <c r="V287" s="1"/>
      <c r="W287" s="1"/>
    </row>
    <row r="288" spans="1:23">
      <c r="A288" s="1"/>
      <c r="B288" s="8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8"/>
      <c r="R288" s="8"/>
      <c r="S288" s="1"/>
      <c r="T288" s="6">
        <f t="shared" ca="1" si="8"/>
        <v>0</v>
      </c>
      <c r="U288" s="1" t="str">
        <f t="shared" si="9"/>
        <v/>
      </c>
      <c r="V288" s="1"/>
      <c r="W288" s="1"/>
    </row>
    <row r="289" spans="1:23">
      <c r="A289" s="1"/>
      <c r="B289" s="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8"/>
      <c r="R289" s="8"/>
      <c r="S289" s="1"/>
      <c r="T289" s="6">
        <f t="shared" ca="1" si="8"/>
        <v>0</v>
      </c>
      <c r="U289" s="1" t="str">
        <f t="shared" si="9"/>
        <v/>
      </c>
      <c r="V289" s="1"/>
      <c r="W289" s="1"/>
    </row>
    <row r="290" spans="1:23">
      <c r="A290" s="1"/>
      <c r="B290" s="8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8"/>
      <c r="R290" s="8"/>
      <c r="S290" s="1"/>
      <c r="T290" s="6">
        <f t="shared" ca="1" si="8"/>
        <v>0</v>
      </c>
      <c r="U290" s="1" t="str">
        <f t="shared" si="9"/>
        <v/>
      </c>
      <c r="V290" s="1"/>
      <c r="W290" s="1"/>
    </row>
    <row r="291" spans="1:23">
      <c r="A291" s="1"/>
      <c r="B291" s="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8"/>
      <c r="R291" s="8"/>
      <c r="S291" s="1"/>
      <c r="T291" s="6">
        <f t="shared" ca="1" si="8"/>
        <v>0</v>
      </c>
      <c r="U291" s="1" t="str">
        <f t="shared" si="9"/>
        <v/>
      </c>
      <c r="V291" s="1"/>
      <c r="W291" s="1"/>
    </row>
    <row r="292" spans="1:23">
      <c r="A292" s="1"/>
      <c r="B292" s="8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8"/>
      <c r="R292" s="8"/>
      <c r="S292" s="1"/>
      <c r="T292" s="6">
        <f t="shared" ca="1" si="8"/>
        <v>0</v>
      </c>
      <c r="U292" s="1" t="str">
        <f t="shared" si="9"/>
        <v/>
      </c>
      <c r="V292" s="1"/>
      <c r="W292" s="1"/>
    </row>
    <row r="293" spans="1:23">
      <c r="A293" s="1"/>
      <c r="B293" s="8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8"/>
      <c r="R293" s="8"/>
      <c r="S293" s="1"/>
      <c r="T293" s="6">
        <f t="shared" ca="1" si="8"/>
        <v>0</v>
      </c>
      <c r="U293" s="1" t="str">
        <f t="shared" si="9"/>
        <v/>
      </c>
      <c r="V293" s="1"/>
      <c r="W293" s="1"/>
    </row>
    <row r="294" spans="1:23">
      <c r="A294" s="1"/>
      <c r="B294" s="8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8"/>
      <c r="R294" s="8"/>
      <c r="S294" s="1"/>
      <c r="T294" s="6">
        <f t="shared" ca="1" si="8"/>
        <v>0</v>
      </c>
      <c r="U294" s="1" t="str">
        <f t="shared" si="9"/>
        <v/>
      </c>
      <c r="V294" s="1"/>
      <c r="W294" s="1"/>
    </row>
    <row r="295" spans="1:23">
      <c r="A295" s="1"/>
      <c r="B295" s="8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8"/>
      <c r="R295" s="8"/>
      <c r="S295" s="1"/>
      <c r="T295" s="6">
        <f t="shared" ca="1" si="8"/>
        <v>0</v>
      </c>
      <c r="U295" s="1" t="str">
        <f t="shared" si="9"/>
        <v/>
      </c>
      <c r="V295" s="1"/>
      <c r="W295" s="1"/>
    </row>
    <row r="296" spans="1:23">
      <c r="A296" s="1"/>
      <c r="B296" s="8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8"/>
      <c r="R296" s="8"/>
      <c r="S296" s="1"/>
      <c r="T296" s="6">
        <f t="shared" ca="1" si="8"/>
        <v>0</v>
      </c>
      <c r="U296" s="1" t="str">
        <f t="shared" si="9"/>
        <v/>
      </c>
      <c r="V296" s="1"/>
      <c r="W296" s="1"/>
    </row>
    <row r="297" spans="1:23">
      <c r="A297" s="1"/>
      <c r="B297" s="8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8"/>
      <c r="R297" s="8"/>
      <c r="S297" s="1"/>
      <c r="T297" s="6">
        <f t="shared" ca="1" si="8"/>
        <v>0</v>
      </c>
      <c r="U297" s="1" t="str">
        <f t="shared" si="9"/>
        <v/>
      </c>
      <c r="V297" s="1"/>
      <c r="W297" s="1"/>
    </row>
  </sheetData>
  <conditionalFormatting sqref="L2:L297">
    <cfRule type="expression" dxfId="23" priority="1">
      <formula>L2="Non conforme"</formula>
    </cfRule>
    <cfRule type="expression" dxfId="22" priority="2">
      <formula>L2="Conforme"</formula>
    </cfRule>
  </conditionalFormatting>
  <conditionalFormatting sqref="M2:M297">
    <cfRule type="expression" dxfId="21" priority="3">
      <formula>M2="Critique"</formula>
    </cfRule>
  </conditionalFormatting>
  <conditionalFormatting sqref="T2:T297">
    <cfRule type="cellIs" dxfId="20" priority="4" operator="greaterThan">
      <formula>0</formula>
    </cfRule>
  </conditionalFormatting>
  <dataValidations count="9">
    <dataValidation type="list" allowBlank="1" showErrorMessage="1" errorTitle="Valeur non autorisée" error="Veuillez choisir une valeur depuis la liste dynamique REF_AGENCES." sqref="C2:C1000" xr:uid="{00000000-0002-0000-0B00-000000000000}">
      <formula1>REF_AGENCES</formula1>
    </dataValidation>
    <dataValidation type="list" allowBlank="1" showErrorMessage="1" errorTitle="Valeur non autorisée" error="Veuillez choisir une valeur depuis la liste dynamique REF_CYCLES." sqref="D2:D1000" xr:uid="{00000000-0002-0000-0B00-000001000000}">
      <formula1>REF_CYCLES</formula1>
    </dataValidation>
    <dataValidation type="list" allowBlank="1" showErrorMessage="1" errorTitle="Valeur non autorisée" error="Veuillez choisir une valeur depuis la liste dynamique REF_FREQUENCES." sqref="H2:H1000" xr:uid="{00000000-0002-0000-0B00-000002000000}">
      <formula1>REF_FREQUENCES</formula1>
    </dataValidation>
    <dataValidation type="list" allowBlank="1" showErrorMessage="1" errorTitle="Valeur non autorisée" error="Veuillez choisir une valeur depuis la liste dynamique REF_RESPONSABLES." sqref="I2:I1000 P2:P1000" xr:uid="{00000000-0002-0000-0B00-000003000000}">
      <formula1>REF_RESPONSABLES</formula1>
    </dataValidation>
    <dataValidation type="list" allowBlank="1" showErrorMessage="1" errorTitle="Valeur non autorisée" error="Veuillez choisir une valeur depuis la liste dynamique REF_NIVEAUX_RISQUE." sqref="J2:J1000" xr:uid="{00000000-0002-0000-0B00-000004000000}">
      <formula1>REF_NIVEAUX_RISQUE</formula1>
    </dataValidation>
    <dataValidation type="list" allowBlank="1" showErrorMessage="1" errorTitle="Valeur non autorisée" error="Veuillez choisir une valeur depuis la liste dynamique REF_RESULTATS_CONTROLE." sqref="L2:L1000" xr:uid="{00000000-0002-0000-0B00-000005000000}">
      <formula1>REF_RESULTATS_CONTROLE</formula1>
    </dataValidation>
    <dataValidation type="list" allowBlank="1" showErrorMessage="1" errorTitle="Valeur non autorisée" error="Veuillez choisir une valeur depuis la liste dynamique REF_GRAVITES_ANOMALIE." sqref="M2:M1000" xr:uid="{00000000-0002-0000-0B00-000006000000}">
      <formula1>REF_GRAVITES_ANOMALIE</formula1>
    </dataValidation>
    <dataValidation type="list" allowBlank="1" showErrorMessage="1" errorTitle="Valeur non autorisée" error="Veuillez choisir une valeur depuis la liste dynamique REF_STATUTS_ACTION." sqref="S2:S1000" xr:uid="{00000000-0002-0000-0B00-000008000000}">
      <formula1>REF_STATUTS_ACTION</formula1>
    </dataValidation>
    <dataValidation type="list" allowBlank="1" showErrorMessage="1" errorTitle="Valeur non autorisée" error="Veuillez choisir une valeur depuis la liste dynamique REF_PRIORITES." sqref="U2:U1000" xr:uid="{00000000-0002-0000-0B00-000009000000}">
      <formula1>REF_PRIORITES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97"/>
  <sheetViews>
    <sheetView workbookViewId="0"/>
  </sheetViews>
  <sheetFormatPr baseColWidth="10" defaultColWidth="9" defaultRowHeight="14.25"/>
  <cols>
    <col min="1" max="2" width="14" customWidth="1"/>
    <col min="3" max="3" width="18" customWidth="1"/>
    <col min="4" max="4" width="28" customWidth="1"/>
    <col min="5" max="5" width="26" customWidth="1"/>
    <col min="6" max="6" width="42" customWidth="1"/>
    <col min="7" max="7" width="48" customWidth="1"/>
    <col min="8" max="8" width="16" customWidth="1"/>
    <col min="9" max="9" width="24" customWidth="1"/>
    <col min="10" max="10" width="14" customWidth="1"/>
    <col min="11" max="11" width="34" customWidth="1"/>
    <col min="12" max="12" width="18" customWidth="1"/>
    <col min="13" max="13" width="16" customWidth="1"/>
    <col min="14" max="14" width="42" customWidth="1"/>
    <col min="15" max="15" width="48" customWidth="1"/>
    <col min="16" max="16" width="22" customWidth="1"/>
    <col min="17" max="18" width="14" customWidth="1"/>
    <col min="19" max="19" width="16" customWidth="1"/>
    <col min="20" max="20" width="12" customWidth="1"/>
    <col min="21" max="21" width="10" customWidth="1"/>
    <col min="22" max="22" width="20" customWidth="1"/>
    <col min="23" max="23" width="36" customWidth="1"/>
  </cols>
  <sheetData>
    <row r="1" spans="1:23" ht="32.1" customHeight="1">
      <c r="A1" s="2" t="s">
        <v>39</v>
      </c>
      <c r="B1" s="2" t="s">
        <v>166</v>
      </c>
      <c r="C1" s="2" t="s">
        <v>167</v>
      </c>
      <c r="D1" s="2" t="s">
        <v>18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47</v>
      </c>
      <c r="N1" s="2" t="s">
        <v>176</v>
      </c>
      <c r="O1" s="2" t="s">
        <v>177</v>
      </c>
      <c r="P1" s="2" t="s">
        <v>178</v>
      </c>
      <c r="Q1" s="2" t="s">
        <v>179</v>
      </c>
      <c r="R1" s="2" t="s">
        <v>180</v>
      </c>
      <c r="S1" s="2" t="s">
        <v>181</v>
      </c>
      <c r="T1" s="2" t="s">
        <v>182</v>
      </c>
      <c r="U1" s="2" t="s">
        <v>183</v>
      </c>
      <c r="V1" s="2" t="s">
        <v>184</v>
      </c>
      <c r="W1" s="2" t="s">
        <v>185</v>
      </c>
    </row>
    <row r="2" spans="1:23" ht="28.5">
      <c r="A2" s="1" t="s">
        <v>391</v>
      </c>
      <c r="B2" s="8"/>
      <c r="C2" s="1"/>
      <c r="D2" s="1" t="s">
        <v>106</v>
      </c>
      <c r="E2" s="1" t="s">
        <v>392</v>
      </c>
      <c r="F2" s="1" t="s">
        <v>393</v>
      </c>
      <c r="G2" s="1" t="s">
        <v>394</v>
      </c>
      <c r="H2" s="1" t="s">
        <v>84</v>
      </c>
      <c r="I2" s="1" t="s">
        <v>211</v>
      </c>
      <c r="J2" s="1" t="s">
        <v>72</v>
      </c>
      <c r="K2" s="1" t="s">
        <v>395</v>
      </c>
      <c r="L2" s="1"/>
      <c r="M2" s="1" t="s">
        <v>61</v>
      </c>
      <c r="N2" s="1"/>
      <c r="O2" s="1"/>
      <c r="P2" s="1"/>
      <c r="Q2" s="8"/>
      <c r="R2" s="8"/>
      <c r="S2" s="1" t="s">
        <v>62</v>
      </c>
      <c r="T2" s="6">
        <f t="shared" ref="T2:T65" ca="1" si="0">IF(AND(S2&lt;&gt;"Clôturée",Q2&lt;&gt;"",TODAY()&gt;Q2),TODAY()-Q2,0)</f>
        <v>0</v>
      </c>
      <c r="U2" s="1" t="str">
        <f t="shared" ref="U2:U65" si="1">IF(M2="Critique","P1",IF(M2="Majeure","P2",IF(M2="Mineure","P3","")))</f>
        <v/>
      </c>
      <c r="V2" s="1" t="s">
        <v>396</v>
      </c>
      <c r="W2" s="1"/>
    </row>
    <row r="3" spans="1:23" ht="28.5">
      <c r="A3" s="1" t="s">
        <v>397</v>
      </c>
      <c r="B3" s="8"/>
      <c r="C3" s="1"/>
      <c r="D3" s="1" t="s">
        <v>106</v>
      </c>
      <c r="E3" s="1" t="s">
        <v>398</v>
      </c>
      <c r="F3" s="1" t="s">
        <v>399</v>
      </c>
      <c r="G3" s="1" t="s">
        <v>400</v>
      </c>
      <c r="H3" s="1" t="s">
        <v>84</v>
      </c>
      <c r="I3" s="1" t="s">
        <v>211</v>
      </c>
      <c r="J3" s="1" t="s">
        <v>72</v>
      </c>
      <c r="K3" s="1" t="s">
        <v>401</v>
      </c>
      <c r="L3" s="1"/>
      <c r="M3" s="1" t="s">
        <v>61</v>
      </c>
      <c r="N3" s="1"/>
      <c r="O3" s="1"/>
      <c r="P3" s="1"/>
      <c r="Q3" s="8"/>
      <c r="R3" s="8"/>
      <c r="S3" s="1" t="s">
        <v>62</v>
      </c>
      <c r="T3" s="6">
        <f t="shared" ca="1" si="0"/>
        <v>0</v>
      </c>
      <c r="U3" s="1" t="str">
        <f t="shared" si="1"/>
        <v/>
      </c>
      <c r="V3" s="1" t="s">
        <v>396</v>
      </c>
      <c r="W3" s="1"/>
    </row>
    <row r="4" spans="1:23" ht="28.5">
      <c r="A4" s="1" t="s">
        <v>402</v>
      </c>
      <c r="B4" s="8"/>
      <c r="C4" s="1"/>
      <c r="D4" s="1" t="s">
        <v>106</v>
      </c>
      <c r="E4" s="1" t="s">
        <v>351</v>
      </c>
      <c r="F4" s="1" t="s">
        <v>403</v>
      </c>
      <c r="G4" s="1" t="s">
        <v>404</v>
      </c>
      <c r="H4" s="1" t="s">
        <v>84</v>
      </c>
      <c r="I4" s="1" t="s">
        <v>211</v>
      </c>
      <c r="J4" s="1" t="s">
        <v>72</v>
      </c>
      <c r="K4" s="1" t="s">
        <v>405</v>
      </c>
      <c r="L4" s="1"/>
      <c r="M4" s="1" t="s">
        <v>61</v>
      </c>
      <c r="N4" s="1"/>
      <c r="O4" s="1"/>
      <c r="P4" s="1"/>
      <c r="Q4" s="8"/>
      <c r="R4" s="8"/>
      <c r="S4" s="1" t="s">
        <v>62</v>
      </c>
      <c r="T4" s="6">
        <f t="shared" ca="1" si="0"/>
        <v>0</v>
      </c>
      <c r="U4" s="1" t="str">
        <f t="shared" si="1"/>
        <v/>
      </c>
      <c r="V4" s="1" t="s">
        <v>396</v>
      </c>
      <c r="W4" s="1"/>
    </row>
    <row r="5" spans="1:23" ht="28.5">
      <c r="A5" s="1" t="s">
        <v>406</v>
      </c>
      <c r="B5" s="8"/>
      <c r="C5" s="1"/>
      <c r="D5" s="1" t="s">
        <v>106</v>
      </c>
      <c r="E5" s="1" t="s">
        <v>407</v>
      </c>
      <c r="F5" s="1" t="s">
        <v>408</v>
      </c>
      <c r="G5" s="1" t="s">
        <v>409</v>
      </c>
      <c r="H5" s="1" t="s">
        <v>84</v>
      </c>
      <c r="I5" s="1" t="s">
        <v>211</v>
      </c>
      <c r="J5" s="1" t="s">
        <v>72</v>
      </c>
      <c r="K5" s="1" t="s">
        <v>410</v>
      </c>
      <c r="L5" s="1"/>
      <c r="M5" s="1" t="s">
        <v>61</v>
      </c>
      <c r="N5" s="1"/>
      <c r="O5" s="1"/>
      <c r="P5" s="1"/>
      <c r="Q5" s="8"/>
      <c r="R5" s="8"/>
      <c r="S5" s="1" t="s">
        <v>62</v>
      </c>
      <c r="T5" s="6">
        <f t="shared" ca="1" si="0"/>
        <v>0</v>
      </c>
      <c r="U5" s="1" t="str">
        <f t="shared" si="1"/>
        <v/>
      </c>
      <c r="V5" s="1" t="s">
        <v>396</v>
      </c>
      <c r="W5" s="1"/>
    </row>
    <row r="6" spans="1:23" ht="28.5">
      <c r="A6" s="1" t="s">
        <v>411</v>
      </c>
      <c r="B6" s="8"/>
      <c r="C6" s="1"/>
      <c r="D6" s="1" t="s">
        <v>106</v>
      </c>
      <c r="E6" s="1" t="s">
        <v>412</v>
      </c>
      <c r="F6" s="1" t="s">
        <v>413</v>
      </c>
      <c r="G6" s="1" t="s">
        <v>414</v>
      </c>
      <c r="H6" s="1" t="s">
        <v>84</v>
      </c>
      <c r="I6" s="1" t="s">
        <v>211</v>
      </c>
      <c r="J6" s="1" t="s">
        <v>72</v>
      </c>
      <c r="K6" s="1" t="s">
        <v>415</v>
      </c>
      <c r="L6" s="1"/>
      <c r="M6" s="1" t="s">
        <v>61</v>
      </c>
      <c r="N6" s="1"/>
      <c r="O6" s="1"/>
      <c r="P6" s="1"/>
      <c r="Q6" s="8"/>
      <c r="R6" s="8"/>
      <c r="S6" s="1" t="s">
        <v>62</v>
      </c>
      <c r="T6" s="6">
        <f t="shared" ca="1" si="0"/>
        <v>0</v>
      </c>
      <c r="U6" s="1" t="str">
        <f t="shared" si="1"/>
        <v/>
      </c>
      <c r="V6" s="1" t="s">
        <v>396</v>
      </c>
      <c r="W6" s="1"/>
    </row>
    <row r="7" spans="1:23" ht="28.5">
      <c r="A7" s="1" t="s">
        <v>416</v>
      </c>
      <c r="B7" s="8"/>
      <c r="C7" s="1"/>
      <c r="D7" s="1" t="s">
        <v>106</v>
      </c>
      <c r="E7" s="1" t="s">
        <v>417</v>
      </c>
      <c r="F7" s="1" t="s">
        <v>418</v>
      </c>
      <c r="G7" s="1" t="s">
        <v>419</v>
      </c>
      <c r="H7" s="1" t="s">
        <v>84</v>
      </c>
      <c r="I7" s="1" t="s">
        <v>211</v>
      </c>
      <c r="J7" s="1" t="s">
        <v>72</v>
      </c>
      <c r="K7" s="1" t="s">
        <v>420</v>
      </c>
      <c r="L7" s="1"/>
      <c r="M7" s="1" t="s">
        <v>61</v>
      </c>
      <c r="N7" s="1"/>
      <c r="O7" s="1"/>
      <c r="P7" s="1"/>
      <c r="Q7" s="8"/>
      <c r="R7" s="8"/>
      <c r="S7" s="1" t="s">
        <v>62</v>
      </c>
      <c r="T7" s="6">
        <f t="shared" ca="1" si="0"/>
        <v>0</v>
      </c>
      <c r="U7" s="1" t="str">
        <f t="shared" si="1"/>
        <v/>
      </c>
      <c r="V7" s="1" t="s">
        <v>396</v>
      </c>
      <c r="W7" s="1"/>
    </row>
    <row r="8" spans="1:23" ht="28.5">
      <c r="A8" s="1" t="s">
        <v>421</v>
      </c>
      <c r="B8" s="8"/>
      <c r="C8" s="1"/>
      <c r="D8" s="1" t="s">
        <v>106</v>
      </c>
      <c r="E8" s="1" t="s">
        <v>422</v>
      </c>
      <c r="F8" s="1" t="s">
        <v>423</v>
      </c>
      <c r="G8" s="1" t="s">
        <v>424</v>
      </c>
      <c r="H8" s="1" t="s">
        <v>84</v>
      </c>
      <c r="I8" s="1" t="s">
        <v>211</v>
      </c>
      <c r="J8" s="1" t="s">
        <v>72</v>
      </c>
      <c r="K8" s="1" t="s">
        <v>425</v>
      </c>
      <c r="L8" s="1"/>
      <c r="M8" s="1" t="s">
        <v>61</v>
      </c>
      <c r="N8" s="1"/>
      <c r="O8" s="1"/>
      <c r="P8" s="1"/>
      <c r="Q8" s="8"/>
      <c r="R8" s="8"/>
      <c r="S8" s="1" t="s">
        <v>62</v>
      </c>
      <c r="T8" s="6">
        <f t="shared" ca="1" si="0"/>
        <v>0</v>
      </c>
      <c r="U8" s="1" t="str">
        <f t="shared" si="1"/>
        <v/>
      </c>
      <c r="V8" s="1" t="s">
        <v>396</v>
      </c>
      <c r="W8" s="1"/>
    </row>
    <row r="9" spans="1:23" ht="28.5">
      <c r="A9" s="1" t="s">
        <v>426</v>
      </c>
      <c r="B9" s="8"/>
      <c r="C9" s="1"/>
      <c r="D9" s="1" t="s">
        <v>106</v>
      </c>
      <c r="E9" s="1" t="s">
        <v>427</v>
      </c>
      <c r="F9" s="1" t="s">
        <v>428</v>
      </c>
      <c r="G9" s="1" t="s">
        <v>429</v>
      </c>
      <c r="H9" s="1" t="s">
        <v>84</v>
      </c>
      <c r="I9" s="1" t="s">
        <v>211</v>
      </c>
      <c r="J9" s="1" t="s">
        <v>72</v>
      </c>
      <c r="K9" s="1" t="s">
        <v>430</v>
      </c>
      <c r="L9" s="1"/>
      <c r="M9" s="1" t="s">
        <v>61</v>
      </c>
      <c r="N9" s="1"/>
      <c r="O9" s="1"/>
      <c r="P9" s="1"/>
      <c r="Q9" s="8"/>
      <c r="R9" s="8"/>
      <c r="S9" s="1" t="s">
        <v>62</v>
      </c>
      <c r="T9" s="6">
        <f t="shared" ca="1" si="0"/>
        <v>0</v>
      </c>
      <c r="U9" s="1" t="str">
        <f t="shared" si="1"/>
        <v/>
      </c>
      <c r="V9" s="1" t="s">
        <v>396</v>
      </c>
      <c r="W9" s="1"/>
    </row>
    <row r="10" spans="1:23">
      <c r="A10" s="1"/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8"/>
      <c r="R10" s="8"/>
      <c r="S10" s="1"/>
      <c r="T10" s="6">
        <f t="shared" ca="1" si="0"/>
        <v>0</v>
      </c>
      <c r="U10" s="1" t="str">
        <f t="shared" si="1"/>
        <v/>
      </c>
      <c r="V10" s="1"/>
      <c r="W10" s="1"/>
    </row>
    <row r="11" spans="1:23">
      <c r="A11" s="1"/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8"/>
      <c r="R11" s="8"/>
      <c r="S11" s="1"/>
      <c r="T11" s="6">
        <f t="shared" ca="1" si="0"/>
        <v>0</v>
      </c>
      <c r="U11" s="1" t="str">
        <f t="shared" si="1"/>
        <v/>
      </c>
      <c r="V11" s="1"/>
      <c r="W11" s="1"/>
    </row>
    <row r="12" spans="1:23">
      <c r="A12" s="1"/>
      <c r="B12" s="8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8"/>
      <c r="R12" s="8"/>
      <c r="S12" s="1"/>
      <c r="T12" s="6">
        <f t="shared" ca="1" si="0"/>
        <v>0</v>
      </c>
      <c r="U12" s="1" t="str">
        <f t="shared" si="1"/>
        <v/>
      </c>
      <c r="V12" s="1"/>
      <c r="W12" s="1"/>
    </row>
    <row r="13" spans="1:23">
      <c r="A13" s="1"/>
      <c r="B13" s="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8"/>
      <c r="R13" s="8"/>
      <c r="S13" s="1"/>
      <c r="T13" s="6">
        <f t="shared" ca="1" si="0"/>
        <v>0</v>
      </c>
      <c r="U13" s="1" t="str">
        <f t="shared" si="1"/>
        <v/>
      </c>
      <c r="V13" s="1"/>
      <c r="W13" s="1"/>
    </row>
    <row r="14" spans="1:23">
      <c r="A14" s="1"/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8"/>
      <c r="R14" s="8"/>
      <c r="S14" s="1"/>
      <c r="T14" s="6">
        <f t="shared" ca="1" si="0"/>
        <v>0</v>
      </c>
      <c r="U14" s="1" t="str">
        <f t="shared" si="1"/>
        <v/>
      </c>
      <c r="V14" s="1"/>
      <c r="W14" s="1"/>
    </row>
    <row r="15" spans="1:23">
      <c r="A15" s="1"/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8"/>
      <c r="R15" s="8"/>
      <c r="S15" s="1"/>
      <c r="T15" s="6">
        <f t="shared" ca="1" si="0"/>
        <v>0</v>
      </c>
      <c r="U15" s="1" t="str">
        <f t="shared" si="1"/>
        <v/>
      </c>
      <c r="V15" s="1"/>
      <c r="W15" s="1"/>
    </row>
    <row r="16" spans="1:23">
      <c r="A16" s="1"/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8"/>
      <c r="R16" s="8"/>
      <c r="S16" s="1"/>
      <c r="T16" s="6">
        <f t="shared" ca="1" si="0"/>
        <v>0</v>
      </c>
      <c r="U16" s="1" t="str">
        <f t="shared" si="1"/>
        <v/>
      </c>
      <c r="V16" s="1"/>
      <c r="W16" s="1"/>
    </row>
    <row r="17" spans="1:23">
      <c r="A17" s="1"/>
      <c r="B17" s="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8"/>
      <c r="R17" s="8"/>
      <c r="S17" s="1"/>
      <c r="T17" s="6">
        <f t="shared" ca="1" si="0"/>
        <v>0</v>
      </c>
      <c r="U17" s="1" t="str">
        <f t="shared" si="1"/>
        <v/>
      </c>
      <c r="V17" s="1"/>
      <c r="W17" s="1"/>
    </row>
    <row r="18" spans="1:23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8"/>
      <c r="R18" s="8"/>
      <c r="S18" s="1"/>
      <c r="T18" s="6">
        <f t="shared" ca="1" si="0"/>
        <v>0</v>
      </c>
      <c r="U18" s="1" t="str">
        <f t="shared" si="1"/>
        <v/>
      </c>
      <c r="V18" s="1"/>
      <c r="W18" s="1"/>
    </row>
    <row r="19" spans="1:23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8"/>
      <c r="R19" s="8"/>
      <c r="S19" s="1"/>
      <c r="T19" s="6">
        <f t="shared" ca="1" si="0"/>
        <v>0</v>
      </c>
      <c r="U19" s="1" t="str">
        <f t="shared" si="1"/>
        <v/>
      </c>
      <c r="V19" s="1"/>
      <c r="W19" s="1"/>
    </row>
    <row r="20" spans="1:23">
      <c r="A20" s="1"/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8"/>
      <c r="R20" s="8"/>
      <c r="S20" s="1"/>
      <c r="T20" s="6">
        <f t="shared" ca="1" si="0"/>
        <v>0</v>
      </c>
      <c r="U20" s="1" t="str">
        <f t="shared" si="1"/>
        <v/>
      </c>
      <c r="V20" s="1"/>
      <c r="W20" s="1"/>
    </row>
    <row r="21" spans="1:23">
      <c r="A21" s="1"/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8"/>
      <c r="R21" s="8"/>
      <c r="S21" s="1"/>
      <c r="T21" s="6">
        <f t="shared" ca="1" si="0"/>
        <v>0</v>
      </c>
      <c r="U21" s="1" t="str">
        <f t="shared" si="1"/>
        <v/>
      </c>
      <c r="V21" s="1"/>
      <c r="W21" s="1"/>
    </row>
    <row r="22" spans="1:23">
      <c r="A22" s="1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8"/>
      <c r="R22" s="8"/>
      <c r="S22" s="1"/>
      <c r="T22" s="6">
        <f t="shared" ca="1" si="0"/>
        <v>0</v>
      </c>
      <c r="U22" s="1" t="str">
        <f t="shared" si="1"/>
        <v/>
      </c>
      <c r="V22" s="1"/>
      <c r="W22" s="1"/>
    </row>
    <row r="23" spans="1:23">
      <c r="A23" s="1"/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8"/>
      <c r="R23" s="8"/>
      <c r="S23" s="1"/>
      <c r="T23" s="6">
        <f t="shared" ca="1" si="0"/>
        <v>0</v>
      </c>
      <c r="U23" s="1" t="str">
        <f t="shared" si="1"/>
        <v/>
      </c>
      <c r="V23" s="1"/>
      <c r="W23" s="1"/>
    </row>
    <row r="24" spans="1:23">
      <c r="A24" s="1"/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8"/>
      <c r="R24" s="8"/>
      <c r="S24" s="1"/>
      <c r="T24" s="6">
        <f t="shared" ca="1" si="0"/>
        <v>0</v>
      </c>
      <c r="U24" s="1" t="str">
        <f t="shared" si="1"/>
        <v/>
      </c>
      <c r="V24" s="1"/>
      <c r="W24" s="1"/>
    </row>
    <row r="25" spans="1:23">
      <c r="A25" s="1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8"/>
      <c r="R25" s="8"/>
      <c r="S25" s="1"/>
      <c r="T25" s="6">
        <f t="shared" ca="1" si="0"/>
        <v>0</v>
      </c>
      <c r="U25" s="1" t="str">
        <f t="shared" si="1"/>
        <v/>
      </c>
      <c r="V25" s="1"/>
      <c r="W25" s="1"/>
    </row>
    <row r="26" spans="1:23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8"/>
      <c r="R26" s="8"/>
      <c r="S26" s="1"/>
      <c r="T26" s="6">
        <f t="shared" ca="1" si="0"/>
        <v>0</v>
      </c>
      <c r="U26" s="1" t="str">
        <f t="shared" si="1"/>
        <v/>
      </c>
      <c r="V26" s="1"/>
      <c r="W26" s="1"/>
    </row>
    <row r="27" spans="1:23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8"/>
      <c r="R27" s="8"/>
      <c r="S27" s="1"/>
      <c r="T27" s="6">
        <f t="shared" ca="1" si="0"/>
        <v>0</v>
      </c>
      <c r="U27" s="1" t="str">
        <f t="shared" si="1"/>
        <v/>
      </c>
      <c r="V27" s="1"/>
      <c r="W27" s="1"/>
    </row>
    <row r="28" spans="1:23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8"/>
      <c r="R28" s="8"/>
      <c r="S28" s="1"/>
      <c r="T28" s="6">
        <f t="shared" ca="1" si="0"/>
        <v>0</v>
      </c>
      <c r="U28" s="1" t="str">
        <f t="shared" si="1"/>
        <v/>
      </c>
      <c r="V28" s="1"/>
      <c r="W28" s="1"/>
    </row>
    <row r="29" spans="1:23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8"/>
      <c r="R29" s="8"/>
      <c r="S29" s="1"/>
      <c r="T29" s="6">
        <f t="shared" ca="1" si="0"/>
        <v>0</v>
      </c>
      <c r="U29" s="1" t="str">
        <f t="shared" si="1"/>
        <v/>
      </c>
      <c r="V29" s="1"/>
      <c r="W29" s="1"/>
    </row>
    <row r="30" spans="1:23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8"/>
      <c r="R30" s="8"/>
      <c r="S30" s="1"/>
      <c r="T30" s="6">
        <f t="shared" ca="1" si="0"/>
        <v>0</v>
      </c>
      <c r="U30" s="1" t="str">
        <f t="shared" si="1"/>
        <v/>
      </c>
      <c r="V30" s="1"/>
      <c r="W30" s="1"/>
    </row>
    <row r="31" spans="1:23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8"/>
      <c r="R31" s="8"/>
      <c r="S31" s="1"/>
      <c r="T31" s="6">
        <f t="shared" ca="1" si="0"/>
        <v>0</v>
      </c>
      <c r="U31" s="1" t="str">
        <f t="shared" si="1"/>
        <v/>
      </c>
      <c r="V31" s="1"/>
      <c r="W31" s="1"/>
    </row>
    <row r="32" spans="1:23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8"/>
      <c r="R32" s="8"/>
      <c r="S32" s="1"/>
      <c r="T32" s="6">
        <f t="shared" ca="1" si="0"/>
        <v>0</v>
      </c>
      <c r="U32" s="1" t="str">
        <f t="shared" si="1"/>
        <v/>
      </c>
      <c r="V32" s="1"/>
      <c r="W32" s="1"/>
    </row>
    <row r="33" spans="1:23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8"/>
      <c r="R33" s="8"/>
      <c r="S33" s="1"/>
      <c r="T33" s="6">
        <f t="shared" ca="1" si="0"/>
        <v>0</v>
      </c>
      <c r="U33" s="1" t="str">
        <f t="shared" si="1"/>
        <v/>
      </c>
      <c r="V33" s="1"/>
      <c r="W33" s="1"/>
    </row>
    <row r="34" spans="1:23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8"/>
      <c r="R34" s="8"/>
      <c r="S34" s="1"/>
      <c r="T34" s="6">
        <f t="shared" ca="1" si="0"/>
        <v>0</v>
      </c>
      <c r="U34" s="1" t="str">
        <f t="shared" si="1"/>
        <v/>
      </c>
      <c r="V34" s="1"/>
      <c r="W34" s="1"/>
    </row>
    <row r="35" spans="1:23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8"/>
      <c r="R35" s="8"/>
      <c r="S35" s="1"/>
      <c r="T35" s="6">
        <f t="shared" ca="1" si="0"/>
        <v>0</v>
      </c>
      <c r="U35" s="1" t="str">
        <f t="shared" si="1"/>
        <v/>
      </c>
      <c r="V35" s="1"/>
      <c r="W35" s="1"/>
    </row>
    <row r="36" spans="1:23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8"/>
      <c r="R36" s="8"/>
      <c r="S36" s="1"/>
      <c r="T36" s="6">
        <f t="shared" ca="1" si="0"/>
        <v>0</v>
      </c>
      <c r="U36" s="1" t="str">
        <f t="shared" si="1"/>
        <v/>
      </c>
      <c r="V36" s="1"/>
      <c r="W36" s="1"/>
    </row>
    <row r="37" spans="1:23">
      <c r="A37" s="1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8"/>
      <c r="R37" s="8"/>
      <c r="S37" s="1"/>
      <c r="T37" s="6">
        <f t="shared" ca="1" si="0"/>
        <v>0</v>
      </c>
      <c r="U37" s="1" t="str">
        <f t="shared" si="1"/>
        <v/>
      </c>
      <c r="V37" s="1"/>
      <c r="W37" s="1"/>
    </row>
    <row r="38" spans="1:23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8"/>
      <c r="R38" s="8"/>
      <c r="S38" s="1"/>
      <c r="T38" s="6">
        <f t="shared" ca="1" si="0"/>
        <v>0</v>
      </c>
      <c r="U38" s="1" t="str">
        <f t="shared" si="1"/>
        <v/>
      </c>
      <c r="V38" s="1"/>
      <c r="W38" s="1"/>
    </row>
    <row r="39" spans="1:23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8"/>
      <c r="R39" s="8"/>
      <c r="S39" s="1"/>
      <c r="T39" s="6">
        <f t="shared" ca="1" si="0"/>
        <v>0</v>
      </c>
      <c r="U39" s="1" t="str">
        <f t="shared" si="1"/>
        <v/>
      </c>
      <c r="V39" s="1"/>
      <c r="W39" s="1"/>
    </row>
    <row r="40" spans="1:23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1"/>
      <c r="T40" s="6">
        <f t="shared" ca="1" si="0"/>
        <v>0</v>
      </c>
      <c r="U40" s="1" t="str">
        <f t="shared" si="1"/>
        <v/>
      </c>
      <c r="V40" s="1"/>
      <c r="W40" s="1"/>
    </row>
    <row r="41" spans="1:23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1"/>
      <c r="T41" s="6">
        <f t="shared" ca="1" si="0"/>
        <v>0</v>
      </c>
      <c r="U41" s="1" t="str">
        <f t="shared" si="1"/>
        <v/>
      </c>
      <c r="V41" s="1"/>
      <c r="W41" s="1"/>
    </row>
    <row r="42" spans="1:23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1"/>
      <c r="T42" s="6">
        <f t="shared" ca="1" si="0"/>
        <v>0</v>
      </c>
      <c r="U42" s="1" t="str">
        <f t="shared" si="1"/>
        <v/>
      </c>
      <c r="V42" s="1"/>
      <c r="W42" s="1"/>
    </row>
    <row r="43" spans="1:23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1"/>
      <c r="T43" s="6">
        <f t="shared" ca="1" si="0"/>
        <v>0</v>
      </c>
      <c r="U43" s="1" t="str">
        <f t="shared" si="1"/>
        <v/>
      </c>
      <c r="V43" s="1"/>
      <c r="W43" s="1"/>
    </row>
    <row r="44" spans="1:23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1"/>
      <c r="T44" s="6">
        <f t="shared" ca="1" si="0"/>
        <v>0</v>
      </c>
      <c r="U44" s="1" t="str">
        <f t="shared" si="1"/>
        <v/>
      </c>
      <c r="V44" s="1"/>
      <c r="W44" s="1"/>
    </row>
    <row r="45" spans="1:23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1"/>
      <c r="T45" s="6">
        <f t="shared" ca="1" si="0"/>
        <v>0</v>
      </c>
      <c r="U45" s="1" t="str">
        <f t="shared" si="1"/>
        <v/>
      </c>
      <c r="V45" s="1"/>
      <c r="W45" s="1"/>
    </row>
    <row r="46" spans="1:23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8"/>
      <c r="R46" s="8"/>
      <c r="S46" s="1"/>
      <c r="T46" s="6">
        <f t="shared" ca="1" si="0"/>
        <v>0</v>
      </c>
      <c r="U46" s="1" t="str">
        <f t="shared" si="1"/>
        <v/>
      </c>
      <c r="V46" s="1"/>
      <c r="W46" s="1"/>
    </row>
    <row r="47" spans="1:23">
      <c r="A47" s="1"/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8"/>
      <c r="R47" s="8"/>
      <c r="S47" s="1"/>
      <c r="T47" s="6">
        <f t="shared" ca="1" si="0"/>
        <v>0</v>
      </c>
      <c r="U47" s="1" t="str">
        <f t="shared" si="1"/>
        <v/>
      </c>
      <c r="V47" s="1"/>
      <c r="W47" s="1"/>
    </row>
    <row r="48" spans="1:23">
      <c r="A48" s="1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8"/>
      <c r="R48" s="8"/>
      <c r="S48" s="1"/>
      <c r="T48" s="6">
        <f t="shared" ca="1" si="0"/>
        <v>0</v>
      </c>
      <c r="U48" s="1" t="str">
        <f t="shared" si="1"/>
        <v/>
      </c>
      <c r="V48" s="1"/>
      <c r="W48" s="1"/>
    </row>
    <row r="49" spans="1:23">
      <c r="A49" s="1"/>
      <c r="B49" s="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8"/>
      <c r="R49" s="8"/>
      <c r="S49" s="1"/>
      <c r="T49" s="6">
        <f t="shared" ca="1" si="0"/>
        <v>0</v>
      </c>
      <c r="U49" s="1" t="str">
        <f t="shared" si="1"/>
        <v/>
      </c>
      <c r="V49" s="1"/>
      <c r="W49" s="1"/>
    </row>
    <row r="50" spans="1:23">
      <c r="A50" s="1"/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8"/>
      <c r="R50" s="8"/>
      <c r="S50" s="1"/>
      <c r="T50" s="6">
        <f t="shared" ca="1" si="0"/>
        <v>0</v>
      </c>
      <c r="U50" s="1" t="str">
        <f t="shared" si="1"/>
        <v/>
      </c>
      <c r="V50" s="1"/>
      <c r="W50" s="1"/>
    </row>
    <row r="51" spans="1:23">
      <c r="A51" s="1"/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8"/>
      <c r="R51" s="8"/>
      <c r="S51" s="1"/>
      <c r="T51" s="6">
        <f t="shared" ca="1" si="0"/>
        <v>0</v>
      </c>
      <c r="U51" s="1" t="str">
        <f t="shared" si="1"/>
        <v/>
      </c>
      <c r="V51" s="1"/>
      <c r="W51" s="1"/>
    </row>
    <row r="52" spans="1:23">
      <c r="A52" s="1"/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8"/>
      <c r="R52" s="8"/>
      <c r="S52" s="1"/>
      <c r="T52" s="6">
        <f t="shared" ca="1" si="0"/>
        <v>0</v>
      </c>
      <c r="U52" s="1" t="str">
        <f t="shared" si="1"/>
        <v/>
      </c>
      <c r="V52" s="1"/>
      <c r="W52" s="1"/>
    </row>
    <row r="53" spans="1:23">
      <c r="A53" s="1"/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8"/>
      <c r="R53" s="8"/>
      <c r="S53" s="1"/>
      <c r="T53" s="6">
        <f t="shared" ca="1" si="0"/>
        <v>0</v>
      </c>
      <c r="U53" s="1" t="str">
        <f t="shared" si="1"/>
        <v/>
      </c>
      <c r="V53" s="1"/>
      <c r="W53" s="1"/>
    </row>
    <row r="54" spans="1:23">
      <c r="A54" s="1"/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8"/>
      <c r="R54" s="8"/>
      <c r="S54" s="1"/>
      <c r="T54" s="6">
        <f t="shared" ca="1" si="0"/>
        <v>0</v>
      </c>
      <c r="U54" s="1" t="str">
        <f t="shared" si="1"/>
        <v/>
      </c>
      <c r="V54" s="1"/>
      <c r="W54" s="1"/>
    </row>
    <row r="55" spans="1:23">
      <c r="A55" s="1"/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8"/>
      <c r="R55" s="8"/>
      <c r="S55" s="1"/>
      <c r="T55" s="6">
        <f t="shared" ca="1" si="0"/>
        <v>0</v>
      </c>
      <c r="U55" s="1" t="str">
        <f t="shared" si="1"/>
        <v/>
      </c>
      <c r="V55" s="1"/>
      <c r="W55" s="1"/>
    </row>
    <row r="56" spans="1:23">
      <c r="A56" s="1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8"/>
      <c r="R56" s="8"/>
      <c r="S56" s="1"/>
      <c r="T56" s="6">
        <f t="shared" ca="1" si="0"/>
        <v>0</v>
      </c>
      <c r="U56" s="1" t="str">
        <f t="shared" si="1"/>
        <v/>
      </c>
      <c r="V56" s="1"/>
      <c r="W56" s="1"/>
    </row>
    <row r="57" spans="1:23">
      <c r="A57" s="1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8"/>
      <c r="R57" s="8"/>
      <c r="S57" s="1"/>
      <c r="T57" s="6">
        <f t="shared" ca="1" si="0"/>
        <v>0</v>
      </c>
      <c r="U57" s="1" t="str">
        <f t="shared" si="1"/>
        <v/>
      </c>
      <c r="V57" s="1"/>
      <c r="W57" s="1"/>
    </row>
    <row r="58" spans="1:23">
      <c r="A58" s="1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8"/>
      <c r="R58" s="8"/>
      <c r="S58" s="1"/>
      <c r="T58" s="6">
        <f t="shared" ca="1" si="0"/>
        <v>0</v>
      </c>
      <c r="U58" s="1" t="str">
        <f t="shared" si="1"/>
        <v/>
      </c>
      <c r="V58" s="1"/>
      <c r="W58" s="1"/>
    </row>
    <row r="59" spans="1:23">
      <c r="A59" s="1"/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8"/>
      <c r="R59" s="8"/>
      <c r="S59" s="1"/>
      <c r="T59" s="6">
        <f t="shared" ca="1" si="0"/>
        <v>0</v>
      </c>
      <c r="U59" s="1" t="str">
        <f t="shared" si="1"/>
        <v/>
      </c>
      <c r="V59" s="1"/>
      <c r="W59" s="1"/>
    </row>
    <row r="60" spans="1:23">
      <c r="A60" s="1"/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8"/>
      <c r="R60" s="8"/>
      <c r="S60" s="1"/>
      <c r="T60" s="6">
        <f t="shared" ca="1" si="0"/>
        <v>0</v>
      </c>
      <c r="U60" s="1" t="str">
        <f t="shared" si="1"/>
        <v/>
      </c>
      <c r="V60" s="1"/>
      <c r="W60" s="1"/>
    </row>
    <row r="61" spans="1:23">
      <c r="A61" s="1"/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8"/>
      <c r="R61" s="8"/>
      <c r="S61" s="1"/>
      <c r="T61" s="6">
        <f t="shared" ca="1" si="0"/>
        <v>0</v>
      </c>
      <c r="U61" s="1" t="str">
        <f t="shared" si="1"/>
        <v/>
      </c>
      <c r="V61" s="1"/>
      <c r="W61" s="1"/>
    </row>
    <row r="62" spans="1:23">
      <c r="A62" s="1"/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8"/>
      <c r="R62" s="8"/>
      <c r="S62" s="1"/>
      <c r="T62" s="6">
        <f t="shared" ca="1" si="0"/>
        <v>0</v>
      </c>
      <c r="U62" s="1" t="str">
        <f t="shared" si="1"/>
        <v/>
      </c>
      <c r="V62" s="1"/>
      <c r="W62" s="1"/>
    </row>
    <row r="63" spans="1:23">
      <c r="A63" s="1"/>
      <c r="B63" s="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8"/>
      <c r="R63" s="8"/>
      <c r="S63" s="1"/>
      <c r="T63" s="6">
        <f t="shared" ca="1" si="0"/>
        <v>0</v>
      </c>
      <c r="U63" s="1" t="str">
        <f t="shared" si="1"/>
        <v/>
      </c>
      <c r="V63" s="1"/>
      <c r="W63" s="1"/>
    </row>
    <row r="64" spans="1:23">
      <c r="A64" s="1"/>
      <c r="B64" s="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8"/>
      <c r="R64" s="8"/>
      <c r="S64" s="1"/>
      <c r="T64" s="6">
        <f t="shared" ca="1" si="0"/>
        <v>0</v>
      </c>
      <c r="U64" s="1" t="str">
        <f t="shared" si="1"/>
        <v/>
      </c>
      <c r="V64" s="1"/>
      <c r="W64" s="1"/>
    </row>
    <row r="65" spans="1:23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8"/>
      <c r="R65" s="8"/>
      <c r="S65" s="1"/>
      <c r="T65" s="6">
        <f t="shared" ca="1" si="0"/>
        <v>0</v>
      </c>
      <c r="U65" s="1" t="str">
        <f t="shared" si="1"/>
        <v/>
      </c>
      <c r="V65" s="1"/>
      <c r="W65" s="1"/>
    </row>
    <row r="66" spans="1:23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8"/>
      <c r="R66" s="8"/>
      <c r="S66" s="1"/>
      <c r="T66" s="6">
        <f t="shared" ref="T66:T129" ca="1" si="2">IF(AND(S66&lt;&gt;"Clôturée",Q66&lt;&gt;"",TODAY()&gt;Q66),TODAY()-Q66,0)</f>
        <v>0</v>
      </c>
      <c r="U66" s="1" t="str">
        <f t="shared" ref="U66:U129" si="3">IF(M66="Critique","P1",IF(M66="Majeure","P2",IF(M66="Mineure","P3","")))</f>
        <v/>
      </c>
      <c r="V66" s="1"/>
      <c r="W66" s="1"/>
    </row>
    <row r="67" spans="1:23">
      <c r="A67" s="1"/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8"/>
      <c r="R67" s="8"/>
      <c r="S67" s="1"/>
      <c r="T67" s="6">
        <f t="shared" ca="1" si="2"/>
        <v>0</v>
      </c>
      <c r="U67" s="1" t="str">
        <f t="shared" si="3"/>
        <v/>
      </c>
      <c r="V67" s="1"/>
      <c r="W67" s="1"/>
    </row>
    <row r="68" spans="1:23">
      <c r="A68" s="1"/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8"/>
      <c r="R68" s="8"/>
      <c r="S68" s="1"/>
      <c r="T68" s="6">
        <f t="shared" ca="1" si="2"/>
        <v>0</v>
      </c>
      <c r="U68" s="1" t="str">
        <f t="shared" si="3"/>
        <v/>
      </c>
      <c r="V68" s="1"/>
      <c r="W68" s="1"/>
    </row>
    <row r="69" spans="1:23">
      <c r="A69" s="1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8"/>
      <c r="R69" s="8"/>
      <c r="S69" s="1"/>
      <c r="T69" s="6">
        <f t="shared" ca="1" si="2"/>
        <v>0</v>
      </c>
      <c r="U69" s="1" t="str">
        <f t="shared" si="3"/>
        <v/>
      </c>
      <c r="V69" s="1"/>
      <c r="W69" s="1"/>
    </row>
    <row r="70" spans="1:23">
      <c r="A70" s="1"/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8"/>
      <c r="R70" s="8"/>
      <c r="S70" s="1"/>
      <c r="T70" s="6">
        <f t="shared" ca="1" si="2"/>
        <v>0</v>
      </c>
      <c r="U70" s="1" t="str">
        <f t="shared" si="3"/>
        <v/>
      </c>
      <c r="V70" s="1"/>
      <c r="W70" s="1"/>
    </row>
    <row r="71" spans="1:23">
      <c r="A71" s="1"/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8"/>
      <c r="R71" s="8"/>
      <c r="S71" s="1"/>
      <c r="T71" s="6">
        <f t="shared" ca="1" si="2"/>
        <v>0</v>
      </c>
      <c r="U71" s="1" t="str">
        <f t="shared" si="3"/>
        <v/>
      </c>
      <c r="V71" s="1"/>
      <c r="W71" s="1"/>
    </row>
    <row r="72" spans="1:23">
      <c r="A72" s="1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8"/>
      <c r="R72" s="8"/>
      <c r="S72" s="1"/>
      <c r="T72" s="6">
        <f t="shared" ca="1" si="2"/>
        <v>0</v>
      </c>
      <c r="U72" s="1" t="str">
        <f t="shared" si="3"/>
        <v/>
      </c>
      <c r="V72" s="1"/>
      <c r="W72" s="1"/>
    </row>
    <row r="73" spans="1:23">
      <c r="A73" s="1"/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8"/>
      <c r="R73" s="8"/>
      <c r="S73" s="1"/>
      <c r="T73" s="6">
        <f t="shared" ca="1" si="2"/>
        <v>0</v>
      </c>
      <c r="U73" s="1" t="str">
        <f t="shared" si="3"/>
        <v/>
      </c>
      <c r="V73" s="1"/>
      <c r="W73" s="1"/>
    </row>
    <row r="74" spans="1:23">
      <c r="A74" s="1"/>
      <c r="B74" s="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8"/>
      <c r="R74" s="8"/>
      <c r="S74" s="1"/>
      <c r="T74" s="6">
        <f t="shared" ca="1" si="2"/>
        <v>0</v>
      </c>
      <c r="U74" s="1" t="str">
        <f t="shared" si="3"/>
        <v/>
      </c>
      <c r="V74" s="1"/>
      <c r="W74" s="1"/>
    </row>
    <row r="75" spans="1:23">
      <c r="A75" s="1"/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8"/>
      <c r="R75" s="8"/>
      <c r="S75" s="1"/>
      <c r="T75" s="6">
        <f t="shared" ca="1" si="2"/>
        <v>0</v>
      </c>
      <c r="U75" s="1" t="str">
        <f t="shared" si="3"/>
        <v/>
      </c>
      <c r="V75" s="1"/>
      <c r="W75" s="1"/>
    </row>
    <row r="76" spans="1:23">
      <c r="A76" s="1"/>
      <c r="B76" s="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8"/>
      <c r="R76" s="8"/>
      <c r="S76" s="1"/>
      <c r="T76" s="6">
        <f t="shared" ca="1" si="2"/>
        <v>0</v>
      </c>
      <c r="U76" s="1" t="str">
        <f t="shared" si="3"/>
        <v/>
      </c>
      <c r="V76" s="1"/>
      <c r="W76" s="1"/>
    </row>
    <row r="77" spans="1:23">
      <c r="A77" s="1"/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8"/>
      <c r="R77" s="8"/>
      <c r="S77" s="1"/>
      <c r="T77" s="6">
        <f t="shared" ca="1" si="2"/>
        <v>0</v>
      </c>
      <c r="U77" s="1" t="str">
        <f t="shared" si="3"/>
        <v/>
      </c>
      <c r="V77" s="1"/>
      <c r="W77" s="1"/>
    </row>
    <row r="78" spans="1:23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8"/>
      <c r="R78" s="8"/>
      <c r="S78" s="1"/>
      <c r="T78" s="6">
        <f t="shared" ca="1" si="2"/>
        <v>0</v>
      </c>
      <c r="U78" s="1" t="str">
        <f t="shared" si="3"/>
        <v/>
      </c>
      <c r="V78" s="1"/>
      <c r="W78" s="1"/>
    </row>
    <row r="79" spans="1:23">
      <c r="A79" s="1"/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8"/>
      <c r="R79" s="8"/>
      <c r="S79" s="1"/>
      <c r="T79" s="6">
        <f t="shared" ca="1" si="2"/>
        <v>0</v>
      </c>
      <c r="U79" s="1" t="str">
        <f t="shared" si="3"/>
        <v/>
      </c>
      <c r="V79" s="1"/>
      <c r="W79" s="1"/>
    </row>
    <row r="80" spans="1:23">
      <c r="A80" s="1"/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8"/>
      <c r="R80" s="8"/>
      <c r="S80" s="1"/>
      <c r="T80" s="6">
        <f t="shared" ca="1" si="2"/>
        <v>0</v>
      </c>
      <c r="U80" s="1" t="str">
        <f t="shared" si="3"/>
        <v/>
      </c>
      <c r="V80" s="1"/>
      <c r="W80" s="1"/>
    </row>
    <row r="81" spans="1:23">
      <c r="A81" s="1"/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8"/>
      <c r="R81" s="8"/>
      <c r="S81" s="1"/>
      <c r="T81" s="6">
        <f t="shared" ca="1" si="2"/>
        <v>0</v>
      </c>
      <c r="U81" s="1" t="str">
        <f t="shared" si="3"/>
        <v/>
      </c>
      <c r="V81" s="1"/>
      <c r="W81" s="1"/>
    </row>
    <row r="82" spans="1:23">
      <c r="A82" s="1"/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8"/>
      <c r="R82" s="8"/>
      <c r="S82" s="1"/>
      <c r="T82" s="6">
        <f t="shared" ca="1" si="2"/>
        <v>0</v>
      </c>
      <c r="U82" s="1" t="str">
        <f t="shared" si="3"/>
        <v/>
      </c>
      <c r="V82" s="1"/>
      <c r="W82" s="1"/>
    </row>
    <row r="83" spans="1:23">
      <c r="A83" s="1"/>
      <c r="B83" s="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8"/>
      <c r="R83" s="8"/>
      <c r="S83" s="1"/>
      <c r="T83" s="6">
        <f t="shared" ca="1" si="2"/>
        <v>0</v>
      </c>
      <c r="U83" s="1" t="str">
        <f t="shared" si="3"/>
        <v/>
      </c>
      <c r="V83" s="1"/>
      <c r="W83" s="1"/>
    </row>
    <row r="84" spans="1:23">
      <c r="A84" s="1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8"/>
      <c r="R84" s="8"/>
      <c r="S84" s="1"/>
      <c r="T84" s="6">
        <f t="shared" ca="1" si="2"/>
        <v>0</v>
      </c>
      <c r="U84" s="1" t="str">
        <f t="shared" si="3"/>
        <v/>
      </c>
      <c r="V84" s="1"/>
      <c r="W84" s="1"/>
    </row>
    <row r="85" spans="1:23">
      <c r="A85" s="1"/>
      <c r="B85" s="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8"/>
      <c r="R85" s="8"/>
      <c r="S85" s="1"/>
      <c r="T85" s="6">
        <f t="shared" ca="1" si="2"/>
        <v>0</v>
      </c>
      <c r="U85" s="1" t="str">
        <f t="shared" si="3"/>
        <v/>
      </c>
      <c r="V85" s="1"/>
      <c r="W85" s="1"/>
    </row>
    <row r="86" spans="1:23">
      <c r="A86" s="1"/>
      <c r="B86" s="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8"/>
      <c r="R86" s="8"/>
      <c r="S86" s="1"/>
      <c r="T86" s="6">
        <f t="shared" ca="1" si="2"/>
        <v>0</v>
      </c>
      <c r="U86" s="1" t="str">
        <f t="shared" si="3"/>
        <v/>
      </c>
      <c r="V86" s="1"/>
      <c r="W86" s="1"/>
    </row>
    <row r="87" spans="1:23">
      <c r="A87" s="1"/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8"/>
      <c r="R87" s="8"/>
      <c r="S87" s="1"/>
      <c r="T87" s="6">
        <f t="shared" ca="1" si="2"/>
        <v>0</v>
      </c>
      <c r="U87" s="1" t="str">
        <f t="shared" si="3"/>
        <v/>
      </c>
      <c r="V87" s="1"/>
      <c r="W87" s="1"/>
    </row>
    <row r="88" spans="1:23">
      <c r="A88" s="1"/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8"/>
      <c r="R88" s="8"/>
      <c r="S88" s="1"/>
      <c r="T88" s="6">
        <f t="shared" ca="1" si="2"/>
        <v>0</v>
      </c>
      <c r="U88" s="1" t="str">
        <f t="shared" si="3"/>
        <v/>
      </c>
      <c r="V88" s="1"/>
      <c r="W88" s="1"/>
    </row>
    <row r="89" spans="1:23">
      <c r="A89" s="1"/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8"/>
      <c r="R89" s="8"/>
      <c r="S89" s="1"/>
      <c r="T89" s="6">
        <f t="shared" ca="1" si="2"/>
        <v>0</v>
      </c>
      <c r="U89" s="1" t="str">
        <f t="shared" si="3"/>
        <v/>
      </c>
      <c r="V89" s="1"/>
      <c r="W89" s="1"/>
    </row>
    <row r="90" spans="1:23">
      <c r="A90" s="1"/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8"/>
      <c r="R90" s="8"/>
      <c r="S90" s="1"/>
      <c r="T90" s="6">
        <f t="shared" ca="1" si="2"/>
        <v>0</v>
      </c>
      <c r="U90" s="1" t="str">
        <f t="shared" si="3"/>
        <v/>
      </c>
      <c r="V90" s="1"/>
      <c r="W90" s="1"/>
    </row>
    <row r="91" spans="1:23">
      <c r="A91" s="1"/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8"/>
      <c r="R91" s="8"/>
      <c r="S91" s="1"/>
      <c r="T91" s="6">
        <f t="shared" ca="1" si="2"/>
        <v>0</v>
      </c>
      <c r="U91" s="1" t="str">
        <f t="shared" si="3"/>
        <v/>
      </c>
      <c r="V91" s="1"/>
      <c r="W91" s="1"/>
    </row>
    <row r="92" spans="1:23">
      <c r="A92" s="1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8"/>
      <c r="R92" s="8"/>
      <c r="S92" s="1"/>
      <c r="T92" s="6">
        <f t="shared" ca="1" si="2"/>
        <v>0</v>
      </c>
      <c r="U92" s="1" t="str">
        <f t="shared" si="3"/>
        <v/>
      </c>
      <c r="V92" s="1"/>
      <c r="W92" s="1"/>
    </row>
    <row r="93" spans="1:23">
      <c r="A93" s="1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8"/>
      <c r="R93" s="8"/>
      <c r="S93" s="1"/>
      <c r="T93" s="6">
        <f t="shared" ca="1" si="2"/>
        <v>0</v>
      </c>
      <c r="U93" s="1" t="str">
        <f t="shared" si="3"/>
        <v/>
      </c>
      <c r="V93" s="1"/>
      <c r="W93" s="1"/>
    </row>
    <row r="94" spans="1:23">
      <c r="A94" s="1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8"/>
      <c r="R94" s="8"/>
      <c r="S94" s="1"/>
      <c r="T94" s="6">
        <f t="shared" ca="1" si="2"/>
        <v>0</v>
      </c>
      <c r="U94" s="1" t="str">
        <f t="shared" si="3"/>
        <v/>
      </c>
      <c r="V94" s="1"/>
      <c r="W94" s="1"/>
    </row>
    <row r="95" spans="1:23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8"/>
      <c r="R95" s="8"/>
      <c r="S95" s="1"/>
      <c r="T95" s="6">
        <f t="shared" ca="1" si="2"/>
        <v>0</v>
      </c>
      <c r="U95" s="1" t="str">
        <f t="shared" si="3"/>
        <v/>
      </c>
      <c r="V95" s="1"/>
      <c r="W95" s="1"/>
    </row>
    <row r="96" spans="1:23">
      <c r="A96" s="1"/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8"/>
      <c r="R96" s="8"/>
      <c r="S96" s="1"/>
      <c r="T96" s="6">
        <f t="shared" ca="1" si="2"/>
        <v>0</v>
      </c>
      <c r="U96" s="1" t="str">
        <f t="shared" si="3"/>
        <v/>
      </c>
      <c r="V96" s="1"/>
      <c r="W96" s="1"/>
    </row>
    <row r="97" spans="1:23">
      <c r="A97" s="1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8"/>
      <c r="R97" s="8"/>
      <c r="S97" s="1"/>
      <c r="T97" s="6">
        <f t="shared" ca="1" si="2"/>
        <v>0</v>
      </c>
      <c r="U97" s="1" t="str">
        <f t="shared" si="3"/>
        <v/>
      </c>
      <c r="V97" s="1"/>
      <c r="W97" s="1"/>
    </row>
    <row r="98" spans="1:23">
      <c r="A98" s="1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8"/>
      <c r="R98" s="8"/>
      <c r="S98" s="1"/>
      <c r="T98" s="6">
        <f t="shared" ca="1" si="2"/>
        <v>0</v>
      </c>
      <c r="U98" s="1" t="str">
        <f t="shared" si="3"/>
        <v/>
      </c>
      <c r="V98" s="1"/>
      <c r="W98" s="1"/>
    </row>
    <row r="99" spans="1:23">
      <c r="A99" s="1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8"/>
      <c r="R99" s="8"/>
      <c r="S99" s="1"/>
      <c r="T99" s="6">
        <f t="shared" ca="1" si="2"/>
        <v>0</v>
      </c>
      <c r="U99" s="1" t="str">
        <f t="shared" si="3"/>
        <v/>
      </c>
      <c r="V99" s="1"/>
      <c r="W99" s="1"/>
    </row>
    <row r="100" spans="1:23">
      <c r="A100" s="1"/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8"/>
      <c r="R100" s="8"/>
      <c r="S100" s="1"/>
      <c r="T100" s="6">
        <f t="shared" ca="1" si="2"/>
        <v>0</v>
      </c>
      <c r="U100" s="1" t="str">
        <f t="shared" si="3"/>
        <v/>
      </c>
      <c r="V100" s="1"/>
      <c r="W100" s="1"/>
    </row>
    <row r="101" spans="1:23">
      <c r="A101" s="1"/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8"/>
      <c r="R101" s="8"/>
      <c r="S101" s="1"/>
      <c r="T101" s="6">
        <f t="shared" ca="1" si="2"/>
        <v>0</v>
      </c>
      <c r="U101" s="1" t="str">
        <f t="shared" si="3"/>
        <v/>
      </c>
      <c r="V101" s="1"/>
      <c r="W101" s="1"/>
    </row>
    <row r="102" spans="1:23">
      <c r="A102" s="1"/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8"/>
      <c r="R102" s="8"/>
      <c r="S102" s="1"/>
      <c r="T102" s="6">
        <f t="shared" ca="1" si="2"/>
        <v>0</v>
      </c>
      <c r="U102" s="1" t="str">
        <f t="shared" si="3"/>
        <v/>
      </c>
      <c r="V102" s="1"/>
      <c r="W102" s="1"/>
    </row>
    <row r="103" spans="1:23">
      <c r="A103" s="1"/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8"/>
      <c r="R103" s="8"/>
      <c r="S103" s="1"/>
      <c r="T103" s="6">
        <f t="shared" ca="1" si="2"/>
        <v>0</v>
      </c>
      <c r="U103" s="1" t="str">
        <f t="shared" si="3"/>
        <v/>
      </c>
      <c r="V103" s="1"/>
      <c r="W103" s="1"/>
    </row>
    <row r="104" spans="1:23">
      <c r="A104" s="1"/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8"/>
      <c r="R104" s="8"/>
      <c r="S104" s="1"/>
      <c r="T104" s="6">
        <f t="shared" ca="1" si="2"/>
        <v>0</v>
      </c>
      <c r="U104" s="1" t="str">
        <f t="shared" si="3"/>
        <v/>
      </c>
      <c r="V104" s="1"/>
      <c r="W104" s="1"/>
    </row>
    <row r="105" spans="1:23">
      <c r="A105" s="1"/>
      <c r="B105" s="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8"/>
      <c r="R105" s="8"/>
      <c r="S105" s="1"/>
      <c r="T105" s="6">
        <f t="shared" ca="1" si="2"/>
        <v>0</v>
      </c>
      <c r="U105" s="1" t="str">
        <f t="shared" si="3"/>
        <v/>
      </c>
      <c r="V105" s="1"/>
      <c r="W105" s="1"/>
    </row>
    <row r="106" spans="1:23">
      <c r="A106" s="1"/>
      <c r="B106" s="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8"/>
      <c r="R106" s="8"/>
      <c r="S106" s="1"/>
      <c r="T106" s="6">
        <f t="shared" ca="1" si="2"/>
        <v>0</v>
      </c>
      <c r="U106" s="1" t="str">
        <f t="shared" si="3"/>
        <v/>
      </c>
      <c r="V106" s="1"/>
      <c r="W106" s="1"/>
    </row>
    <row r="107" spans="1:23">
      <c r="A107" s="1"/>
      <c r="B107" s="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8"/>
      <c r="R107" s="8"/>
      <c r="S107" s="1"/>
      <c r="T107" s="6">
        <f t="shared" ca="1" si="2"/>
        <v>0</v>
      </c>
      <c r="U107" s="1" t="str">
        <f t="shared" si="3"/>
        <v/>
      </c>
      <c r="V107" s="1"/>
      <c r="W107" s="1"/>
    </row>
    <row r="108" spans="1:23">
      <c r="A108" s="1"/>
      <c r="B108" s="8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8"/>
      <c r="R108" s="8"/>
      <c r="S108" s="1"/>
      <c r="T108" s="6">
        <f t="shared" ca="1" si="2"/>
        <v>0</v>
      </c>
      <c r="U108" s="1" t="str">
        <f t="shared" si="3"/>
        <v/>
      </c>
      <c r="V108" s="1"/>
      <c r="W108" s="1"/>
    </row>
    <row r="109" spans="1:23">
      <c r="A109" s="1"/>
      <c r="B109" s="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8"/>
      <c r="R109" s="8"/>
      <c r="S109" s="1"/>
      <c r="T109" s="6">
        <f t="shared" ca="1" si="2"/>
        <v>0</v>
      </c>
      <c r="U109" s="1" t="str">
        <f t="shared" si="3"/>
        <v/>
      </c>
      <c r="V109" s="1"/>
      <c r="W109" s="1"/>
    </row>
    <row r="110" spans="1:23">
      <c r="A110" s="1"/>
      <c r="B110" s="8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8"/>
      <c r="R110" s="8"/>
      <c r="S110" s="1"/>
      <c r="T110" s="6">
        <f t="shared" ca="1" si="2"/>
        <v>0</v>
      </c>
      <c r="U110" s="1" t="str">
        <f t="shared" si="3"/>
        <v/>
      </c>
      <c r="V110" s="1"/>
      <c r="W110" s="1"/>
    </row>
    <row r="111" spans="1:23">
      <c r="A111" s="1"/>
      <c r="B111" s="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8"/>
      <c r="R111" s="8"/>
      <c r="S111" s="1"/>
      <c r="T111" s="6">
        <f t="shared" ca="1" si="2"/>
        <v>0</v>
      </c>
      <c r="U111" s="1" t="str">
        <f t="shared" si="3"/>
        <v/>
      </c>
      <c r="V111" s="1"/>
      <c r="W111" s="1"/>
    </row>
    <row r="112" spans="1:23">
      <c r="A112" s="1"/>
      <c r="B112" s="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8"/>
      <c r="R112" s="8"/>
      <c r="S112" s="1"/>
      <c r="T112" s="6">
        <f t="shared" ca="1" si="2"/>
        <v>0</v>
      </c>
      <c r="U112" s="1" t="str">
        <f t="shared" si="3"/>
        <v/>
      </c>
      <c r="V112" s="1"/>
      <c r="W112" s="1"/>
    </row>
    <row r="113" spans="1:23">
      <c r="A113" s="1"/>
      <c r="B113" s="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8"/>
      <c r="R113" s="8"/>
      <c r="S113" s="1"/>
      <c r="T113" s="6">
        <f t="shared" ca="1" si="2"/>
        <v>0</v>
      </c>
      <c r="U113" s="1" t="str">
        <f t="shared" si="3"/>
        <v/>
      </c>
      <c r="V113" s="1"/>
      <c r="W113" s="1"/>
    </row>
    <row r="114" spans="1:23">
      <c r="A114" s="1"/>
      <c r="B114" s="8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8"/>
      <c r="R114" s="8"/>
      <c r="S114" s="1"/>
      <c r="T114" s="6">
        <f t="shared" ca="1" si="2"/>
        <v>0</v>
      </c>
      <c r="U114" s="1" t="str">
        <f t="shared" si="3"/>
        <v/>
      </c>
      <c r="V114" s="1"/>
      <c r="W114" s="1"/>
    </row>
    <row r="115" spans="1:23">
      <c r="A115" s="1"/>
      <c r="B115" s="8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8"/>
      <c r="R115" s="8"/>
      <c r="S115" s="1"/>
      <c r="T115" s="6">
        <f t="shared" ca="1" si="2"/>
        <v>0</v>
      </c>
      <c r="U115" s="1" t="str">
        <f t="shared" si="3"/>
        <v/>
      </c>
      <c r="V115" s="1"/>
      <c r="W115" s="1"/>
    </row>
    <row r="116" spans="1:23">
      <c r="A116" s="1"/>
      <c r="B116" s="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8"/>
      <c r="R116" s="8"/>
      <c r="S116" s="1"/>
      <c r="T116" s="6">
        <f t="shared" ca="1" si="2"/>
        <v>0</v>
      </c>
      <c r="U116" s="1" t="str">
        <f t="shared" si="3"/>
        <v/>
      </c>
      <c r="V116" s="1"/>
      <c r="W116" s="1"/>
    </row>
    <row r="117" spans="1:23">
      <c r="A117" s="1"/>
      <c r="B117" s="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8"/>
      <c r="R117" s="8"/>
      <c r="S117" s="1"/>
      <c r="T117" s="6">
        <f t="shared" ca="1" si="2"/>
        <v>0</v>
      </c>
      <c r="U117" s="1" t="str">
        <f t="shared" si="3"/>
        <v/>
      </c>
      <c r="V117" s="1"/>
      <c r="W117" s="1"/>
    </row>
    <row r="118" spans="1:23">
      <c r="A118" s="1"/>
      <c r="B118" s="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8"/>
      <c r="R118" s="8"/>
      <c r="S118" s="1"/>
      <c r="T118" s="6">
        <f t="shared" ca="1" si="2"/>
        <v>0</v>
      </c>
      <c r="U118" s="1" t="str">
        <f t="shared" si="3"/>
        <v/>
      </c>
      <c r="V118" s="1"/>
      <c r="W118" s="1"/>
    </row>
    <row r="119" spans="1:23">
      <c r="A119" s="1"/>
      <c r="B119" s="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8"/>
      <c r="R119" s="8"/>
      <c r="S119" s="1"/>
      <c r="T119" s="6">
        <f t="shared" ca="1" si="2"/>
        <v>0</v>
      </c>
      <c r="U119" s="1" t="str">
        <f t="shared" si="3"/>
        <v/>
      </c>
      <c r="V119" s="1"/>
      <c r="W119" s="1"/>
    </row>
    <row r="120" spans="1:23">
      <c r="A120" s="1"/>
      <c r="B120" s="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8"/>
      <c r="R120" s="8"/>
      <c r="S120" s="1"/>
      <c r="T120" s="6">
        <f t="shared" ca="1" si="2"/>
        <v>0</v>
      </c>
      <c r="U120" s="1" t="str">
        <f t="shared" si="3"/>
        <v/>
      </c>
      <c r="V120" s="1"/>
      <c r="W120" s="1"/>
    </row>
    <row r="121" spans="1:23">
      <c r="A121" s="1"/>
      <c r="B121" s="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8"/>
      <c r="R121" s="8"/>
      <c r="S121" s="1"/>
      <c r="T121" s="6">
        <f t="shared" ca="1" si="2"/>
        <v>0</v>
      </c>
      <c r="U121" s="1" t="str">
        <f t="shared" si="3"/>
        <v/>
      </c>
      <c r="V121" s="1"/>
      <c r="W121" s="1"/>
    </row>
    <row r="122" spans="1:23">
      <c r="A122" s="1"/>
      <c r="B122" s="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8"/>
      <c r="R122" s="8"/>
      <c r="S122" s="1"/>
      <c r="T122" s="6">
        <f t="shared" ca="1" si="2"/>
        <v>0</v>
      </c>
      <c r="U122" s="1" t="str">
        <f t="shared" si="3"/>
        <v/>
      </c>
      <c r="V122" s="1"/>
      <c r="W122" s="1"/>
    </row>
    <row r="123" spans="1:23">
      <c r="A123" s="1"/>
      <c r="B123" s="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8"/>
      <c r="R123" s="8"/>
      <c r="S123" s="1"/>
      <c r="T123" s="6">
        <f t="shared" ca="1" si="2"/>
        <v>0</v>
      </c>
      <c r="U123" s="1" t="str">
        <f t="shared" si="3"/>
        <v/>
      </c>
      <c r="V123" s="1"/>
      <c r="W123" s="1"/>
    </row>
    <row r="124" spans="1:23">
      <c r="A124" s="1"/>
      <c r="B124" s="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8"/>
      <c r="R124" s="8"/>
      <c r="S124" s="1"/>
      <c r="T124" s="6">
        <f t="shared" ca="1" si="2"/>
        <v>0</v>
      </c>
      <c r="U124" s="1" t="str">
        <f t="shared" si="3"/>
        <v/>
      </c>
      <c r="V124" s="1"/>
      <c r="W124" s="1"/>
    </row>
    <row r="125" spans="1:23">
      <c r="A125" s="1"/>
      <c r="B125" s="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8"/>
      <c r="R125" s="8"/>
      <c r="S125" s="1"/>
      <c r="T125" s="6">
        <f t="shared" ca="1" si="2"/>
        <v>0</v>
      </c>
      <c r="U125" s="1" t="str">
        <f t="shared" si="3"/>
        <v/>
      </c>
      <c r="V125" s="1"/>
      <c r="W125" s="1"/>
    </row>
    <row r="126" spans="1:23">
      <c r="A126" s="1"/>
      <c r="B126" s="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8"/>
      <c r="R126" s="8"/>
      <c r="S126" s="1"/>
      <c r="T126" s="6">
        <f t="shared" ca="1" si="2"/>
        <v>0</v>
      </c>
      <c r="U126" s="1" t="str">
        <f t="shared" si="3"/>
        <v/>
      </c>
      <c r="V126" s="1"/>
      <c r="W126" s="1"/>
    </row>
    <row r="127" spans="1:23">
      <c r="A127" s="1"/>
      <c r="B127" s="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8"/>
      <c r="R127" s="8"/>
      <c r="S127" s="1"/>
      <c r="T127" s="6">
        <f t="shared" ca="1" si="2"/>
        <v>0</v>
      </c>
      <c r="U127" s="1" t="str">
        <f t="shared" si="3"/>
        <v/>
      </c>
      <c r="V127" s="1"/>
      <c r="W127" s="1"/>
    </row>
    <row r="128" spans="1:23">
      <c r="A128" s="1"/>
      <c r="B128" s="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8"/>
      <c r="R128" s="8"/>
      <c r="S128" s="1"/>
      <c r="T128" s="6">
        <f t="shared" ca="1" si="2"/>
        <v>0</v>
      </c>
      <c r="U128" s="1" t="str">
        <f t="shared" si="3"/>
        <v/>
      </c>
      <c r="V128" s="1"/>
      <c r="W128" s="1"/>
    </row>
    <row r="129" spans="1:23">
      <c r="A129" s="1"/>
      <c r="B129" s="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8"/>
      <c r="R129" s="8"/>
      <c r="S129" s="1"/>
      <c r="T129" s="6">
        <f t="shared" ca="1" si="2"/>
        <v>0</v>
      </c>
      <c r="U129" s="1" t="str">
        <f t="shared" si="3"/>
        <v/>
      </c>
      <c r="V129" s="1"/>
      <c r="W129" s="1"/>
    </row>
    <row r="130" spans="1:23">
      <c r="A130" s="1"/>
      <c r="B130" s="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8"/>
      <c r="R130" s="8"/>
      <c r="S130" s="1"/>
      <c r="T130" s="6">
        <f t="shared" ref="T130:T193" ca="1" si="4">IF(AND(S130&lt;&gt;"Clôturée",Q130&lt;&gt;"",TODAY()&gt;Q130),TODAY()-Q130,0)</f>
        <v>0</v>
      </c>
      <c r="U130" s="1" t="str">
        <f t="shared" ref="U130:U193" si="5">IF(M130="Critique","P1",IF(M130="Majeure","P2",IF(M130="Mineure","P3","")))</f>
        <v/>
      </c>
      <c r="V130" s="1"/>
      <c r="W130" s="1"/>
    </row>
    <row r="131" spans="1:23">
      <c r="A131" s="1"/>
      <c r="B131" s="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8"/>
      <c r="R131" s="8"/>
      <c r="S131" s="1"/>
      <c r="T131" s="6">
        <f t="shared" ca="1" si="4"/>
        <v>0</v>
      </c>
      <c r="U131" s="1" t="str">
        <f t="shared" si="5"/>
        <v/>
      </c>
      <c r="V131" s="1"/>
      <c r="W131" s="1"/>
    </row>
    <row r="132" spans="1:23">
      <c r="A132" s="1"/>
      <c r="B132" s="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8"/>
      <c r="R132" s="8"/>
      <c r="S132" s="1"/>
      <c r="T132" s="6">
        <f t="shared" ca="1" si="4"/>
        <v>0</v>
      </c>
      <c r="U132" s="1" t="str">
        <f t="shared" si="5"/>
        <v/>
      </c>
      <c r="V132" s="1"/>
      <c r="W132" s="1"/>
    </row>
    <row r="133" spans="1:23">
      <c r="A133" s="1"/>
      <c r="B133" s="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8"/>
      <c r="R133" s="8"/>
      <c r="S133" s="1"/>
      <c r="T133" s="6">
        <f t="shared" ca="1" si="4"/>
        <v>0</v>
      </c>
      <c r="U133" s="1" t="str">
        <f t="shared" si="5"/>
        <v/>
      </c>
      <c r="V133" s="1"/>
      <c r="W133" s="1"/>
    </row>
    <row r="134" spans="1:23">
      <c r="A134" s="1"/>
      <c r="B134" s="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8"/>
      <c r="R134" s="8"/>
      <c r="S134" s="1"/>
      <c r="T134" s="6">
        <f t="shared" ca="1" si="4"/>
        <v>0</v>
      </c>
      <c r="U134" s="1" t="str">
        <f t="shared" si="5"/>
        <v/>
      </c>
      <c r="V134" s="1"/>
      <c r="W134" s="1"/>
    </row>
    <row r="135" spans="1:23">
      <c r="A135" s="1"/>
      <c r="B135" s="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8"/>
      <c r="R135" s="8"/>
      <c r="S135" s="1"/>
      <c r="T135" s="6">
        <f t="shared" ca="1" si="4"/>
        <v>0</v>
      </c>
      <c r="U135" s="1" t="str">
        <f t="shared" si="5"/>
        <v/>
      </c>
      <c r="V135" s="1"/>
      <c r="W135" s="1"/>
    </row>
    <row r="136" spans="1:23">
      <c r="A136" s="1"/>
      <c r="B136" s="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8"/>
      <c r="R136" s="8"/>
      <c r="S136" s="1"/>
      <c r="T136" s="6">
        <f t="shared" ca="1" si="4"/>
        <v>0</v>
      </c>
      <c r="U136" s="1" t="str">
        <f t="shared" si="5"/>
        <v/>
      </c>
      <c r="V136" s="1"/>
      <c r="W136" s="1"/>
    </row>
    <row r="137" spans="1:23">
      <c r="A137" s="1"/>
      <c r="B137" s="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8"/>
      <c r="R137" s="8"/>
      <c r="S137" s="1"/>
      <c r="T137" s="6">
        <f t="shared" ca="1" si="4"/>
        <v>0</v>
      </c>
      <c r="U137" s="1" t="str">
        <f t="shared" si="5"/>
        <v/>
      </c>
      <c r="V137" s="1"/>
      <c r="W137" s="1"/>
    </row>
    <row r="138" spans="1:23">
      <c r="A138" s="1"/>
      <c r="B138" s="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8"/>
      <c r="R138" s="8"/>
      <c r="S138" s="1"/>
      <c r="T138" s="6">
        <f t="shared" ca="1" si="4"/>
        <v>0</v>
      </c>
      <c r="U138" s="1" t="str">
        <f t="shared" si="5"/>
        <v/>
      </c>
      <c r="V138" s="1"/>
      <c r="W138" s="1"/>
    </row>
    <row r="139" spans="1:23">
      <c r="A139" s="1"/>
      <c r="B139" s="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8"/>
      <c r="R139" s="8"/>
      <c r="S139" s="1"/>
      <c r="T139" s="6">
        <f t="shared" ca="1" si="4"/>
        <v>0</v>
      </c>
      <c r="U139" s="1" t="str">
        <f t="shared" si="5"/>
        <v/>
      </c>
      <c r="V139" s="1"/>
      <c r="W139" s="1"/>
    </row>
    <row r="140" spans="1:23">
      <c r="A140" s="1"/>
      <c r="B140" s="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8"/>
      <c r="R140" s="8"/>
      <c r="S140" s="1"/>
      <c r="T140" s="6">
        <f t="shared" ca="1" si="4"/>
        <v>0</v>
      </c>
      <c r="U140" s="1" t="str">
        <f t="shared" si="5"/>
        <v/>
      </c>
      <c r="V140" s="1"/>
      <c r="W140" s="1"/>
    </row>
    <row r="141" spans="1:23">
      <c r="A141" s="1"/>
      <c r="B141" s="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8"/>
      <c r="R141" s="8"/>
      <c r="S141" s="1"/>
      <c r="T141" s="6">
        <f t="shared" ca="1" si="4"/>
        <v>0</v>
      </c>
      <c r="U141" s="1" t="str">
        <f t="shared" si="5"/>
        <v/>
      </c>
      <c r="V141" s="1"/>
      <c r="W141" s="1"/>
    </row>
    <row r="142" spans="1:23">
      <c r="A142" s="1"/>
      <c r="B142" s="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8"/>
      <c r="R142" s="8"/>
      <c r="S142" s="1"/>
      <c r="T142" s="6">
        <f t="shared" ca="1" si="4"/>
        <v>0</v>
      </c>
      <c r="U142" s="1" t="str">
        <f t="shared" si="5"/>
        <v/>
      </c>
      <c r="V142" s="1"/>
      <c r="W142" s="1"/>
    </row>
    <row r="143" spans="1:23">
      <c r="A143" s="1"/>
      <c r="B143" s="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8"/>
      <c r="R143" s="8"/>
      <c r="S143" s="1"/>
      <c r="T143" s="6">
        <f t="shared" ca="1" si="4"/>
        <v>0</v>
      </c>
      <c r="U143" s="1" t="str">
        <f t="shared" si="5"/>
        <v/>
      </c>
      <c r="V143" s="1"/>
      <c r="W143" s="1"/>
    </row>
    <row r="144" spans="1:23">
      <c r="A144" s="1"/>
      <c r="B144" s="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8"/>
      <c r="R144" s="8"/>
      <c r="S144" s="1"/>
      <c r="T144" s="6">
        <f t="shared" ca="1" si="4"/>
        <v>0</v>
      </c>
      <c r="U144" s="1" t="str">
        <f t="shared" si="5"/>
        <v/>
      </c>
      <c r="V144" s="1"/>
      <c r="W144" s="1"/>
    </row>
    <row r="145" spans="1:23">
      <c r="A145" s="1"/>
      <c r="B145" s="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8"/>
      <c r="R145" s="8"/>
      <c r="S145" s="1"/>
      <c r="T145" s="6">
        <f t="shared" ca="1" si="4"/>
        <v>0</v>
      </c>
      <c r="U145" s="1" t="str">
        <f t="shared" si="5"/>
        <v/>
      </c>
      <c r="V145" s="1"/>
      <c r="W145" s="1"/>
    </row>
    <row r="146" spans="1:23">
      <c r="A146" s="1"/>
      <c r="B146" s="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8"/>
      <c r="R146" s="8"/>
      <c r="S146" s="1"/>
      <c r="T146" s="6">
        <f t="shared" ca="1" si="4"/>
        <v>0</v>
      </c>
      <c r="U146" s="1" t="str">
        <f t="shared" si="5"/>
        <v/>
      </c>
      <c r="V146" s="1"/>
      <c r="W146" s="1"/>
    </row>
    <row r="147" spans="1:23">
      <c r="A147" s="1"/>
      <c r="B147" s="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8"/>
      <c r="R147" s="8"/>
      <c r="S147" s="1"/>
      <c r="T147" s="6">
        <f t="shared" ca="1" si="4"/>
        <v>0</v>
      </c>
      <c r="U147" s="1" t="str">
        <f t="shared" si="5"/>
        <v/>
      </c>
      <c r="V147" s="1"/>
      <c r="W147" s="1"/>
    </row>
    <row r="148" spans="1:23">
      <c r="A148" s="1"/>
      <c r="B148" s="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8"/>
      <c r="R148" s="8"/>
      <c r="S148" s="1"/>
      <c r="T148" s="6">
        <f t="shared" ca="1" si="4"/>
        <v>0</v>
      </c>
      <c r="U148" s="1" t="str">
        <f t="shared" si="5"/>
        <v/>
      </c>
      <c r="V148" s="1"/>
      <c r="W148" s="1"/>
    </row>
    <row r="149" spans="1:23">
      <c r="A149" s="1"/>
      <c r="B149" s="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8"/>
      <c r="R149" s="8"/>
      <c r="S149" s="1"/>
      <c r="T149" s="6">
        <f t="shared" ca="1" si="4"/>
        <v>0</v>
      </c>
      <c r="U149" s="1" t="str">
        <f t="shared" si="5"/>
        <v/>
      </c>
      <c r="V149" s="1"/>
      <c r="W149" s="1"/>
    </row>
    <row r="150" spans="1:23">
      <c r="A150" s="1"/>
      <c r="B150" s="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8"/>
      <c r="R150" s="8"/>
      <c r="S150" s="1"/>
      <c r="T150" s="6">
        <f t="shared" ca="1" si="4"/>
        <v>0</v>
      </c>
      <c r="U150" s="1" t="str">
        <f t="shared" si="5"/>
        <v/>
      </c>
      <c r="V150" s="1"/>
      <c r="W150" s="1"/>
    </row>
    <row r="151" spans="1:23">
      <c r="A151" s="1"/>
      <c r="B151" s="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8"/>
      <c r="R151" s="8"/>
      <c r="S151" s="1"/>
      <c r="T151" s="6">
        <f t="shared" ca="1" si="4"/>
        <v>0</v>
      </c>
      <c r="U151" s="1" t="str">
        <f t="shared" si="5"/>
        <v/>
      </c>
      <c r="V151" s="1"/>
      <c r="W151" s="1"/>
    </row>
    <row r="152" spans="1:23">
      <c r="A152" s="1"/>
      <c r="B152" s="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8"/>
      <c r="R152" s="8"/>
      <c r="S152" s="1"/>
      <c r="T152" s="6">
        <f t="shared" ca="1" si="4"/>
        <v>0</v>
      </c>
      <c r="U152" s="1" t="str">
        <f t="shared" si="5"/>
        <v/>
      </c>
      <c r="V152" s="1"/>
      <c r="W152" s="1"/>
    </row>
    <row r="153" spans="1:23">
      <c r="A153" s="1"/>
      <c r="B153" s="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8"/>
      <c r="R153" s="8"/>
      <c r="S153" s="1"/>
      <c r="T153" s="6">
        <f t="shared" ca="1" si="4"/>
        <v>0</v>
      </c>
      <c r="U153" s="1" t="str">
        <f t="shared" si="5"/>
        <v/>
      </c>
      <c r="V153" s="1"/>
      <c r="W153" s="1"/>
    </row>
    <row r="154" spans="1:23">
      <c r="A154" s="1"/>
      <c r="B154" s="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8"/>
      <c r="R154" s="8"/>
      <c r="S154" s="1"/>
      <c r="T154" s="6">
        <f t="shared" ca="1" si="4"/>
        <v>0</v>
      </c>
      <c r="U154" s="1" t="str">
        <f t="shared" si="5"/>
        <v/>
      </c>
      <c r="V154" s="1"/>
      <c r="W154" s="1"/>
    </row>
    <row r="155" spans="1:23">
      <c r="A155" s="1"/>
      <c r="B155" s="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8"/>
      <c r="R155" s="8"/>
      <c r="S155" s="1"/>
      <c r="T155" s="6">
        <f t="shared" ca="1" si="4"/>
        <v>0</v>
      </c>
      <c r="U155" s="1" t="str">
        <f t="shared" si="5"/>
        <v/>
      </c>
      <c r="V155" s="1"/>
      <c r="W155" s="1"/>
    </row>
    <row r="156" spans="1:23">
      <c r="A156" s="1"/>
      <c r="B156" s="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8"/>
      <c r="R156" s="8"/>
      <c r="S156" s="1"/>
      <c r="T156" s="6">
        <f t="shared" ca="1" si="4"/>
        <v>0</v>
      </c>
      <c r="U156" s="1" t="str">
        <f t="shared" si="5"/>
        <v/>
      </c>
      <c r="V156" s="1"/>
      <c r="W156" s="1"/>
    </row>
    <row r="157" spans="1:23">
      <c r="A157" s="1"/>
      <c r="B157" s="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8"/>
      <c r="R157" s="8"/>
      <c r="S157" s="1"/>
      <c r="T157" s="6">
        <f t="shared" ca="1" si="4"/>
        <v>0</v>
      </c>
      <c r="U157" s="1" t="str">
        <f t="shared" si="5"/>
        <v/>
      </c>
      <c r="V157" s="1"/>
      <c r="W157" s="1"/>
    </row>
    <row r="158" spans="1:23">
      <c r="A158" s="1"/>
      <c r="B158" s="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8"/>
      <c r="R158" s="8"/>
      <c r="S158" s="1"/>
      <c r="T158" s="6">
        <f t="shared" ca="1" si="4"/>
        <v>0</v>
      </c>
      <c r="U158" s="1" t="str">
        <f t="shared" si="5"/>
        <v/>
      </c>
      <c r="V158" s="1"/>
      <c r="W158" s="1"/>
    </row>
    <row r="159" spans="1:23">
      <c r="A159" s="1"/>
      <c r="B159" s="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8"/>
      <c r="R159" s="8"/>
      <c r="S159" s="1"/>
      <c r="T159" s="6">
        <f t="shared" ca="1" si="4"/>
        <v>0</v>
      </c>
      <c r="U159" s="1" t="str">
        <f t="shared" si="5"/>
        <v/>
      </c>
      <c r="V159" s="1"/>
      <c r="W159" s="1"/>
    </row>
    <row r="160" spans="1:23">
      <c r="A160" s="1"/>
      <c r="B160" s="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8"/>
      <c r="R160" s="8"/>
      <c r="S160" s="1"/>
      <c r="T160" s="6">
        <f t="shared" ca="1" si="4"/>
        <v>0</v>
      </c>
      <c r="U160" s="1" t="str">
        <f t="shared" si="5"/>
        <v/>
      </c>
      <c r="V160" s="1"/>
      <c r="W160" s="1"/>
    </row>
    <row r="161" spans="1:23">
      <c r="A161" s="1"/>
      <c r="B161" s="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8"/>
      <c r="R161" s="8"/>
      <c r="S161" s="1"/>
      <c r="T161" s="6">
        <f t="shared" ca="1" si="4"/>
        <v>0</v>
      </c>
      <c r="U161" s="1" t="str">
        <f t="shared" si="5"/>
        <v/>
      </c>
      <c r="V161" s="1"/>
      <c r="W161" s="1"/>
    </row>
    <row r="162" spans="1:23">
      <c r="A162" s="1"/>
      <c r="B162" s="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8"/>
      <c r="R162" s="8"/>
      <c r="S162" s="1"/>
      <c r="T162" s="6">
        <f t="shared" ca="1" si="4"/>
        <v>0</v>
      </c>
      <c r="U162" s="1" t="str">
        <f t="shared" si="5"/>
        <v/>
      </c>
      <c r="V162" s="1"/>
      <c r="W162" s="1"/>
    </row>
    <row r="163" spans="1:23">
      <c r="A163" s="1"/>
      <c r="B163" s="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8"/>
      <c r="R163" s="8"/>
      <c r="S163" s="1"/>
      <c r="T163" s="6">
        <f t="shared" ca="1" si="4"/>
        <v>0</v>
      </c>
      <c r="U163" s="1" t="str">
        <f t="shared" si="5"/>
        <v/>
      </c>
      <c r="V163" s="1"/>
      <c r="W163" s="1"/>
    </row>
    <row r="164" spans="1:23">
      <c r="A164" s="1"/>
      <c r="B164" s="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8"/>
      <c r="R164" s="8"/>
      <c r="S164" s="1"/>
      <c r="T164" s="6">
        <f t="shared" ca="1" si="4"/>
        <v>0</v>
      </c>
      <c r="U164" s="1" t="str">
        <f t="shared" si="5"/>
        <v/>
      </c>
      <c r="V164" s="1"/>
      <c r="W164" s="1"/>
    </row>
    <row r="165" spans="1:23">
      <c r="A165" s="1"/>
      <c r="B165" s="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8"/>
      <c r="R165" s="8"/>
      <c r="S165" s="1"/>
      <c r="T165" s="6">
        <f t="shared" ca="1" si="4"/>
        <v>0</v>
      </c>
      <c r="U165" s="1" t="str">
        <f t="shared" si="5"/>
        <v/>
      </c>
      <c r="V165" s="1"/>
      <c r="W165" s="1"/>
    </row>
    <row r="166" spans="1:23">
      <c r="A166" s="1"/>
      <c r="B166" s="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8"/>
      <c r="R166" s="8"/>
      <c r="S166" s="1"/>
      <c r="T166" s="6">
        <f t="shared" ca="1" si="4"/>
        <v>0</v>
      </c>
      <c r="U166" s="1" t="str">
        <f t="shared" si="5"/>
        <v/>
      </c>
      <c r="V166" s="1"/>
      <c r="W166" s="1"/>
    </row>
    <row r="167" spans="1:23">
      <c r="A167" s="1"/>
      <c r="B167" s="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8"/>
      <c r="R167" s="8"/>
      <c r="S167" s="1"/>
      <c r="T167" s="6">
        <f t="shared" ca="1" si="4"/>
        <v>0</v>
      </c>
      <c r="U167" s="1" t="str">
        <f t="shared" si="5"/>
        <v/>
      </c>
      <c r="V167" s="1"/>
      <c r="W167" s="1"/>
    </row>
    <row r="168" spans="1:23">
      <c r="A168" s="1"/>
      <c r="B168" s="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8"/>
      <c r="R168" s="8"/>
      <c r="S168" s="1"/>
      <c r="T168" s="6">
        <f t="shared" ca="1" si="4"/>
        <v>0</v>
      </c>
      <c r="U168" s="1" t="str">
        <f t="shared" si="5"/>
        <v/>
      </c>
      <c r="V168" s="1"/>
      <c r="W168" s="1"/>
    </row>
    <row r="169" spans="1:23">
      <c r="A169" s="1"/>
      <c r="B169" s="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8"/>
      <c r="R169" s="8"/>
      <c r="S169" s="1"/>
      <c r="T169" s="6">
        <f t="shared" ca="1" si="4"/>
        <v>0</v>
      </c>
      <c r="U169" s="1" t="str">
        <f t="shared" si="5"/>
        <v/>
      </c>
      <c r="V169" s="1"/>
      <c r="W169" s="1"/>
    </row>
    <row r="170" spans="1:23">
      <c r="A170" s="1"/>
      <c r="B170" s="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8"/>
      <c r="R170" s="8"/>
      <c r="S170" s="1"/>
      <c r="T170" s="6">
        <f t="shared" ca="1" si="4"/>
        <v>0</v>
      </c>
      <c r="U170" s="1" t="str">
        <f t="shared" si="5"/>
        <v/>
      </c>
      <c r="V170" s="1"/>
      <c r="W170" s="1"/>
    </row>
    <row r="171" spans="1:23">
      <c r="A171" s="1"/>
      <c r="B171" s="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8"/>
      <c r="R171" s="8"/>
      <c r="S171" s="1"/>
      <c r="T171" s="6">
        <f t="shared" ca="1" si="4"/>
        <v>0</v>
      </c>
      <c r="U171" s="1" t="str">
        <f t="shared" si="5"/>
        <v/>
      </c>
      <c r="V171" s="1"/>
      <c r="W171" s="1"/>
    </row>
    <row r="172" spans="1:23">
      <c r="A172" s="1"/>
      <c r="B172" s="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8"/>
      <c r="R172" s="8"/>
      <c r="S172" s="1"/>
      <c r="T172" s="6">
        <f t="shared" ca="1" si="4"/>
        <v>0</v>
      </c>
      <c r="U172" s="1" t="str">
        <f t="shared" si="5"/>
        <v/>
      </c>
      <c r="V172" s="1"/>
      <c r="W172" s="1"/>
    </row>
    <row r="173" spans="1:23">
      <c r="A173" s="1"/>
      <c r="B173" s="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8"/>
      <c r="R173" s="8"/>
      <c r="S173" s="1"/>
      <c r="T173" s="6">
        <f t="shared" ca="1" si="4"/>
        <v>0</v>
      </c>
      <c r="U173" s="1" t="str">
        <f t="shared" si="5"/>
        <v/>
      </c>
      <c r="V173" s="1"/>
      <c r="W173" s="1"/>
    </row>
    <row r="174" spans="1:23">
      <c r="A174" s="1"/>
      <c r="B174" s="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8"/>
      <c r="R174" s="8"/>
      <c r="S174" s="1"/>
      <c r="T174" s="6">
        <f t="shared" ca="1" si="4"/>
        <v>0</v>
      </c>
      <c r="U174" s="1" t="str">
        <f t="shared" si="5"/>
        <v/>
      </c>
      <c r="V174" s="1"/>
      <c r="W174" s="1"/>
    </row>
    <row r="175" spans="1:23">
      <c r="A175" s="1"/>
      <c r="B175" s="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8"/>
      <c r="R175" s="8"/>
      <c r="S175" s="1"/>
      <c r="T175" s="6">
        <f t="shared" ca="1" si="4"/>
        <v>0</v>
      </c>
      <c r="U175" s="1" t="str">
        <f t="shared" si="5"/>
        <v/>
      </c>
      <c r="V175" s="1"/>
      <c r="W175" s="1"/>
    </row>
    <row r="176" spans="1:23">
      <c r="A176" s="1"/>
      <c r="B176" s="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8"/>
      <c r="R176" s="8"/>
      <c r="S176" s="1"/>
      <c r="T176" s="6">
        <f t="shared" ca="1" si="4"/>
        <v>0</v>
      </c>
      <c r="U176" s="1" t="str">
        <f t="shared" si="5"/>
        <v/>
      </c>
      <c r="V176" s="1"/>
      <c r="W176" s="1"/>
    </row>
    <row r="177" spans="1:23">
      <c r="A177" s="1"/>
      <c r="B177" s="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8"/>
      <c r="R177" s="8"/>
      <c r="S177" s="1"/>
      <c r="T177" s="6">
        <f t="shared" ca="1" si="4"/>
        <v>0</v>
      </c>
      <c r="U177" s="1" t="str">
        <f t="shared" si="5"/>
        <v/>
      </c>
      <c r="V177" s="1"/>
      <c r="W177" s="1"/>
    </row>
    <row r="178" spans="1:23">
      <c r="A178" s="1"/>
      <c r="B178" s="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8"/>
      <c r="R178" s="8"/>
      <c r="S178" s="1"/>
      <c r="T178" s="6">
        <f t="shared" ca="1" si="4"/>
        <v>0</v>
      </c>
      <c r="U178" s="1" t="str">
        <f t="shared" si="5"/>
        <v/>
      </c>
      <c r="V178" s="1"/>
      <c r="W178" s="1"/>
    </row>
    <row r="179" spans="1:23">
      <c r="A179" s="1"/>
      <c r="B179" s="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8"/>
      <c r="R179" s="8"/>
      <c r="S179" s="1"/>
      <c r="T179" s="6">
        <f t="shared" ca="1" si="4"/>
        <v>0</v>
      </c>
      <c r="U179" s="1" t="str">
        <f t="shared" si="5"/>
        <v/>
      </c>
      <c r="V179" s="1"/>
      <c r="W179" s="1"/>
    </row>
    <row r="180" spans="1:23">
      <c r="A180" s="1"/>
      <c r="B180" s="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8"/>
      <c r="R180" s="8"/>
      <c r="S180" s="1"/>
      <c r="T180" s="6">
        <f t="shared" ca="1" si="4"/>
        <v>0</v>
      </c>
      <c r="U180" s="1" t="str">
        <f t="shared" si="5"/>
        <v/>
      </c>
      <c r="V180" s="1"/>
      <c r="W180" s="1"/>
    </row>
    <row r="181" spans="1:23">
      <c r="A181" s="1"/>
      <c r="B181" s="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8"/>
      <c r="R181" s="8"/>
      <c r="S181" s="1"/>
      <c r="T181" s="6">
        <f t="shared" ca="1" si="4"/>
        <v>0</v>
      </c>
      <c r="U181" s="1" t="str">
        <f t="shared" si="5"/>
        <v/>
      </c>
      <c r="V181" s="1"/>
      <c r="W181" s="1"/>
    </row>
    <row r="182" spans="1:23">
      <c r="A182" s="1"/>
      <c r="B182" s="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8"/>
      <c r="R182" s="8"/>
      <c r="S182" s="1"/>
      <c r="T182" s="6">
        <f t="shared" ca="1" si="4"/>
        <v>0</v>
      </c>
      <c r="U182" s="1" t="str">
        <f t="shared" si="5"/>
        <v/>
      </c>
      <c r="V182" s="1"/>
      <c r="W182" s="1"/>
    </row>
    <row r="183" spans="1:23">
      <c r="A183" s="1"/>
      <c r="B183" s="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8"/>
      <c r="R183" s="8"/>
      <c r="S183" s="1"/>
      <c r="T183" s="6">
        <f t="shared" ca="1" si="4"/>
        <v>0</v>
      </c>
      <c r="U183" s="1" t="str">
        <f t="shared" si="5"/>
        <v/>
      </c>
      <c r="V183" s="1"/>
      <c r="W183" s="1"/>
    </row>
    <row r="184" spans="1:23">
      <c r="A184" s="1"/>
      <c r="B184" s="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8"/>
      <c r="R184" s="8"/>
      <c r="S184" s="1"/>
      <c r="T184" s="6">
        <f t="shared" ca="1" si="4"/>
        <v>0</v>
      </c>
      <c r="U184" s="1" t="str">
        <f t="shared" si="5"/>
        <v/>
      </c>
      <c r="V184" s="1"/>
      <c r="W184" s="1"/>
    </row>
    <row r="185" spans="1:23">
      <c r="A185" s="1"/>
      <c r="B185" s="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8"/>
      <c r="R185" s="8"/>
      <c r="S185" s="1"/>
      <c r="T185" s="6">
        <f t="shared" ca="1" si="4"/>
        <v>0</v>
      </c>
      <c r="U185" s="1" t="str">
        <f t="shared" si="5"/>
        <v/>
      </c>
      <c r="V185" s="1"/>
      <c r="W185" s="1"/>
    </row>
    <row r="186" spans="1:23">
      <c r="A186" s="1"/>
      <c r="B186" s="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8"/>
      <c r="R186" s="8"/>
      <c r="S186" s="1"/>
      <c r="T186" s="6">
        <f t="shared" ca="1" si="4"/>
        <v>0</v>
      </c>
      <c r="U186" s="1" t="str">
        <f t="shared" si="5"/>
        <v/>
      </c>
      <c r="V186" s="1"/>
      <c r="W186" s="1"/>
    </row>
    <row r="187" spans="1:23">
      <c r="A187" s="1"/>
      <c r="B187" s="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8"/>
      <c r="R187" s="8"/>
      <c r="S187" s="1"/>
      <c r="T187" s="6">
        <f t="shared" ca="1" si="4"/>
        <v>0</v>
      </c>
      <c r="U187" s="1" t="str">
        <f t="shared" si="5"/>
        <v/>
      </c>
      <c r="V187" s="1"/>
      <c r="W187" s="1"/>
    </row>
    <row r="188" spans="1:23">
      <c r="A188" s="1"/>
      <c r="B188" s="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8"/>
      <c r="R188" s="8"/>
      <c r="S188" s="1"/>
      <c r="T188" s="6">
        <f t="shared" ca="1" si="4"/>
        <v>0</v>
      </c>
      <c r="U188" s="1" t="str">
        <f t="shared" si="5"/>
        <v/>
      </c>
      <c r="V188" s="1"/>
      <c r="W188" s="1"/>
    </row>
    <row r="189" spans="1:23">
      <c r="A189" s="1"/>
      <c r="B189" s="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8"/>
      <c r="R189" s="8"/>
      <c r="S189" s="1"/>
      <c r="T189" s="6">
        <f t="shared" ca="1" si="4"/>
        <v>0</v>
      </c>
      <c r="U189" s="1" t="str">
        <f t="shared" si="5"/>
        <v/>
      </c>
      <c r="V189" s="1"/>
      <c r="W189" s="1"/>
    </row>
    <row r="190" spans="1:23">
      <c r="A190" s="1"/>
      <c r="B190" s="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8"/>
      <c r="R190" s="8"/>
      <c r="S190" s="1"/>
      <c r="T190" s="6">
        <f t="shared" ca="1" si="4"/>
        <v>0</v>
      </c>
      <c r="U190" s="1" t="str">
        <f t="shared" si="5"/>
        <v/>
      </c>
      <c r="V190" s="1"/>
      <c r="W190" s="1"/>
    </row>
    <row r="191" spans="1:23">
      <c r="A191" s="1"/>
      <c r="B191" s="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8"/>
      <c r="R191" s="8"/>
      <c r="S191" s="1"/>
      <c r="T191" s="6">
        <f t="shared" ca="1" si="4"/>
        <v>0</v>
      </c>
      <c r="U191" s="1" t="str">
        <f t="shared" si="5"/>
        <v/>
      </c>
      <c r="V191" s="1"/>
      <c r="W191" s="1"/>
    </row>
    <row r="192" spans="1:23">
      <c r="A192" s="1"/>
      <c r="B192" s="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8"/>
      <c r="R192" s="8"/>
      <c r="S192" s="1"/>
      <c r="T192" s="6">
        <f t="shared" ca="1" si="4"/>
        <v>0</v>
      </c>
      <c r="U192" s="1" t="str">
        <f t="shared" si="5"/>
        <v/>
      </c>
      <c r="V192" s="1"/>
      <c r="W192" s="1"/>
    </row>
    <row r="193" spans="1:23">
      <c r="A193" s="1"/>
      <c r="B193" s="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8"/>
      <c r="R193" s="8"/>
      <c r="S193" s="1"/>
      <c r="T193" s="6">
        <f t="shared" ca="1" si="4"/>
        <v>0</v>
      </c>
      <c r="U193" s="1" t="str">
        <f t="shared" si="5"/>
        <v/>
      </c>
      <c r="V193" s="1"/>
      <c r="W193" s="1"/>
    </row>
    <row r="194" spans="1:23">
      <c r="A194" s="1"/>
      <c r="B194" s="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8"/>
      <c r="R194" s="8"/>
      <c r="S194" s="1"/>
      <c r="T194" s="6">
        <f t="shared" ref="T194:T257" ca="1" si="6">IF(AND(S194&lt;&gt;"Clôturée",Q194&lt;&gt;"",TODAY()&gt;Q194),TODAY()-Q194,0)</f>
        <v>0</v>
      </c>
      <c r="U194" s="1" t="str">
        <f t="shared" ref="U194:U257" si="7">IF(M194="Critique","P1",IF(M194="Majeure","P2",IF(M194="Mineure","P3","")))</f>
        <v/>
      </c>
      <c r="V194" s="1"/>
      <c r="W194" s="1"/>
    </row>
    <row r="195" spans="1:23">
      <c r="A195" s="1"/>
      <c r="B195" s="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8"/>
      <c r="R195" s="8"/>
      <c r="S195" s="1"/>
      <c r="T195" s="6">
        <f t="shared" ca="1" si="6"/>
        <v>0</v>
      </c>
      <c r="U195" s="1" t="str">
        <f t="shared" si="7"/>
        <v/>
      </c>
      <c r="V195" s="1"/>
      <c r="W195" s="1"/>
    </row>
    <row r="196" spans="1:23">
      <c r="A196" s="1"/>
      <c r="B196" s="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8"/>
      <c r="R196" s="8"/>
      <c r="S196" s="1"/>
      <c r="T196" s="6">
        <f t="shared" ca="1" si="6"/>
        <v>0</v>
      </c>
      <c r="U196" s="1" t="str">
        <f t="shared" si="7"/>
        <v/>
      </c>
      <c r="V196" s="1"/>
      <c r="W196" s="1"/>
    </row>
    <row r="197" spans="1:23">
      <c r="A197" s="1"/>
      <c r="B197" s="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8"/>
      <c r="R197" s="8"/>
      <c r="S197" s="1"/>
      <c r="T197" s="6">
        <f t="shared" ca="1" si="6"/>
        <v>0</v>
      </c>
      <c r="U197" s="1" t="str">
        <f t="shared" si="7"/>
        <v/>
      </c>
      <c r="V197" s="1"/>
      <c r="W197" s="1"/>
    </row>
    <row r="198" spans="1:23">
      <c r="A198" s="1"/>
      <c r="B198" s="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8"/>
      <c r="R198" s="8"/>
      <c r="S198" s="1"/>
      <c r="T198" s="6">
        <f t="shared" ca="1" si="6"/>
        <v>0</v>
      </c>
      <c r="U198" s="1" t="str">
        <f t="shared" si="7"/>
        <v/>
      </c>
      <c r="V198" s="1"/>
      <c r="W198" s="1"/>
    </row>
    <row r="199" spans="1:23">
      <c r="A199" s="1"/>
      <c r="B199" s="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8"/>
      <c r="R199" s="8"/>
      <c r="S199" s="1"/>
      <c r="T199" s="6">
        <f t="shared" ca="1" si="6"/>
        <v>0</v>
      </c>
      <c r="U199" s="1" t="str">
        <f t="shared" si="7"/>
        <v/>
      </c>
      <c r="V199" s="1"/>
      <c r="W199" s="1"/>
    </row>
    <row r="200" spans="1:23">
      <c r="A200" s="1"/>
      <c r="B200" s="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8"/>
      <c r="R200" s="8"/>
      <c r="S200" s="1"/>
      <c r="T200" s="6">
        <f t="shared" ca="1" si="6"/>
        <v>0</v>
      </c>
      <c r="U200" s="1" t="str">
        <f t="shared" si="7"/>
        <v/>
      </c>
      <c r="V200" s="1"/>
      <c r="W200" s="1"/>
    </row>
    <row r="201" spans="1:23">
      <c r="A201" s="1"/>
      <c r="B201" s="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8"/>
      <c r="R201" s="8"/>
      <c r="S201" s="1"/>
      <c r="T201" s="6">
        <f t="shared" ca="1" si="6"/>
        <v>0</v>
      </c>
      <c r="U201" s="1" t="str">
        <f t="shared" si="7"/>
        <v/>
      </c>
      <c r="V201" s="1"/>
      <c r="W201" s="1"/>
    </row>
    <row r="202" spans="1:23">
      <c r="A202" s="1"/>
      <c r="B202" s="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8"/>
      <c r="R202" s="8"/>
      <c r="S202" s="1"/>
      <c r="T202" s="6">
        <f t="shared" ca="1" si="6"/>
        <v>0</v>
      </c>
      <c r="U202" s="1" t="str">
        <f t="shared" si="7"/>
        <v/>
      </c>
      <c r="V202" s="1"/>
      <c r="W202" s="1"/>
    </row>
    <row r="203" spans="1:23">
      <c r="A203" s="1"/>
      <c r="B203" s="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8"/>
      <c r="R203" s="8"/>
      <c r="S203" s="1"/>
      <c r="T203" s="6">
        <f t="shared" ca="1" si="6"/>
        <v>0</v>
      </c>
      <c r="U203" s="1" t="str">
        <f t="shared" si="7"/>
        <v/>
      </c>
      <c r="V203" s="1"/>
      <c r="W203" s="1"/>
    </row>
    <row r="204" spans="1:23">
      <c r="A204" s="1"/>
      <c r="B204" s="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8"/>
      <c r="R204" s="8"/>
      <c r="S204" s="1"/>
      <c r="T204" s="6">
        <f t="shared" ca="1" si="6"/>
        <v>0</v>
      </c>
      <c r="U204" s="1" t="str">
        <f t="shared" si="7"/>
        <v/>
      </c>
      <c r="V204" s="1"/>
      <c r="W204" s="1"/>
    </row>
    <row r="205" spans="1:23">
      <c r="A205" s="1"/>
      <c r="B205" s="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8"/>
      <c r="R205" s="8"/>
      <c r="S205" s="1"/>
      <c r="T205" s="6">
        <f t="shared" ca="1" si="6"/>
        <v>0</v>
      </c>
      <c r="U205" s="1" t="str">
        <f t="shared" si="7"/>
        <v/>
      </c>
      <c r="V205" s="1"/>
      <c r="W205" s="1"/>
    </row>
    <row r="206" spans="1:23">
      <c r="A206" s="1"/>
      <c r="B206" s="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8"/>
      <c r="R206" s="8"/>
      <c r="S206" s="1"/>
      <c r="T206" s="6">
        <f t="shared" ca="1" si="6"/>
        <v>0</v>
      </c>
      <c r="U206" s="1" t="str">
        <f t="shared" si="7"/>
        <v/>
      </c>
      <c r="V206" s="1"/>
      <c r="W206" s="1"/>
    </row>
    <row r="207" spans="1:23">
      <c r="A207" s="1"/>
      <c r="B207" s="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8"/>
      <c r="R207" s="8"/>
      <c r="S207" s="1"/>
      <c r="T207" s="6">
        <f t="shared" ca="1" si="6"/>
        <v>0</v>
      </c>
      <c r="U207" s="1" t="str">
        <f t="shared" si="7"/>
        <v/>
      </c>
      <c r="V207" s="1"/>
      <c r="W207" s="1"/>
    </row>
    <row r="208" spans="1:23">
      <c r="A208" s="1"/>
      <c r="B208" s="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8"/>
      <c r="R208" s="8"/>
      <c r="S208" s="1"/>
      <c r="T208" s="6">
        <f t="shared" ca="1" si="6"/>
        <v>0</v>
      </c>
      <c r="U208" s="1" t="str">
        <f t="shared" si="7"/>
        <v/>
      </c>
      <c r="V208" s="1"/>
      <c r="W208" s="1"/>
    </row>
    <row r="209" spans="1:23">
      <c r="A209" s="1"/>
      <c r="B209" s="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8"/>
      <c r="R209" s="8"/>
      <c r="S209" s="1"/>
      <c r="T209" s="6">
        <f t="shared" ca="1" si="6"/>
        <v>0</v>
      </c>
      <c r="U209" s="1" t="str">
        <f t="shared" si="7"/>
        <v/>
      </c>
      <c r="V209" s="1"/>
      <c r="W209" s="1"/>
    </row>
    <row r="210" spans="1:23">
      <c r="A210" s="1"/>
      <c r="B210" s="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8"/>
      <c r="R210" s="8"/>
      <c r="S210" s="1"/>
      <c r="T210" s="6">
        <f t="shared" ca="1" si="6"/>
        <v>0</v>
      </c>
      <c r="U210" s="1" t="str">
        <f t="shared" si="7"/>
        <v/>
      </c>
      <c r="V210" s="1"/>
      <c r="W210" s="1"/>
    </row>
    <row r="211" spans="1:23">
      <c r="A211" s="1"/>
      <c r="B211" s="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8"/>
      <c r="R211" s="8"/>
      <c r="S211" s="1"/>
      <c r="T211" s="6">
        <f t="shared" ca="1" si="6"/>
        <v>0</v>
      </c>
      <c r="U211" s="1" t="str">
        <f t="shared" si="7"/>
        <v/>
      </c>
      <c r="V211" s="1"/>
      <c r="W211" s="1"/>
    </row>
    <row r="212" spans="1:23">
      <c r="A212" s="1"/>
      <c r="B212" s="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8"/>
      <c r="R212" s="8"/>
      <c r="S212" s="1"/>
      <c r="T212" s="6">
        <f t="shared" ca="1" si="6"/>
        <v>0</v>
      </c>
      <c r="U212" s="1" t="str">
        <f t="shared" si="7"/>
        <v/>
      </c>
      <c r="V212" s="1"/>
      <c r="W212" s="1"/>
    </row>
    <row r="213" spans="1:23">
      <c r="A213" s="1"/>
      <c r="B213" s="8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8"/>
      <c r="R213" s="8"/>
      <c r="S213" s="1"/>
      <c r="T213" s="6">
        <f t="shared" ca="1" si="6"/>
        <v>0</v>
      </c>
      <c r="U213" s="1" t="str">
        <f t="shared" si="7"/>
        <v/>
      </c>
      <c r="V213" s="1"/>
      <c r="W213" s="1"/>
    </row>
    <row r="214" spans="1:23">
      <c r="A214" s="1"/>
      <c r="B214" s="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8"/>
      <c r="R214" s="8"/>
      <c r="S214" s="1"/>
      <c r="T214" s="6">
        <f t="shared" ca="1" si="6"/>
        <v>0</v>
      </c>
      <c r="U214" s="1" t="str">
        <f t="shared" si="7"/>
        <v/>
      </c>
      <c r="V214" s="1"/>
      <c r="W214" s="1"/>
    </row>
    <row r="215" spans="1:23">
      <c r="A215" s="1"/>
      <c r="B215" s="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8"/>
      <c r="R215" s="8"/>
      <c r="S215" s="1"/>
      <c r="T215" s="6">
        <f t="shared" ca="1" si="6"/>
        <v>0</v>
      </c>
      <c r="U215" s="1" t="str">
        <f t="shared" si="7"/>
        <v/>
      </c>
      <c r="V215" s="1"/>
      <c r="W215" s="1"/>
    </row>
    <row r="216" spans="1:23">
      <c r="A216" s="1"/>
      <c r="B216" s="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8"/>
      <c r="R216" s="8"/>
      <c r="S216" s="1"/>
      <c r="T216" s="6">
        <f t="shared" ca="1" si="6"/>
        <v>0</v>
      </c>
      <c r="U216" s="1" t="str">
        <f t="shared" si="7"/>
        <v/>
      </c>
      <c r="V216" s="1"/>
      <c r="W216" s="1"/>
    </row>
    <row r="217" spans="1:23">
      <c r="A217" s="1"/>
      <c r="B217" s="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8"/>
      <c r="R217" s="8"/>
      <c r="S217" s="1"/>
      <c r="T217" s="6">
        <f t="shared" ca="1" si="6"/>
        <v>0</v>
      </c>
      <c r="U217" s="1" t="str">
        <f t="shared" si="7"/>
        <v/>
      </c>
      <c r="V217" s="1"/>
      <c r="W217" s="1"/>
    </row>
    <row r="218" spans="1:23">
      <c r="A218" s="1"/>
      <c r="B218" s="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8"/>
      <c r="R218" s="8"/>
      <c r="S218" s="1"/>
      <c r="T218" s="6">
        <f t="shared" ca="1" si="6"/>
        <v>0</v>
      </c>
      <c r="U218" s="1" t="str">
        <f t="shared" si="7"/>
        <v/>
      </c>
      <c r="V218" s="1"/>
      <c r="W218" s="1"/>
    </row>
    <row r="219" spans="1:23">
      <c r="A219" s="1"/>
      <c r="B219" s="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8"/>
      <c r="R219" s="8"/>
      <c r="S219" s="1"/>
      <c r="T219" s="6">
        <f t="shared" ca="1" si="6"/>
        <v>0</v>
      </c>
      <c r="U219" s="1" t="str">
        <f t="shared" si="7"/>
        <v/>
      </c>
      <c r="V219" s="1"/>
      <c r="W219" s="1"/>
    </row>
    <row r="220" spans="1:23">
      <c r="A220" s="1"/>
      <c r="B220" s="8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8"/>
      <c r="R220" s="8"/>
      <c r="S220" s="1"/>
      <c r="T220" s="6">
        <f t="shared" ca="1" si="6"/>
        <v>0</v>
      </c>
      <c r="U220" s="1" t="str">
        <f t="shared" si="7"/>
        <v/>
      </c>
      <c r="V220" s="1"/>
      <c r="W220" s="1"/>
    </row>
    <row r="221" spans="1:23">
      <c r="A221" s="1"/>
      <c r="B221" s="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8"/>
      <c r="R221" s="8"/>
      <c r="S221" s="1"/>
      <c r="T221" s="6">
        <f t="shared" ca="1" si="6"/>
        <v>0</v>
      </c>
      <c r="U221" s="1" t="str">
        <f t="shared" si="7"/>
        <v/>
      </c>
      <c r="V221" s="1"/>
      <c r="W221" s="1"/>
    </row>
    <row r="222" spans="1:23">
      <c r="A222" s="1"/>
      <c r="B222" s="8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8"/>
      <c r="R222" s="8"/>
      <c r="S222" s="1"/>
      <c r="T222" s="6">
        <f t="shared" ca="1" si="6"/>
        <v>0</v>
      </c>
      <c r="U222" s="1" t="str">
        <f t="shared" si="7"/>
        <v/>
      </c>
      <c r="V222" s="1"/>
      <c r="W222" s="1"/>
    </row>
    <row r="223" spans="1:23">
      <c r="A223" s="1"/>
      <c r="B223" s="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8"/>
      <c r="R223" s="8"/>
      <c r="S223" s="1"/>
      <c r="T223" s="6">
        <f t="shared" ca="1" si="6"/>
        <v>0</v>
      </c>
      <c r="U223" s="1" t="str">
        <f t="shared" si="7"/>
        <v/>
      </c>
      <c r="V223" s="1"/>
      <c r="W223" s="1"/>
    </row>
    <row r="224" spans="1:23">
      <c r="A224" s="1"/>
      <c r="B224" s="8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8"/>
      <c r="R224" s="8"/>
      <c r="S224" s="1"/>
      <c r="T224" s="6">
        <f t="shared" ca="1" si="6"/>
        <v>0</v>
      </c>
      <c r="U224" s="1" t="str">
        <f t="shared" si="7"/>
        <v/>
      </c>
      <c r="V224" s="1"/>
      <c r="W224" s="1"/>
    </row>
    <row r="225" spans="1:23">
      <c r="A225" s="1"/>
      <c r="B225" s="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8"/>
      <c r="R225" s="8"/>
      <c r="S225" s="1"/>
      <c r="T225" s="6">
        <f t="shared" ca="1" si="6"/>
        <v>0</v>
      </c>
      <c r="U225" s="1" t="str">
        <f t="shared" si="7"/>
        <v/>
      </c>
      <c r="V225" s="1"/>
      <c r="W225" s="1"/>
    </row>
    <row r="226" spans="1:23">
      <c r="A226" s="1"/>
      <c r="B226" s="8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8"/>
      <c r="R226" s="8"/>
      <c r="S226" s="1"/>
      <c r="T226" s="6">
        <f t="shared" ca="1" si="6"/>
        <v>0</v>
      </c>
      <c r="U226" s="1" t="str">
        <f t="shared" si="7"/>
        <v/>
      </c>
      <c r="V226" s="1"/>
      <c r="W226" s="1"/>
    </row>
    <row r="227" spans="1:23">
      <c r="A227" s="1"/>
      <c r="B227" s="8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8"/>
      <c r="R227" s="8"/>
      <c r="S227" s="1"/>
      <c r="T227" s="6">
        <f t="shared" ca="1" si="6"/>
        <v>0</v>
      </c>
      <c r="U227" s="1" t="str">
        <f t="shared" si="7"/>
        <v/>
      </c>
      <c r="V227" s="1"/>
      <c r="W227" s="1"/>
    </row>
    <row r="228" spans="1:23">
      <c r="A228" s="1"/>
      <c r="B228" s="8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8"/>
      <c r="R228" s="8"/>
      <c r="S228" s="1"/>
      <c r="T228" s="6">
        <f t="shared" ca="1" si="6"/>
        <v>0</v>
      </c>
      <c r="U228" s="1" t="str">
        <f t="shared" si="7"/>
        <v/>
      </c>
      <c r="V228" s="1"/>
      <c r="W228" s="1"/>
    </row>
    <row r="229" spans="1:23">
      <c r="A229" s="1"/>
      <c r="B229" s="8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8"/>
      <c r="R229" s="8"/>
      <c r="S229" s="1"/>
      <c r="T229" s="6">
        <f t="shared" ca="1" si="6"/>
        <v>0</v>
      </c>
      <c r="U229" s="1" t="str">
        <f t="shared" si="7"/>
        <v/>
      </c>
      <c r="V229" s="1"/>
      <c r="W229" s="1"/>
    </row>
    <row r="230" spans="1:23">
      <c r="A230" s="1"/>
      <c r="B230" s="8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8"/>
      <c r="R230" s="8"/>
      <c r="S230" s="1"/>
      <c r="T230" s="6">
        <f t="shared" ca="1" si="6"/>
        <v>0</v>
      </c>
      <c r="U230" s="1" t="str">
        <f t="shared" si="7"/>
        <v/>
      </c>
      <c r="V230" s="1"/>
      <c r="W230" s="1"/>
    </row>
    <row r="231" spans="1:23">
      <c r="A231" s="1"/>
      <c r="B231" s="8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8"/>
      <c r="R231" s="8"/>
      <c r="S231" s="1"/>
      <c r="T231" s="6">
        <f t="shared" ca="1" si="6"/>
        <v>0</v>
      </c>
      <c r="U231" s="1" t="str">
        <f t="shared" si="7"/>
        <v/>
      </c>
      <c r="V231" s="1"/>
      <c r="W231" s="1"/>
    </row>
    <row r="232" spans="1:23">
      <c r="A232" s="1"/>
      <c r="B232" s="8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8"/>
      <c r="R232" s="8"/>
      <c r="S232" s="1"/>
      <c r="T232" s="6">
        <f t="shared" ca="1" si="6"/>
        <v>0</v>
      </c>
      <c r="U232" s="1" t="str">
        <f t="shared" si="7"/>
        <v/>
      </c>
      <c r="V232" s="1"/>
      <c r="W232" s="1"/>
    </row>
    <row r="233" spans="1:23">
      <c r="A233" s="1"/>
      <c r="B233" s="8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8"/>
      <c r="R233" s="8"/>
      <c r="S233" s="1"/>
      <c r="T233" s="6">
        <f t="shared" ca="1" si="6"/>
        <v>0</v>
      </c>
      <c r="U233" s="1" t="str">
        <f t="shared" si="7"/>
        <v/>
      </c>
      <c r="V233" s="1"/>
      <c r="W233" s="1"/>
    </row>
    <row r="234" spans="1:23">
      <c r="A234" s="1"/>
      <c r="B234" s="8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8"/>
      <c r="R234" s="8"/>
      <c r="S234" s="1"/>
      <c r="T234" s="6">
        <f t="shared" ca="1" si="6"/>
        <v>0</v>
      </c>
      <c r="U234" s="1" t="str">
        <f t="shared" si="7"/>
        <v/>
      </c>
      <c r="V234" s="1"/>
      <c r="W234" s="1"/>
    </row>
    <row r="235" spans="1:23">
      <c r="A235" s="1"/>
      <c r="B235" s="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8"/>
      <c r="R235" s="8"/>
      <c r="S235" s="1"/>
      <c r="T235" s="6">
        <f t="shared" ca="1" si="6"/>
        <v>0</v>
      </c>
      <c r="U235" s="1" t="str">
        <f t="shared" si="7"/>
        <v/>
      </c>
      <c r="V235" s="1"/>
      <c r="W235" s="1"/>
    </row>
    <row r="236" spans="1:23">
      <c r="A236" s="1"/>
      <c r="B236" s="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8"/>
      <c r="R236" s="8"/>
      <c r="S236" s="1"/>
      <c r="T236" s="6">
        <f t="shared" ca="1" si="6"/>
        <v>0</v>
      </c>
      <c r="U236" s="1" t="str">
        <f t="shared" si="7"/>
        <v/>
      </c>
      <c r="V236" s="1"/>
      <c r="W236" s="1"/>
    </row>
    <row r="237" spans="1:23">
      <c r="A237" s="1"/>
      <c r="B237" s="8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8"/>
      <c r="R237" s="8"/>
      <c r="S237" s="1"/>
      <c r="T237" s="6">
        <f t="shared" ca="1" si="6"/>
        <v>0</v>
      </c>
      <c r="U237" s="1" t="str">
        <f t="shared" si="7"/>
        <v/>
      </c>
      <c r="V237" s="1"/>
      <c r="W237" s="1"/>
    </row>
    <row r="238" spans="1:23">
      <c r="A238" s="1"/>
      <c r="B238" s="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8"/>
      <c r="R238" s="8"/>
      <c r="S238" s="1"/>
      <c r="T238" s="6">
        <f t="shared" ca="1" si="6"/>
        <v>0</v>
      </c>
      <c r="U238" s="1" t="str">
        <f t="shared" si="7"/>
        <v/>
      </c>
      <c r="V238" s="1"/>
      <c r="W238" s="1"/>
    </row>
    <row r="239" spans="1:23">
      <c r="A239" s="1"/>
      <c r="B239" s="8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8"/>
      <c r="R239" s="8"/>
      <c r="S239" s="1"/>
      <c r="T239" s="6">
        <f t="shared" ca="1" si="6"/>
        <v>0</v>
      </c>
      <c r="U239" s="1" t="str">
        <f t="shared" si="7"/>
        <v/>
      </c>
      <c r="V239" s="1"/>
      <c r="W239" s="1"/>
    </row>
    <row r="240" spans="1:23">
      <c r="A240" s="1"/>
      <c r="B240" s="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8"/>
      <c r="R240" s="8"/>
      <c r="S240" s="1"/>
      <c r="T240" s="6">
        <f t="shared" ca="1" si="6"/>
        <v>0</v>
      </c>
      <c r="U240" s="1" t="str">
        <f t="shared" si="7"/>
        <v/>
      </c>
      <c r="V240" s="1"/>
      <c r="W240" s="1"/>
    </row>
    <row r="241" spans="1:23">
      <c r="A241" s="1"/>
      <c r="B241" s="8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8"/>
      <c r="R241" s="8"/>
      <c r="S241" s="1"/>
      <c r="T241" s="6">
        <f t="shared" ca="1" si="6"/>
        <v>0</v>
      </c>
      <c r="U241" s="1" t="str">
        <f t="shared" si="7"/>
        <v/>
      </c>
      <c r="V241" s="1"/>
      <c r="W241" s="1"/>
    </row>
    <row r="242" spans="1:23">
      <c r="A242" s="1"/>
      <c r="B242" s="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8"/>
      <c r="R242" s="8"/>
      <c r="S242" s="1"/>
      <c r="T242" s="6">
        <f t="shared" ca="1" si="6"/>
        <v>0</v>
      </c>
      <c r="U242" s="1" t="str">
        <f t="shared" si="7"/>
        <v/>
      </c>
      <c r="V242" s="1"/>
      <c r="W242" s="1"/>
    </row>
    <row r="243" spans="1:23">
      <c r="A243" s="1"/>
      <c r="B243" s="8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8"/>
      <c r="R243" s="8"/>
      <c r="S243" s="1"/>
      <c r="T243" s="6">
        <f t="shared" ca="1" si="6"/>
        <v>0</v>
      </c>
      <c r="U243" s="1" t="str">
        <f t="shared" si="7"/>
        <v/>
      </c>
      <c r="V243" s="1"/>
      <c r="W243" s="1"/>
    </row>
    <row r="244" spans="1:23">
      <c r="A244" s="1"/>
      <c r="B244" s="8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8"/>
      <c r="R244" s="8"/>
      <c r="S244" s="1"/>
      <c r="T244" s="6">
        <f t="shared" ca="1" si="6"/>
        <v>0</v>
      </c>
      <c r="U244" s="1" t="str">
        <f t="shared" si="7"/>
        <v/>
      </c>
      <c r="V244" s="1"/>
      <c r="W244" s="1"/>
    </row>
    <row r="245" spans="1:23">
      <c r="A245" s="1"/>
      <c r="B245" s="8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8"/>
      <c r="R245" s="8"/>
      <c r="S245" s="1"/>
      <c r="T245" s="6">
        <f t="shared" ca="1" si="6"/>
        <v>0</v>
      </c>
      <c r="U245" s="1" t="str">
        <f t="shared" si="7"/>
        <v/>
      </c>
      <c r="V245" s="1"/>
      <c r="W245" s="1"/>
    </row>
    <row r="246" spans="1:23">
      <c r="A246" s="1"/>
      <c r="B246" s="8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8"/>
      <c r="R246" s="8"/>
      <c r="S246" s="1"/>
      <c r="T246" s="6">
        <f t="shared" ca="1" si="6"/>
        <v>0</v>
      </c>
      <c r="U246" s="1" t="str">
        <f t="shared" si="7"/>
        <v/>
      </c>
      <c r="V246" s="1"/>
      <c r="W246" s="1"/>
    </row>
    <row r="247" spans="1:23">
      <c r="A247" s="1"/>
      <c r="B247" s="8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8"/>
      <c r="R247" s="8"/>
      <c r="S247" s="1"/>
      <c r="T247" s="6">
        <f t="shared" ca="1" si="6"/>
        <v>0</v>
      </c>
      <c r="U247" s="1" t="str">
        <f t="shared" si="7"/>
        <v/>
      </c>
      <c r="V247" s="1"/>
      <c r="W247" s="1"/>
    </row>
    <row r="248" spans="1:23">
      <c r="A248" s="1"/>
      <c r="B248" s="8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8"/>
      <c r="R248" s="8"/>
      <c r="S248" s="1"/>
      <c r="T248" s="6">
        <f t="shared" ca="1" si="6"/>
        <v>0</v>
      </c>
      <c r="U248" s="1" t="str">
        <f t="shared" si="7"/>
        <v/>
      </c>
      <c r="V248" s="1"/>
      <c r="W248" s="1"/>
    </row>
    <row r="249" spans="1:23">
      <c r="A249" s="1"/>
      <c r="B249" s="8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8"/>
      <c r="R249" s="8"/>
      <c r="S249" s="1"/>
      <c r="T249" s="6">
        <f t="shared" ca="1" si="6"/>
        <v>0</v>
      </c>
      <c r="U249" s="1" t="str">
        <f t="shared" si="7"/>
        <v/>
      </c>
      <c r="V249" s="1"/>
      <c r="W249" s="1"/>
    </row>
    <row r="250" spans="1:23">
      <c r="A250" s="1"/>
      <c r="B250" s="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8"/>
      <c r="R250" s="8"/>
      <c r="S250" s="1"/>
      <c r="T250" s="6">
        <f t="shared" ca="1" si="6"/>
        <v>0</v>
      </c>
      <c r="U250" s="1" t="str">
        <f t="shared" si="7"/>
        <v/>
      </c>
      <c r="V250" s="1"/>
      <c r="W250" s="1"/>
    </row>
    <row r="251" spans="1:23">
      <c r="A251" s="1"/>
      <c r="B251" s="8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8"/>
      <c r="R251" s="8"/>
      <c r="S251" s="1"/>
      <c r="T251" s="6">
        <f t="shared" ca="1" si="6"/>
        <v>0</v>
      </c>
      <c r="U251" s="1" t="str">
        <f t="shared" si="7"/>
        <v/>
      </c>
      <c r="V251" s="1"/>
      <c r="W251" s="1"/>
    </row>
    <row r="252" spans="1:23">
      <c r="A252" s="1"/>
      <c r="B252" s="8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8"/>
      <c r="R252" s="8"/>
      <c r="S252" s="1"/>
      <c r="T252" s="6">
        <f t="shared" ca="1" si="6"/>
        <v>0</v>
      </c>
      <c r="U252" s="1" t="str">
        <f t="shared" si="7"/>
        <v/>
      </c>
      <c r="V252" s="1"/>
      <c r="W252" s="1"/>
    </row>
    <row r="253" spans="1:23">
      <c r="A253" s="1"/>
      <c r="B253" s="8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8"/>
      <c r="R253" s="8"/>
      <c r="S253" s="1"/>
      <c r="T253" s="6">
        <f t="shared" ca="1" si="6"/>
        <v>0</v>
      </c>
      <c r="U253" s="1" t="str">
        <f t="shared" si="7"/>
        <v/>
      </c>
      <c r="V253" s="1"/>
      <c r="W253" s="1"/>
    </row>
    <row r="254" spans="1:23">
      <c r="A254" s="1"/>
      <c r="B254" s="8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8"/>
      <c r="R254" s="8"/>
      <c r="S254" s="1"/>
      <c r="T254" s="6">
        <f t="shared" ca="1" si="6"/>
        <v>0</v>
      </c>
      <c r="U254" s="1" t="str">
        <f t="shared" si="7"/>
        <v/>
      </c>
      <c r="V254" s="1"/>
      <c r="W254" s="1"/>
    </row>
    <row r="255" spans="1:23">
      <c r="A255" s="1"/>
      <c r="B255" s="8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8"/>
      <c r="R255" s="8"/>
      <c r="S255" s="1"/>
      <c r="T255" s="6">
        <f t="shared" ca="1" si="6"/>
        <v>0</v>
      </c>
      <c r="U255" s="1" t="str">
        <f t="shared" si="7"/>
        <v/>
      </c>
      <c r="V255" s="1"/>
      <c r="W255" s="1"/>
    </row>
    <row r="256" spans="1:23">
      <c r="A256" s="1"/>
      <c r="B256" s="8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8"/>
      <c r="R256" s="8"/>
      <c r="S256" s="1"/>
      <c r="T256" s="6">
        <f t="shared" ca="1" si="6"/>
        <v>0</v>
      </c>
      <c r="U256" s="1" t="str">
        <f t="shared" si="7"/>
        <v/>
      </c>
      <c r="V256" s="1"/>
      <c r="W256" s="1"/>
    </row>
    <row r="257" spans="1:23">
      <c r="A257" s="1"/>
      <c r="B257" s="8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8"/>
      <c r="R257" s="8"/>
      <c r="S257" s="1"/>
      <c r="T257" s="6">
        <f t="shared" ca="1" si="6"/>
        <v>0</v>
      </c>
      <c r="U257" s="1" t="str">
        <f t="shared" si="7"/>
        <v/>
      </c>
      <c r="V257" s="1"/>
      <c r="W257" s="1"/>
    </row>
    <row r="258" spans="1:23">
      <c r="A258" s="1"/>
      <c r="B258" s="8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8"/>
      <c r="R258" s="8"/>
      <c r="S258" s="1"/>
      <c r="T258" s="6">
        <f t="shared" ref="T258:T297" ca="1" si="8">IF(AND(S258&lt;&gt;"Clôturée",Q258&lt;&gt;"",TODAY()&gt;Q258),TODAY()-Q258,0)</f>
        <v>0</v>
      </c>
      <c r="U258" s="1" t="str">
        <f t="shared" ref="U258:U297" si="9">IF(M258="Critique","P1",IF(M258="Majeure","P2",IF(M258="Mineure","P3","")))</f>
        <v/>
      </c>
      <c r="V258" s="1"/>
      <c r="W258" s="1"/>
    </row>
    <row r="259" spans="1:23">
      <c r="A259" s="1"/>
      <c r="B259" s="8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8"/>
      <c r="R259" s="8"/>
      <c r="S259" s="1"/>
      <c r="T259" s="6">
        <f t="shared" ca="1" si="8"/>
        <v>0</v>
      </c>
      <c r="U259" s="1" t="str">
        <f t="shared" si="9"/>
        <v/>
      </c>
      <c r="V259" s="1"/>
      <c r="W259" s="1"/>
    </row>
    <row r="260" spans="1:23">
      <c r="A260" s="1"/>
      <c r="B260" s="8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8"/>
      <c r="R260" s="8"/>
      <c r="S260" s="1"/>
      <c r="T260" s="6">
        <f t="shared" ca="1" si="8"/>
        <v>0</v>
      </c>
      <c r="U260" s="1" t="str">
        <f t="shared" si="9"/>
        <v/>
      </c>
      <c r="V260" s="1"/>
      <c r="W260" s="1"/>
    </row>
    <row r="261" spans="1:23">
      <c r="A261" s="1"/>
      <c r="B261" s="8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8"/>
      <c r="R261" s="8"/>
      <c r="S261" s="1"/>
      <c r="T261" s="6">
        <f t="shared" ca="1" si="8"/>
        <v>0</v>
      </c>
      <c r="U261" s="1" t="str">
        <f t="shared" si="9"/>
        <v/>
      </c>
      <c r="V261" s="1"/>
      <c r="W261" s="1"/>
    </row>
    <row r="262" spans="1:23">
      <c r="A262" s="1"/>
      <c r="B262" s="8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8"/>
      <c r="R262" s="8"/>
      <c r="S262" s="1"/>
      <c r="T262" s="6">
        <f t="shared" ca="1" si="8"/>
        <v>0</v>
      </c>
      <c r="U262" s="1" t="str">
        <f t="shared" si="9"/>
        <v/>
      </c>
      <c r="V262" s="1"/>
      <c r="W262" s="1"/>
    </row>
    <row r="263" spans="1:23">
      <c r="A263" s="1"/>
      <c r="B263" s="8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8"/>
      <c r="R263" s="8"/>
      <c r="S263" s="1"/>
      <c r="T263" s="6">
        <f t="shared" ca="1" si="8"/>
        <v>0</v>
      </c>
      <c r="U263" s="1" t="str">
        <f t="shared" si="9"/>
        <v/>
      </c>
      <c r="V263" s="1"/>
      <c r="W263" s="1"/>
    </row>
    <row r="264" spans="1:23">
      <c r="A264" s="1"/>
      <c r="B264" s="8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8"/>
      <c r="R264" s="8"/>
      <c r="S264" s="1"/>
      <c r="T264" s="6">
        <f t="shared" ca="1" si="8"/>
        <v>0</v>
      </c>
      <c r="U264" s="1" t="str">
        <f t="shared" si="9"/>
        <v/>
      </c>
      <c r="V264" s="1"/>
      <c r="W264" s="1"/>
    </row>
    <row r="265" spans="1:23">
      <c r="A265" s="1"/>
      <c r="B265" s="8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8"/>
      <c r="R265" s="8"/>
      <c r="S265" s="1"/>
      <c r="T265" s="6">
        <f t="shared" ca="1" si="8"/>
        <v>0</v>
      </c>
      <c r="U265" s="1" t="str">
        <f t="shared" si="9"/>
        <v/>
      </c>
      <c r="V265" s="1"/>
      <c r="W265" s="1"/>
    </row>
    <row r="266" spans="1:23">
      <c r="A266" s="1"/>
      <c r="B266" s="8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8"/>
      <c r="R266" s="8"/>
      <c r="S266" s="1"/>
      <c r="T266" s="6">
        <f t="shared" ca="1" si="8"/>
        <v>0</v>
      </c>
      <c r="U266" s="1" t="str">
        <f t="shared" si="9"/>
        <v/>
      </c>
      <c r="V266" s="1"/>
      <c r="W266" s="1"/>
    </row>
    <row r="267" spans="1:23">
      <c r="A267" s="1"/>
      <c r="B267" s="8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8"/>
      <c r="R267" s="8"/>
      <c r="S267" s="1"/>
      <c r="T267" s="6">
        <f t="shared" ca="1" si="8"/>
        <v>0</v>
      </c>
      <c r="U267" s="1" t="str">
        <f t="shared" si="9"/>
        <v/>
      </c>
      <c r="V267" s="1"/>
      <c r="W267" s="1"/>
    </row>
    <row r="268" spans="1:23">
      <c r="A268" s="1"/>
      <c r="B268" s="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8"/>
      <c r="R268" s="8"/>
      <c r="S268" s="1"/>
      <c r="T268" s="6">
        <f t="shared" ca="1" si="8"/>
        <v>0</v>
      </c>
      <c r="U268" s="1" t="str">
        <f t="shared" si="9"/>
        <v/>
      </c>
      <c r="V268" s="1"/>
      <c r="W268" s="1"/>
    </row>
    <row r="269" spans="1:23">
      <c r="A269" s="1"/>
      <c r="B269" s="8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8"/>
      <c r="R269" s="8"/>
      <c r="S269" s="1"/>
      <c r="T269" s="6">
        <f t="shared" ca="1" si="8"/>
        <v>0</v>
      </c>
      <c r="U269" s="1" t="str">
        <f t="shared" si="9"/>
        <v/>
      </c>
      <c r="V269" s="1"/>
      <c r="W269" s="1"/>
    </row>
    <row r="270" spans="1:23">
      <c r="A270" s="1"/>
      <c r="B270" s="8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8"/>
      <c r="R270" s="8"/>
      <c r="S270" s="1"/>
      <c r="T270" s="6">
        <f t="shared" ca="1" si="8"/>
        <v>0</v>
      </c>
      <c r="U270" s="1" t="str">
        <f t="shared" si="9"/>
        <v/>
      </c>
      <c r="V270" s="1"/>
      <c r="W270" s="1"/>
    </row>
    <row r="271" spans="1:23">
      <c r="A271" s="1"/>
      <c r="B271" s="8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8"/>
      <c r="R271" s="8"/>
      <c r="S271" s="1"/>
      <c r="T271" s="6">
        <f t="shared" ca="1" si="8"/>
        <v>0</v>
      </c>
      <c r="U271" s="1" t="str">
        <f t="shared" si="9"/>
        <v/>
      </c>
      <c r="V271" s="1"/>
      <c r="W271" s="1"/>
    </row>
    <row r="272" spans="1:23">
      <c r="A272" s="1"/>
      <c r="B272" s="8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8"/>
      <c r="R272" s="8"/>
      <c r="S272" s="1"/>
      <c r="T272" s="6">
        <f t="shared" ca="1" si="8"/>
        <v>0</v>
      </c>
      <c r="U272" s="1" t="str">
        <f t="shared" si="9"/>
        <v/>
      </c>
      <c r="V272" s="1"/>
      <c r="W272" s="1"/>
    </row>
    <row r="273" spans="1:23">
      <c r="A273" s="1"/>
      <c r="B273" s="8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8"/>
      <c r="R273" s="8"/>
      <c r="S273" s="1"/>
      <c r="T273" s="6">
        <f t="shared" ca="1" si="8"/>
        <v>0</v>
      </c>
      <c r="U273" s="1" t="str">
        <f t="shared" si="9"/>
        <v/>
      </c>
      <c r="V273" s="1"/>
      <c r="W273" s="1"/>
    </row>
    <row r="274" spans="1:23">
      <c r="A274" s="1"/>
      <c r="B274" s="8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8"/>
      <c r="R274" s="8"/>
      <c r="S274" s="1"/>
      <c r="T274" s="6">
        <f t="shared" ca="1" si="8"/>
        <v>0</v>
      </c>
      <c r="U274" s="1" t="str">
        <f t="shared" si="9"/>
        <v/>
      </c>
      <c r="V274" s="1"/>
      <c r="W274" s="1"/>
    </row>
    <row r="275" spans="1:23">
      <c r="A275" s="1"/>
      <c r="B275" s="8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8"/>
      <c r="R275" s="8"/>
      <c r="S275" s="1"/>
      <c r="T275" s="6">
        <f t="shared" ca="1" si="8"/>
        <v>0</v>
      </c>
      <c r="U275" s="1" t="str">
        <f t="shared" si="9"/>
        <v/>
      </c>
      <c r="V275" s="1"/>
      <c r="W275" s="1"/>
    </row>
    <row r="276" spans="1:23">
      <c r="A276" s="1"/>
      <c r="B276" s="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8"/>
      <c r="R276" s="8"/>
      <c r="S276" s="1"/>
      <c r="T276" s="6">
        <f t="shared" ca="1" si="8"/>
        <v>0</v>
      </c>
      <c r="U276" s="1" t="str">
        <f t="shared" si="9"/>
        <v/>
      </c>
      <c r="V276" s="1"/>
      <c r="W276" s="1"/>
    </row>
    <row r="277" spans="1:23">
      <c r="A277" s="1"/>
      <c r="B277" s="8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8"/>
      <c r="R277" s="8"/>
      <c r="S277" s="1"/>
      <c r="T277" s="6">
        <f t="shared" ca="1" si="8"/>
        <v>0</v>
      </c>
      <c r="U277" s="1" t="str">
        <f t="shared" si="9"/>
        <v/>
      </c>
      <c r="V277" s="1"/>
      <c r="W277" s="1"/>
    </row>
    <row r="278" spans="1:23">
      <c r="A278" s="1"/>
      <c r="B278" s="8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8"/>
      <c r="R278" s="8"/>
      <c r="S278" s="1"/>
      <c r="T278" s="6">
        <f t="shared" ca="1" si="8"/>
        <v>0</v>
      </c>
      <c r="U278" s="1" t="str">
        <f t="shared" si="9"/>
        <v/>
      </c>
      <c r="V278" s="1"/>
      <c r="W278" s="1"/>
    </row>
    <row r="279" spans="1:23">
      <c r="A279" s="1"/>
      <c r="B279" s="8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8"/>
      <c r="R279" s="8"/>
      <c r="S279" s="1"/>
      <c r="T279" s="6">
        <f t="shared" ca="1" si="8"/>
        <v>0</v>
      </c>
      <c r="U279" s="1" t="str">
        <f t="shared" si="9"/>
        <v/>
      </c>
      <c r="V279" s="1"/>
      <c r="W279" s="1"/>
    </row>
    <row r="280" spans="1:23">
      <c r="A280" s="1"/>
      <c r="B280" s="8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8"/>
      <c r="R280" s="8"/>
      <c r="S280" s="1"/>
      <c r="T280" s="6">
        <f t="shared" ca="1" si="8"/>
        <v>0</v>
      </c>
      <c r="U280" s="1" t="str">
        <f t="shared" si="9"/>
        <v/>
      </c>
      <c r="V280" s="1"/>
      <c r="W280" s="1"/>
    </row>
    <row r="281" spans="1:23">
      <c r="A281" s="1"/>
      <c r="B281" s="8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8"/>
      <c r="R281" s="8"/>
      <c r="S281" s="1"/>
      <c r="T281" s="6">
        <f t="shared" ca="1" si="8"/>
        <v>0</v>
      </c>
      <c r="U281" s="1" t="str">
        <f t="shared" si="9"/>
        <v/>
      </c>
      <c r="V281" s="1"/>
      <c r="W281" s="1"/>
    </row>
    <row r="282" spans="1:23">
      <c r="A282" s="1"/>
      <c r="B282" s="8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8"/>
      <c r="R282" s="8"/>
      <c r="S282" s="1"/>
      <c r="T282" s="6">
        <f t="shared" ca="1" si="8"/>
        <v>0</v>
      </c>
      <c r="U282" s="1" t="str">
        <f t="shared" si="9"/>
        <v/>
      </c>
      <c r="V282" s="1"/>
      <c r="W282" s="1"/>
    </row>
    <row r="283" spans="1:23">
      <c r="A283" s="1"/>
      <c r="B283" s="8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8"/>
      <c r="R283" s="8"/>
      <c r="S283" s="1"/>
      <c r="T283" s="6">
        <f t="shared" ca="1" si="8"/>
        <v>0</v>
      </c>
      <c r="U283" s="1" t="str">
        <f t="shared" si="9"/>
        <v/>
      </c>
      <c r="V283" s="1"/>
      <c r="W283" s="1"/>
    </row>
    <row r="284" spans="1:23">
      <c r="A284" s="1"/>
      <c r="B284" s="8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8"/>
      <c r="R284" s="8"/>
      <c r="S284" s="1"/>
      <c r="T284" s="6">
        <f t="shared" ca="1" si="8"/>
        <v>0</v>
      </c>
      <c r="U284" s="1" t="str">
        <f t="shared" si="9"/>
        <v/>
      </c>
      <c r="V284" s="1"/>
      <c r="W284" s="1"/>
    </row>
    <row r="285" spans="1:23">
      <c r="A285" s="1"/>
      <c r="B285" s="8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8"/>
      <c r="R285" s="8"/>
      <c r="S285" s="1"/>
      <c r="T285" s="6">
        <f t="shared" ca="1" si="8"/>
        <v>0</v>
      </c>
      <c r="U285" s="1" t="str">
        <f t="shared" si="9"/>
        <v/>
      </c>
      <c r="V285" s="1"/>
      <c r="W285" s="1"/>
    </row>
    <row r="286" spans="1:23">
      <c r="A286" s="1"/>
      <c r="B286" s="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8"/>
      <c r="R286" s="8"/>
      <c r="S286" s="1"/>
      <c r="T286" s="6">
        <f t="shared" ca="1" si="8"/>
        <v>0</v>
      </c>
      <c r="U286" s="1" t="str">
        <f t="shared" si="9"/>
        <v/>
      </c>
      <c r="V286" s="1"/>
      <c r="W286" s="1"/>
    </row>
    <row r="287" spans="1:23">
      <c r="A287" s="1"/>
      <c r="B287" s="8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8"/>
      <c r="R287" s="8"/>
      <c r="S287" s="1"/>
      <c r="T287" s="6">
        <f t="shared" ca="1" si="8"/>
        <v>0</v>
      </c>
      <c r="U287" s="1" t="str">
        <f t="shared" si="9"/>
        <v/>
      </c>
      <c r="V287" s="1"/>
      <c r="W287" s="1"/>
    </row>
    <row r="288" spans="1:23">
      <c r="A288" s="1"/>
      <c r="B288" s="8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8"/>
      <c r="R288" s="8"/>
      <c r="S288" s="1"/>
      <c r="T288" s="6">
        <f t="shared" ca="1" si="8"/>
        <v>0</v>
      </c>
      <c r="U288" s="1" t="str">
        <f t="shared" si="9"/>
        <v/>
      </c>
      <c r="V288" s="1"/>
      <c r="W288" s="1"/>
    </row>
    <row r="289" spans="1:23">
      <c r="A289" s="1"/>
      <c r="B289" s="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8"/>
      <c r="R289" s="8"/>
      <c r="S289" s="1"/>
      <c r="T289" s="6">
        <f t="shared" ca="1" si="8"/>
        <v>0</v>
      </c>
      <c r="U289" s="1" t="str">
        <f t="shared" si="9"/>
        <v/>
      </c>
      <c r="V289" s="1"/>
      <c r="W289" s="1"/>
    </row>
    <row r="290" spans="1:23">
      <c r="A290" s="1"/>
      <c r="B290" s="8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8"/>
      <c r="R290" s="8"/>
      <c r="S290" s="1"/>
      <c r="T290" s="6">
        <f t="shared" ca="1" si="8"/>
        <v>0</v>
      </c>
      <c r="U290" s="1" t="str">
        <f t="shared" si="9"/>
        <v/>
      </c>
      <c r="V290" s="1"/>
      <c r="W290" s="1"/>
    </row>
    <row r="291" spans="1:23">
      <c r="A291" s="1"/>
      <c r="B291" s="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8"/>
      <c r="R291" s="8"/>
      <c r="S291" s="1"/>
      <c r="T291" s="6">
        <f t="shared" ca="1" si="8"/>
        <v>0</v>
      </c>
      <c r="U291" s="1" t="str">
        <f t="shared" si="9"/>
        <v/>
      </c>
      <c r="V291" s="1"/>
      <c r="W291" s="1"/>
    </row>
    <row r="292" spans="1:23">
      <c r="A292" s="1"/>
      <c r="B292" s="8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8"/>
      <c r="R292" s="8"/>
      <c r="S292" s="1"/>
      <c r="T292" s="6">
        <f t="shared" ca="1" si="8"/>
        <v>0</v>
      </c>
      <c r="U292" s="1" t="str">
        <f t="shared" si="9"/>
        <v/>
      </c>
      <c r="V292" s="1"/>
      <c r="W292" s="1"/>
    </row>
    <row r="293" spans="1:23">
      <c r="A293" s="1"/>
      <c r="B293" s="8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8"/>
      <c r="R293" s="8"/>
      <c r="S293" s="1"/>
      <c r="T293" s="6">
        <f t="shared" ca="1" si="8"/>
        <v>0</v>
      </c>
      <c r="U293" s="1" t="str">
        <f t="shared" si="9"/>
        <v/>
      </c>
      <c r="V293" s="1"/>
      <c r="W293" s="1"/>
    </row>
    <row r="294" spans="1:23">
      <c r="A294" s="1"/>
      <c r="B294" s="8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8"/>
      <c r="R294" s="8"/>
      <c r="S294" s="1"/>
      <c r="T294" s="6">
        <f t="shared" ca="1" si="8"/>
        <v>0</v>
      </c>
      <c r="U294" s="1" t="str">
        <f t="shared" si="9"/>
        <v/>
      </c>
      <c r="V294" s="1"/>
      <c r="W294" s="1"/>
    </row>
    <row r="295" spans="1:23">
      <c r="A295" s="1"/>
      <c r="B295" s="8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8"/>
      <c r="R295" s="8"/>
      <c r="S295" s="1"/>
      <c r="T295" s="6">
        <f t="shared" ca="1" si="8"/>
        <v>0</v>
      </c>
      <c r="U295" s="1" t="str">
        <f t="shared" si="9"/>
        <v/>
      </c>
      <c r="V295" s="1"/>
      <c r="W295" s="1"/>
    </row>
    <row r="296" spans="1:23">
      <c r="A296" s="1"/>
      <c r="B296" s="8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8"/>
      <c r="R296" s="8"/>
      <c r="S296" s="1"/>
      <c r="T296" s="6">
        <f t="shared" ca="1" si="8"/>
        <v>0</v>
      </c>
      <c r="U296" s="1" t="str">
        <f t="shared" si="9"/>
        <v/>
      </c>
      <c r="V296" s="1"/>
      <c r="W296" s="1"/>
    </row>
    <row r="297" spans="1:23">
      <c r="A297" s="1"/>
      <c r="B297" s="8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8"/>
      <c r="R297" s="8"/>
      <c r="S297" s="1"/>
      <c r="T297" s="6">
        <f t="shared" ca="1" si="8"/>
        <v>0</v>
      </c>
      <c r="U297" s="1" t="str">
        <f t="shared" si="9"/>
        <v/>
      </c>
      <c r="V297" s="1"/>
      <c r="W297" s="1"/>
    </row>
  </sheetData>
  <conditionalFormatting sqref="L2:L297">
    <cfRule type="expression" dxfId="19" priority="1">
      <formula>L2="Non conforme"</formula>
    </cfRule>
    <cfRule type="expression" dxfId="18" priority="2">
      <formula>L2="Conforme"</formula>
    </cfRule>
  </conditionalFormatting>
  <conditionalFormatting sqref="M2:M297">
    <cfRule type="expression" dxfId="17" priority="3">
      <formula>M2="Critique"</formula>
    </cfRule>
  </conditionalFormatting>
  <conditionalFormatting sqref="T2:T297">
    <cfRule type="cellIs" dxfId="16" priority="4" operator="greaterThan">
      <formula>0</formula>
    </cfRule>
  </conditionalFormatting>
  <dataValidations count="9">
    <dataValidation type="list" allowBlank="1" showErrorMessage="1" errorTitle="Valeur non autorisée" error="Veuillez choisir une valeur depuis la liste dynamique REF_AGENCES." sqref="C2:C1000" xr:uid="{00000000-0002-0000-0C00-000000000000}">
      <formula1>REF_AGENCES</formula1>
    </dataValidation>
    <dataValidation type="list" allowBlank="1" showErrorMessage="1" errorTitle="Valeur non autorisée" error="Veuillez choisir une valeur depuis la liste dynamique REF_CYCLES." sqref="D2:D1000" xr:uid="{00000000-0002-0000-0C00-000001000000}">
      <formula1>REF_CYCLES</formula1>
    </dataValidation>
    <dataValidation type="list" allowBlank="1" showErrorMessage="1" errorTitle="Valeur non autorisée" error="Veuillez choisir une valeur depuis la liste dynamique REF_FREQUENCES." sqref="H2:H1000" xr:uid="{00000000-0002-0000-0C00-000002000000}">
      <formula1>REF_FREQUENCES</formula1>
    </dataValidation>
    <dataValidation type="list" allowBlank="1" showErrorMessage="1" errorTitle="Valeur non autorisée" error="Veuillez choisir une valeur depuis la liste dynamique REF_RESPONSABLES." sqref="I2:I1000 P2:P1000" xr:uid="{00000000-0002-0000-0C00-000003000000}">
      <formula1>REF_RESPONSABLES</formula1>
    </dataValidation>
    <dataValidation type="list" allowBlank="1" showErrorMessage="1" errorTitle="Valeur non autorisée" error="Veuillez choisir une valeur depuis la liste dynamique REF_NIVEAUX_RISQUE." sqref="J2:J1000" xr:uid="{00000000-0002-0000-0C00-000004000000}">
      <formula1>REF_NIVEAUX_RISQUE</formula1>
    </dataValidation>
    <dataValidation type="list" allowBlank="1" showErrorMessage="1" errorTitle="Valeur non autorisée" error="Veuillez choisir une valeur depuis la liste dynamique REF_RESULTATS_CONTROLE." sqref="L2:L1000" xr:uid="{00000000-0002-0000-0C00-000005000000}">
      <formula1>REF_RESULTATS_CONTROLE</formula1>
    </dataValidation>
    <dataValidation type="list" allowBlank="1" showErrorMessage="1" errorTitle="Valeur non autorisée" error="Veuillez choisir une valeur depuis la liste dynamique REF_GRAVITES_ANOMALIE." sqref="M2:M1000" xr:uid="{00000000-0002-0000-0C00-000006000000}">
      <formula1>REF_GRAVITES_ANOMALIE</formula1>
    </dataValidation>
    <dataValidation type="list" allowBlank="1" showErrorMessage="1" errorTitle="Valeur non autorisée" error="Veuillez choisir une valeur depuis la liste dynamique REF_STATUTS_ACTION." sqref="S2:S1000" xr:uid="{00000000-0002-0000-0C00-000008000000}">
      <formula1>REF_STATUTS_ACTION</formula1>
    </dataValidation>
    <dataValidation type="list" allowBlank="1" showErrorMessage="1" errorTitle="Valeur non autorisée" error="Veuillez choisir une valeur depuis la liste dynamique REF_PRIORITES." sqref="U2:U1000" xr:uid="{00000000-0002-0000-0C00-000009000000}">
      <formula1>REF_PRIORITES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297"/>
  <sheetViews>
    <sheetView workbookViewId="0"/>
  </sheetViews>
  <sheetFormatPr baseColWidth="10" defaultColWidth="9" defaultRowHeight="14.25"/>
  <cols>
    <col min="1" max="2" width="14" customWidth="1"/>
    <col min="3" max="3" width="18" customWidth="1"/>
    <col min="4" max="4" width="28" customWidth="1"/>
    <col min="5" max="5" width="26" customWidth="1"/>
    <col min="6" max="6" width="42" customWidth="1"/>
    <col min="7" max="7" width="48" customWidth="1"/>
    <col min="8" max="8" width="16" customWidth="1"/>
    <col min="9" max="9" width="24" customWidth="1"/>
    <col min="10" max="10" width="14" customWidth="1"/>
    <col min="11" max="11" width="34" customWidth="1"/>
    <col min="12" max="12" width="18" customWidth="1"/>
    <col min="13" max="13" width="16" customWidth="1"/>
    <col min="14" max="14" width="42" customWidth="1"/>
    <col min="15" max="15" width="48" customWidth="1"/>
    <col min="16" max="16" width="22" customWidth="1"/>
    <col min="17" max="18" width="14" customWidth="1"/>
    <col min="19" max="19" width="16" customWidth="1"/>
    <col min="20" max="20" width="12" customWidth="1"/>
    <col min="21" max="21" width="10" customWidth="1"/>
    <col min="22" max="22" width="20" customWidth="1"/>
    <col min="23" max="23" width="36" customWidth="1"/>
  </cols>
  <sheetData>
    <row r="1" spans="1:23" ht="32.1" customHeight="1">
      <c r="A1" s="2" t="s">
        <v>39</v>
      </c>
      <c r="B1" s="2" t="s">
        <v>166</v>
      </c>
      <c r="C1" s="2" t="s">
        <v>167</v>
      </c>
      <c r="D1" s="2" t="s">
        <v>18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47</v>
      </c>
      <c r="N1" s="2" t="s">
        <v>176</v>
      </c>
      <c r="O1" s="2" t="s">
        <v>177</v>
      </c>
      <c r="P1" s="2" t="s">
        <v>178</v>
      </c>
      <c r="Q1" s="2" t="s">
        <v>179</v>
      </c>
      <c r="R1" s="2" t="s">
        <v>180</v>
      </c>
      <c r="S1" s="2" t="s">
        <v>181</v>
      </c>
      <c r="T1" s="2" t="s">
        <v>182</v>
      </c>
      <c r="U1" s="2" t="s">
        <v>183</v>
      </c>
      <c r="V1" s="2" t="s">
        <v>184</v>
      </c>
      <c r="W1" s="2" t="s">
        <v>185</v>
      </c>
    </row>
    <row r="2" spans="1:23" ht="28.5">
      <c r="A2" s="1" t="s">
        <v>431</v>
      </c>
      <c r="B2" s="8"/>
      <c r="C2" s="1"/>
      <c r="D2" s="1" t="s">
        <v>114</v>
      </c>
      <c r="E2" s="1" t="s">
        <v>432</v>
      </c>
      <c r="F2" s="1" t="s">
        <v>433</v>
      </c>
      <c r="G2" s="1" t="s">
        <v>434</v>
      </c>
      <c r="H2" s="1" t="s">
        <v>96</v>
      </c>
      <c r="I2" s="1" t="s">
        <v>214</v>
      </c>
      <c r="J2" s="1" t="s">
        <v>72</v>
      </c>
      <c r="K2" s="1" t="s">
        <v>435</v>
      </c>
      <c r="L2" s="1"/>
      <c r="M2" s="1" t="s">
        <v>61</v>
      </c>
      <c r="N2" s="1"/>
      <c r="O2" s="1"/>
      <c r="P2" s="1"/>
      <c r="Q2" s="8"/>
      <c r="R2" s="8"/>
      <c r="S2" s="1" t="s">
        <v>62</v>
      </c>
      <c r="T2" s="6">
        <f t="shared" ref="T2:T65" ca="1" si="0">IF(AND(S2&lt;&gt;"Clôturée",Q2&lt;&gt;"",TODAY()&gt;Q2),TODAY()-Q2,0)</f>
        <v>0</v>
      </c>
      <c r="U2" s="1" t="str">
        <f t="shared" ref="U2:U65" si="1">IF(M2="Critique","P1",IF(M2="Majeure","P2",IF(M2="Mineure","P3","")))</f>
        <v/>
      </c>
      <c r="V2" s="1" t="s">
        <v>436</v>
      </c>
      <c r="W2" s="1"/>
    </row>
    <row r="3" spans="1:23" ht="28.5">
      <c r="A3" s="1" t="s">
        <v>437</v>
      </c>
      <c r="B3" s="8"/>
      <c r="C3" s="1"/>
      <c r="D3" s="1" t="s">
        <v>114</v>
      </c>
      <c r="E3" s="1" t="s">
        <v>438</v>
      </c>
      <c r="F3" s="1" t="s">
        <v>439</v>
      </c>
      <c r="G3" s="1" t="s">
        <v>440</v>
      </c>
      <c r="H3" s="1" t="s">
        <v>96</v>
      </c>
      <c r="I3" s="1" t="s">
        <v>214</v>
      </c>
      <c r="J3" s="1" t="s">
        <v>72</v>
      </c>
      <c r="K3" s="1" t="s">
        <v>441</v>
      </c>
      <c r="L3" s="1"/>
      <c r="M3" s="1" t="s">
        <v>61</v>
      </c>
      <c r="N3" s="1"/>
      <c r="O3" s="1"/>
      <c r="P3" s="1"/>
      <c r="Q3" s="8"/>
      <c r="R3" s="8"/>
      <c r="S3" s="1" t="s">
        <v>62</v>
      </c>
      <c r="T3" s="6">
        <f t="shared" ca="1" si="0"/>
        <v>0</v>
      </c>
      <c r="U3" s="1" t="str">
        <f t="shared" si="1"/>
        <v/>
      </c>
      <c r="V3" s="1" t="s">
        <v>436</v>
      </c>
      <c r="W3" s="1"/>
    </row>
    <row r="4" spans="1:23" ht="28.5">
      <c r="A4" s="1" t="s">
        <v>442</v>
      </c>
      <c r="B4" s="8"/>
      <c r="C4" s="1"/>
      <c r="D4" s="1" t="s">
        <v>114</v>
      </c>
      <c r="E4" s="1" t="s">
        <v>443</v>
      </c>
      <c r="F4" s="1" t="s">
        <v>444</v>
      </c>
      <c r="G4" s="1" t="s">
        <v>445</v>
      </c>
      <c r="H4" s="1" t="s">
        <v>96</v>
      </c>
      <c r="I4" s="1" t="s">
        <v>214</v>
      </c>
      <c r="J4" s="1" t="s">
        <v>72</v>
      </c>
      <c r="K4" s="1" t="s">
        <v>446</v>
      </c>
      <c r="L4" s="1"/>
      <c r="M4" s="1" t="s">
        <v>61</v>
      </c>
      <c r="N4" s="1"/>
      <c r="O4" s="1"/>
      <c r="P4" s="1"/>
      <c r="Q4" s="8"/>
      <c r="R4" s="8"/>
      <c r="S4" s="1" t="s">
        <v>62</v>
      </c>
      <c r="T4" s="6">
        <f t="shared" ca="1" si="0"/>
        <v>0</v>
      </c>
      <c r="U4" s="1" t="str">
        <f t="shared" si="1"/>
        <v/>
      </c>
      <c r="V4" s="1" t="s">
        <v>436</v>
      </c>
      <c r="W4" s="1"/>
    </row>
    <row r="5" spans="1:23" ht="28.5">
      <c r="A5" s="1" t="s">
        <v>447</v>
      </c>
      <c r="B5" s="8"/>
      <c r="C5" s="1"/>
      <c r="D5" s="1" t="s">
        <v>114</v>
      </c>
      <c r="E5" s="1" t="s">
        <v>448</v>
      </c>
      <c r="F5" s="1" t="s">
        <v>449</v>
      </c>
      <c r="G5" s="1" t="s">
        <v>450</v>
      </c>
      <c r="H5" s="1" t="s">
        <v>96</v>
      </c>
      <c r="I5" s="1" t="s">
        <v>214</v>
      </c>
      <c r="J5" s="1" t="s">
        <v>72</v>
      </c>
      <c r="K5" s="1" t="s">
        <v>451</v>
      </c>
      <c r="L5" s="1"/>
      <c r="M5" s="1" t="s">
        <v>61</v>
      </c>
      <c r="N5" s="1"/>
      <c r="O5" s="1"/>
      <c r="P5" s="1"/>
      <c r="Q5" s="8"/>
      <c r="R5" s="8"/>
      <c r="S5" s="1" t="s">
        <v>62</v>
      </c>
      <c r="T5" s="6">
        <f t="shared" ca="1" si="0"/>
        <v>0</v>
      </c>
      <c r="U5" s="1" t="str">
        <f t="shared" si="1"/>
        <v/>
      </c>
      <c r="V5" s="1" t="s">
        <v>436</v>
      </c>
      <c r="W5" s="1"/>
    </row>
    <row r="6" spans="1:23" ht="28.5">
      <c r="A6" s="1" t="s">
        <v>452</v>
      </c>
      <c r="B6" s="8"/>
      <c r="C6" s="1"/>
      <c r="D6" s="1" t="s">
        <v>114</v>
      </c>
      <c r="E6" s="1" t="s">
        <v>453</v>
      </c>
      <c r="F6" s="1" t="s">
        <v>454</v>
      </c>
      <c r="G6" s="1" t="s">
        <v>455</v>
      </c>
      <c r="H6" s="1" t="s">
        <v>96</v>
      </c>
      <c r="I6" s="1" t="s">
        <v>214</v>
      </c>
      <c r="J6" s="1" t="s">
        <v>72</v>
      </c>
      <c r="K6" s="1" t="s">
        <v>456</v>
      </c>
      <c r="L6" s="1"/>
      <c r="M6" s="1" t="s">
        <v>61</v>
      </c>
      <c r="N6" s="1"/>
      <c r="O6" s="1"/>
      <c r="P6" s="1"/>
      <c r="Q6" s="8"/>
      <c r="R6" s="8"/>
      <c r="S6" s="1" t="s">
        <v>62</v>
      </c>
      <c r="T6" s="6">
        <f t="shared" ca="1" si="0"/>
        <v>0</v>
      </c>
      <c r="U6" s="1" t="str">
        <f t="shared" si="1"/>
        <v/>
      </c>
      <c r="V6" s="1" t="s">
        <v>436</v>
      </c>
      <c r="W6" s="1"/>
    </row>
    <row r="7" spans="1:23" ht="28.5">
      <c r="A7" s="1" t="s">
        <v>457</v>
      </c>
      <c r="B7" s="8"/>
      <c r="C7" s="1"/>
      <c r="D7" s="1" t="s">
        <v>114</v>
      </c>
      <c r="E7" s="1" t="s">
        <v>458</v>
      </c>
      <c r="F7" s="1" t="s">
        <v>459</v>
      </c>
      <c r="G7" s="1" t="s">
        <v>460</v>
      </c>
      <c r="H7" s="1" t="s">
        <v>96</v>
      </c>
      <c r="I7" s="1" t="s">
        <v>214</v>
      </c>
      <c r="J7" s="1" t="s">
        <v>72</v>
      </c>
      <c r="K7" s="1" t="s">
        <v>461</v>
      </c>
      <c r="L7" s="1"/>
      <c r="M7" s="1" t="s">
        <v>61</v>
      </c>
      <c r="N7" s="1"/>
      <c r="O7" s="1"/>
      <c r="P7" s="1"/>
      <c r="Q7" s="8"/>
      <c r="R7" s="8"/>
      <c r="S7" s="1" t="s">
        <v>62</v>
      </c>
      <c r="T7" s="6">
        <f t="shared" ca="1" si="0"/>
        <v>0</v>
      </c>
      <c r="U7" s="1" t="str">
        <f t="shared" si="1"/>
        <v/>
      </c>
      <c r="V7" s="1" t="s">
        <v>436</v>
      </c>
      <c r="W7" s="1"/>
    </row>
    <row r="8" spans="1:23" ht="28.5">
      <c r="A8" s="1" t="s">
        <v>462</v>
      </c>
      <c r="B8" s="8"/>
      <c r="C8" s="1"/>
      <c r="D8" s="1" t="s">
        <v>114</v>
      </c>
      <c r="E8" s="1" t="s">
        <v>463</v>
      </c>
      <c r="F8" s="1" t="s">
        <v>464</v>
      </c>
      <c r="G8" s="1" t="s">
        <v>465</v>
      </c>
      <c r="H8" s="1" t="s">
        <v>96</v>
      </c>
      <c r="I8" s="1" t="s">
        <v>214</v>
      </c>
      <c r="J8" s="1" t="s">
        <v>72</v>
      </c>
      <c r="K8" s="1" t="s">
        <v>466</v>
      </c>
      <c r="L8" s="1"/>
      <c r="M8" s="1" t="s">
        <v>61</v>
      </c>
      <c r="N8" s="1"/>
      <c r="O8" s="1"/>
      <c r="P8" s="1"/>
      <c r="Q8" s="8"/>
      <c r="R8" s="8"/>
      <c r="S8" s="1" t="s">
        <v>62</v>
      </c>
      <c r="T8" s="6">
        <f t="shared" ca="1" si="0"/>
        <v>0</v>
      </c>
      <c r="U8" s="1" t="str">
        <f t="shared" si="1"/>
        <v/>
      </c>
      <c r="V8" s="1" t="s">
        <v>436</v>
      </c>
      <c r="W8" s="1"/>
    </row>
    <row r="9" spans="1:23">
      <c r="A9" s="1"/>
      <c r="B9" s="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8"/>
      <c r="R9" s="8"/>
      <c r="S9" s="1"/>
      <c r="T9" s="6">
        <f t="shared" ca="1" si="0"/>
        <v>0</v>
      </c>
      <c r="U9" s="1" t="str">
        <f t="shared" si="1"/>
        <v/>
      </c>
      <c r="V9" s="1"/>
      <c r="W9" s="1"/>
    </row>
    <row r="10" spans="1:23">
      <c r="A10" s="1"/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8"/>
      <c r="R10" s="8"/>
      <c r="S10" s="1"/>
      <c r="T10" s="6">
        <f t="shared" ca="1" si="0"/>
        <v>0</v>
      </c>
      <c r="U10" s="1" t="str">
        <f t="shared" si="1"/>
        <v/>
      </c>
      <c r="V10" s="1"/>
      <c r="W10" s="1"/>
    </row>
    <row r="11" spans="1:23">
      <c r="A11" s="1"/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8"/>
      <c r="R11" s="8"/>
      <c r="S11" s="1"/>
      <c r="T11" s="6">
        <f t="shared" ca="1" si="0"/>
        <v>0</v>
      </c>
      <c r="U11" s="1" t="str">
        <f t="shared" si="1"/>
        <v/>
      </c>
      <c r="V11" s="1"/>
      <c r="W11" s="1"/>
    </row>
    <row r="12" spans="1:23">
      <c r="A12" s="1"/>
      <c r="B12" s="8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8"/>
      <c r="R12" s="8"/>
      <c r="S12" s="1"/>
      <c r="T12" s="6">
        <f t="shared" ca="1" si="0"/>
        <v>0</v>
      </c>
      <c r="U12" s="1" t="str">
        <f t="shared" si="1"/>
        <v/>
      </c>
      <c r="V12" s="1"/>
      <c r="W12" s="1"/>
    </row>
    <row r="13" spans="1:23">
      <c r="A13" s="1"/>
      <c r="B13" s="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8"/>
      <c r="R13" s="8"/>
      <c r="S13" s="1"/>
      <c r="T13" s="6">
        <f t="shared" ca="1" si="0"/>
        <v>0</v>
      </c>
      <c r="U13" s="1" t="str">
        <f t="shared" si="1"/>
        <v/>
      </c>
      <c r="V13" s="1"/>
      <c r="W13" s="1"/>
    </row>
    <row r="14" spans="1:23">
      <c r="A14" s="1"/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8"/>
      <c r="R14" s="8"/>
      <c r="S14" s="1"/>
      <c r="T14" s="6">
        <f t="shared" ca="1" si="0"/>
        <v>0</v>
      </c>
      <c r="U14" s="1" t="str">
        <f t="shared" si="1"/>
        <v/>
      </c>
      <c r="V14" s="1"/>
      <c r="W14" s="1"/>
    </row>
    <row r="15" spans="1:23">
      <c r="A15" s="1"/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8"/>
      <c r="R15" s="8"/>
      <c r="S15" s="1"/>
      <c r="T15" s="6">
        <f t="shared" ca="1" si="0"/>
        <v>0</v>
      </c>
      <c r="U15" s="1" t="str">
        <f t="shared" si="1"/>
        <v/>
      </c>
      <c r="V15" s="1"/>
      <c r="W15" s="1"/>
    </row>
    <row r="16" spans="1:23">
      <c r="A16" s="1"/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8"/>
      <c r="R16" s="8"/>
      <c r="S16" s="1"/>
      <c r="T16" s="6">
        <f t="shared" ca="1" si="0"/>
        <v>0</v>
      </c>
      <c r="U16" s="1" t="str">
        <f t="shared" si="1"/>
        <v/>
      </c>
      <c r="V16" s="1"/>
      <c r="W16" s="1"/>
    </row>
    <row r="17" spans="1:23">
      <c r="A17" s="1"/>
      <c r="B17" s="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8"/>
      <c r="R17" s="8"/>
      <c r="S17" s="1"/>
      <c r="T17" s="6">
        <f t="shared" ca="1" si="0"/>
        <v>0</v>
      </c>
      <c r="U17" s="1" t="str">
        <f t="shared" si="1"/>
        <v/>
      </c>
      <c r="V17" s="1"/>
      <c r="W17" s="1"/>
    </row>
    <row r="18" spans="1:23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8"/>
      <c r="R18" s="8"/>
      <c r="S18" s="1"/>
      <c r="T18" s="6">
        <f t="shared" ca="1" si="0"/>
        <v>0</v>
      </c>
      <c r="U18" s="1" t="str">
        <f t="shared" si="1"/>
        <v/>
      </c>
      <c r="V18" s="1"/>
      <c r="W18" s="1"/>
    </row>
    <row r="19" spans="1:23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8"/>
      <c r="R19" s="8"/>
      <c r="S19" s="1"/>
      <c r="T19" s="6">
        <f t="shared" ca="1" si="0"/>
        <v>0</v>
      </c>
      <c r="U19" s="1" t="str">
        <f t="shared" si="1"/>
        <v/>
      </c>
      <c r="V19" s="1"/>
      <c r="W19" s="1"/>
    </row>
    <row r="20" spans="1:23">
      <c r="A20" s="1"/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8"/>
      <c r="R20" s="8"/>
      <c r="S20" s="1"/>
      <c r="T20" s="6">
        <f t="shared" ca="1" si="0"/>
        <v>0</v>
      </c>
      <c r="U20" s="1" t="str">
        <f t="shared" si="1"/>
        <v/>
      </c>
      <c r="V20" s="1"/>
      <c r="W20" s="1"/>
    </row>
    <row r="21" spans="1:23">
      <c r="A21" s="1"/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8"/>
      <c r="R21" s="8"/>
      <c r="S21" s="1"/>
      <c r="T21" s="6">
        <f t="shared" ca="1" si="0"/>
        <v>0</v>
      </c>
      <c r="U21" s="1" t="str">
        <f t="shared" si="1"/>
        <v/>
      </c>
      <c r="V21" s="1"/>
      <c r="W21" s="1"/>
    </row>
    <row r="22" spans="1:23">
      <c r="A22" s="1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8"/>
      <c r="R22" s="8"/>
      <c r="S22" s="1"/>
      <c r="T22" s="6">
        <f t="shared" ca="1" si="0"/>
        <v>0</v>
      </c>
      <c r="U22" s="1" t="str">
        <f t="shared" si="1"/>
        <v/>
      </c>
      <c r="V22" s="1"/>
      <c r="W22" s="1"/>
    </row>
    <row r="23" spans="1:23">
      <c r="A23" s="1"/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8"/>
      <c r="R23" s="8"/>
      <c r="S23" s="1"/>
      <c r="T23" s="6">
        <f t="shared" ca="1" si="0"/>
        <v>0</v>
      </c>
      <c r="U23" s="1" t="str">
        <f t="shared" si="1"/>
        <v/>
      </c>
      <c r="V23" s="1"/>
      <c r="W23" s="1"/>
    </row>
    <row r="24" spans="1:23">
      <c r="A24" s="1"/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8"/>
      <c r="R24" s="8"/>
      <c r="S24" s="1"/>
      <c r="T24" s="6">
        <f t="shared" ca="1" si="0"/>
        <v>0</v>
      </c>
      <c r="U24" s="1" t="str">
        <f t="shared" si="1"/>
        <v/>
      </c>
      <c r="V24" s="1"/>
      <c r="W24" s="1"/>
    </row>
    <row r="25" spans="1:23">
      <c r="A25" s="1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8"/>
      <c r="R25" s="8"/>
      <c r="S25" s="1"/>
      <c r="T25" s="6">
        <f t="shared" ca="1" si="0"/>
        <v>0</v>
      </c>
      <c r="U25" s="1" t="str">
        <f t="shared" si="1"/>
        <v/>
      </c>
      <c r="V25" s="1"/>
      <c r="W25" s="1"/>
    </row>
    <row r="26" spans="1:23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8"/>
      <c r="R26" s="8"/>
      <c r="S26" s="1"/>
      <c r="T26" s="6">
        <f t="shared" ca="1" si="0"/>
        <v>0</v>
      </c>
      <c r="U26" s="1" t="str">
        <f t="shared" si="1"/>
        <v/>
      </c>
      <c r="V26" s="1"/>
      <c r="W26" s="1"/>
    </row>
    <row r="27" spans="1:23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8"/>
      <c r="R27" s="8"/>
      <c r="S27" s="1"/>
      <c r="T27" s="6">
        <f t="shared" ca="1" si="0"/>
        <v>0</v>
      </c>
      <c r="U27" s="1" t="str">
        <f t="shared" si="1"/>
        <v/>
      </c>
      <c r="V27" s="1"/>
      <c r="W27" s="1"/>
    </row>
    <row r="28" spans="1:23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8"/>
      <c r="R28" s="8"/>
      <c r="S28" s="1"/>
      <c r="T28" s="6">
        <f t="shared" ca="1" si="0"/>
        <v>0</v>
      </c>
      <c r="U28" s="1" t="str">
        <f t="shared" si="1"/>
        <v/>
      </c>
      <c r="V28" s="1"/>
      <c r="W28" s="1"/>
    </row>
    <row r="29" spans="1:23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8"/>
      <c r="R29" s="8"/>
      <c r="S29" s="1"/>
      <c r="T29" s="6">
        <f t="shared" ca="1" si="0"/>
        <v>0</v>
      </c>
      <c r="U29" s="1" t="str">
        <f t="shared" si="1"/>
        <v/>
      </c>
      <c r="V29" s="1"/>
      <c r="W29" s="1"/>
    </row>
    <row r="30" spans="1:23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8"/>
      <c r="R30" s="8"/>
      <c r="S30" s="1"/>
      <c r="T30" s="6">
        <f t="shared" ca="1" si="0"/>
        <v>0</v>
      </c>
      <c r="U30" s="1" t="str">
        <f t="shared" si="1"/>
        <v/>
      </c>
      <c r="V30" s="1"/>
      <c r="W30" s="1"/>
    </row>
    <row r="31" spans="1:23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8"/>
      <c r="R31" s="8"/>
      <c r="S31" s="1"/>
      <c r="T31" s="6">
        <f t="shared" ca="1" si="0"/>
        <v>0</v>
      </c>
      <c r="U31" s="1" t="str">
        <f t="shared" si="1"/>
        <v/>
      </c>
      <c r="V31" s="1"/>
      <c r="W31" s="1"/>
    </row>
    <row r="32" spans="1:23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8"/>
      <c r="R32" s="8"/>
      <c r="S32" s="1"/>
      <c r="T32" s="6">
        <f t="shared" ca="1" si="0"/>
        <v>0</v>
      </c>
      <c r="U32" s="1" t="str">
        <f t="shared" si="1"/>
        <v/>
      </c>
      <c r="V32" s="1"/>
      <c r="W32" s="1"/>
    </row>
    <row r="33" spans="1:23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8"/>
      <c r="R33" s="8"/>
      <c r="S33" s="1"/>
      <c r="T33" s="6">
        <f t="shared" ca="1" si="0"/>
        <v>0</v>
      </c>
      <c r="U33" s="1" t="str">
        <f t="shared" si="1"/>
        <v/>
      </c>
      <c r="V33" s="1"/>
      <c r="W33" s="1"/>
    </row>
    <row r="34" spans="1:23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8"/>
      <c r="R34" s="8"/>
      <c r="S34" s="1"/>
      <c r="T34" s="6">
        <f t="shared" ca="1" si="0"/>
        <v>0</v>
      </c>
      <c r="U34" s="1" t="str">
        <f t="shared" si="1"/>
        <v/>
      </c>
      <c r="V34" s="1"/>
      <c r="W34" s="1"/>
    </row>
    <row r="35" spans="1:23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8"/>
      <c r="R35" s="8"/>
      <c r="S35" s="1"/>
      <c r="T35" s="6">
        <f t="shared" ca="1" si="0"/>
        <v>0</v>
      </c>
      <c r="U35" s="1" t="str">
        <f t="shared" si="1"/>
        <v/>
      </c>
      <c r="V35" s="1"/>
      <c r="W35" s="1"/>
    </row>
    <row r="36" spans="1:23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8"/>
      <c r="R36" s="8"/>
      <c r="S36" s="1"/>
      <c r="T36" s="6">
        <f t="shared" ca="1" si="0"/>
        <v>0</v>
      </c>
      <c r="U36" s="1" t="str">
        <f t="shared" si="1"/>
        <v/>
      </c>
      <c r="V36" s="1"/>
      <c r="W36" s="1"/>
    </row>
    <row r="37" spans="1:23">
      <c r="A37" s="1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8"/>
      <c r="R37" s="8"/>
      <c r="S37" s="1"/>
      <c r="T37" s="6">
        <f t="shared" ca="1" si="0"/>
        <v>0</v>
      </c>
      <c r="U37" s="1" t="str">
        <f t="shared" si="1"/>
        <v/>
      </c>
      <c r="V37" s="1"/>
      <c r="W37" s="1"/>
    </row>
    <row r="38" spans="1:23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8"/>
      <c r="R38" s="8"/>
      <c r="S38" s="1"/>
      <c r="T38" s="6">
        <f t="shared" ca="1" si="0"/>
        <v>0</v>
      </c>
      <c r="U38" s="1" t="str">
        <f t="shared" si="1"/>
        <v/>
      </c>
      <c r="V38" s="1"/>
      <c r="W38" s="1"/>
    </row>
    <row r="39" spans="1:23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8"/>
      <c r="R39" s="8"/>
      <c r="S39" s="1"/>
      <c r="T39" s="6">
        <f t="shared" ca="1" si="0"/>
        <v>0</v>
      </c>
      <c r="U39" s="1" t="str">
        <f t="shared" si="1"/>
        <v/>
      </c>
      <c r="V39" s="1"/>
      <c r="W39" s="1"/>
    </row>
    <row r="40" spans="1:23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1"/>
      <c r="T40" s="6">
        <f t="shared" ca="1" si="0"/>
        <v>0</v>
      </c>
      <c r="U40" s="1" t="str">
        <f t="shared" si="1"/>
        <v/>
      </c>
      <c r="V40" s="1"/>
      <c r="W40" s="1"/>
    </row>
    <row r="41" spans="1:23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1"/>
      <c r="T41" s="6">
        <f t="shared" ca="1" si="0"/>
        <v>0</v>
      </c>
      <c r="U41" s="1" t="str">
        <f t="shared" si="1"/>
        <v/>
      </c>
      <c r="V41" s="1"/>
      <c r="W41" s="1"/>
    </row>
    <row r="42" spans="1:23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1"/>
      <c r="T42" s="6">
        <f t="shared" ca="1" si="0"/>
        <v>0</v>
      </c>
      <c r="U42" s="1" t="str">
        <f t="shared" si="1"/>
        <v/>
      </c>
      <c r="V42" s="1"/>
      <c r="W42" s="1"/>
    </row>
    <row r="43" spans="1:23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1"/>
      <c r="T43" s="6">
        <f t="shared" ca="1" si="0"/>
        <v>0</v>
      </c>
      <c r="U43" s="1" t="str">
        <f t="shared" si="1"/>
        <v/>
      </c>
      <c r="V43" s="1"/>
      <c r="W43" s="1"/>
    </row>
    <row r="44" spans="1:23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1"/>
      <c r="T44" s="6">
        <f t="shared" ca="1" si="0"/>
        <v>0</v>
      </c>
      <c r="U44" s="1" t="str">
        <f t="shared" si="1"/>
        <v/>
      </c>
      <c r="V44" s="1"/>
      <c r="W44" s="1"/>
    </row>
    <row r="45" spans="1:23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1"/>
      <c r="T45" s="6">
        <f t="shared" ca="1" si="0"/>
        <v>0</v>
      </c>
      <c r="U45" s="1" t="str">
        <f t="shared" si="1"/>
        <v/>
      </c>
      <c r="V45" s="1"/>
      <c r="W45" s="1"/>
    </row>
    <row r="46" spans="1:23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8"/>
      <c r="R46" s="8"/>
      <c r="S46" s="1"/>
      <c r="T46" s="6">
        <f t="shared" ca="1" si="0"/>
        <v>0</v>
      </c>
      <c r="U46" s="1" t="str">
        <f t="shared" si="1"/>
        <v/>
      </c>
      <c r="V46" s="1"/>
      <c r="W46" s="1"/>
    </row>
    <row r="47" spans="1:23">
      <c r="A47" s="1"/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8"/>
      <c r="R47" s="8"/>
      <c r="S47" s="1"/>
      <c r="T47" s="6">
        <f t="shared" ca="1" si="0"/>
        <v>0</v>
      </c>
      <c r="U47" s="1" t="str">
        <f t="shared" si="1"/>
        <v/>
      </c>
      <c r="V47" s="1"/>
      <c r="W47" s="1"/>
    </row>
    <row r="48" spans="1:23">
      <c r="A48" s="1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8"/>
      <c r="R48" s="8"/>
      <c r="S48" s="1"/>
      <c r="T48" s="6">
        <f t="shared" ca="1" si="0"/>
        <v>0</v>
      </c>
      <c r="U48" s="1" t="str">
        <f t="shared" si="1"/>
        <v/>
      </c>
      <c r="V48" s="1"/>
      <c r="W48" s="1"/>
    </row>
    <row r="49" spans="1:23">
      <c r="A49" s="1"/>
      <c r="B49" s="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8"/>
      <c r="R49" s="8"/>
      <c r="S49" s="1"/>
      <c r="T49" s="6">
        <f t="shared" ca="1" si="0"/>
        <v>0</v>
      </c>
      <c r="U49" s="1" t="str">
        <f t="shared" si="1"/>
        <v/>
      </c>
      <c r="V49" s="1"/>
      <c r="W49" s="1"/>
    </row>
    <row r="50" spans="1:23">
      <c r="A50" s="1"/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8"/>
      <c r="R50" s="8"/>
      <c r="S50" s="1"/>
      <c r="T50" s="6">
        <f t="shared" ca="1" si="0"/>
        <v>0</v>
      </c>
      <c r="U50" s="1" t="str">
        <f t="shared" si="1"/>
        <v/>
      </c>
      <c r="V50" s="1"/>
      <c r="W50" s="1"/>
    </row>
    <row r="51" spans="1:23">
      <c r="A51" s="1"/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8"/>
      <c r="R51" s="8"/>
      <c r="S51" s="1"/>
      <c r="T51" s="6">
        <f t="shared" ca="1" si="0"/>
        <v>0</v>
      </c>
      <c r="U51" s="1" t="str">
        <f t="shared" si="1"/>
        <v/>
      </c>
      <c r="V51" s="1"/>
      <c r="W51" s="1"/>
    </row>
    <row r="52" spans="1:23">
      <c r="A52" s="1"/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8"/>
      <c r="R52" s="8"/>
      <c r="S52" s="1"/>
      <c r="T52" s="6">
        <f t="shared" ca="1" si="0"/>
        <v>0</v>
      </c>
      <c r="U52" s="1" t="str">
        <f t="shared" si="1"/>
        <v/>
      </c>
      <c r="V52" s="1"/>
      <c r="W52" s="1"/>
    </row>
    <row r="53" spans="1:23">
      <c r="A53" s="1"/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8"/>
      <c r="R53" s="8"/>
      <c r="S53" s="1"/>
      <c r="T53" s="6">
        <f t="shared" ca="1" si="0"/>
        <v>0</v>
      </c>
      <c r="U53" s="1" t="str">
        <f t="shared" si="1"/>
        <v/>
      </c>
      <c r="V53" s="1"/>
      <c r="W53" s="1"/>
    </row>
    <row r="54" spans="1:23">
      <c r="A54" s="1"/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8"/>
      <c r="R54" s="8"/>
      <c r="S54" s="1"/>
      <c r="T54" s="6">
        <f t="shared" ca="1" si="0"/>
        <v>0</v>
      </c>
      <c r="U54" s="1" t="str">
        <f t="shared" si="1"/>
        <v/>
      </c>
      <c r="V54" s="1"/>
      <c r="W54" s="1"/>
    </row>
    <row r="55" spans="1:23">
      <c r="A55" s="1"/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8"/>
      <c r="R55" s="8"/>
      <c r="S55" s="1"/>
      <c r="T55" s="6">
        <f t="shared" ca="1" si="0"/>
        <v>0</v>
      </c>
      <c r="U55" s="1" t="str">
        <f t="shared" si="1"/>
        <v/>
      </c>
      <c r="V55" s="1"/>
      <c r="W55" s="1"/>
    </row>
    <row r="56" spans="1:23">
      <c r="A56" s="1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8"/>
      <c r="R56" s="8"/>
      <c r="S56" s="1"/>
      <c r="T56" s="6">
        <f t="shared" ca="1" si="0"/>
        <v>0</v>
      </c>
      <c r="U56" s="1" t="str">
        <f t="shared" si="1"/>
        <v/>
      </c>
      <c r="V56" s="1"/>
      <c r="W56" s="1"/>
    </row>
    <row r="57" spans="1:23">
      <c r="A57" s="1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8"/>
      <c r="R57" s="8"/>
      <c r="S57" s="1"/>
      <c r="T57" s="6">
        <f t="shared" ca="1" si="0"/>
        <v>0</v>
      </c>
      <c r="U57" s="1" t="str">
        <f t="shared" si="1"/>
        <v/>
      </c>
      <c r="V57" s="1"/>
      <c r="W57" s="1"/>
    </row>
    <row r="58" spans="1:23">
      <c r="A58" s="1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8"/>
      <c r="R58" s="8"/>
      <c r="S58" s="1"/>
      <c r="T58" s="6">
        <f t="shared" ca="1" si="0"/>
        <v>0</v>
      </c>
      <c r="U58" s="1" t="str">
        <f t="shared" si="1"/>
        <v/>
      </c>
      <c r="V58" s="1"/>
      <c r="W58" s="1"/>
    </row>
    <row r="59" spans="1:23">
      <c r="A59" s="1"/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8"/>
      <c r="R59" s="8"/>
      <c r="S59" s="1"/>
      <c r="T59" s="6">
        <f t="shared" ca="1" si="0"/>
        <v>0</v>
      </c>
      <c r="U59" s="1" t="str">
        <f t="shared" si="1"/>
        <v/>
      </c>
      <c r="V59" s="1"/>
      <c r="W59" s="1"/>
    </row>
    <row r="60" spans="1:23">
      <c r="A60" s="1"/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8"/>
      <c r="R60" s="8"/>
      <c r="S60" s="1"/>
      <c r="T60" s="6">
        <f t="shared" ca="1" si="0"/>
        <v>0</v>
      </c>
      <c r="U60" s="1" t="str">
        <f t="shared" si="1"/>
        <v/>
      </c>
      <c r="V60" s="1"/>
      <c r="W60" s="1"/>
    </row>
    <row r="61" spans="1:23">
      <c r="A61" s="1"/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8"/>
      <c r="R61" s="8"/>
      <c r="S61" s="1"/>
      <c r="T61" s="6">
        <f t="shared" ca="1" si="0"/>
        <v>0</v>
      </c>
      <c r="U61" s="1" t="str">
        <f t="shared" si="1"/>
        <v/>
      </c>
      <c r="V61" s="1"/>
      <c r="W61" s="1"/>
    </row>
    <row r="62" spans="1:23">
      <c r="A62" s="1"/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8"/>
      <c r="R62" s="8"/>
      <c r="S62" s="1"/>
      <c r="T62" s="6">
        <f t="shared" ca="1" si="0"/>
        <v>0</v>
      </c>
      <c r="U62" s="1" t="str">
        <f t="shared" si="1"/>
        <v/>
      </c>
      <c r="V62" s="1"/>
      <c r="W62" s="1"/>
    </row>
    <row r="63" spans="1:23">
      <c r="A63" s="1"/>
      <c r="B63" s="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8"/>
      <c r="R63" s="8"/>
      <c r="S63" s="1"/>
      <c r="T63" s="6">
        <f t="shared" ca="1" si="0"/>
        <v>0</v>
      </c>
      <c r="U63" s="1" t="str">
        <f t="shared" si="1"/>
        <v/>
      </c>
      <c r="V63" s="1"/>
      <c r="W63" s="1"/>
    </row>
    <row r="64" spans="1:23">
      <c r="A64" s="1"/>
      <c r="B64" s="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8"/>
      <c r="R64" s="8"/>
      <c r="S64" s="1"/>
      <c r="T64" s="6">
        <f t="shared" ca="1" si="0"/>
        <v>0</v>
      </c>
      <c r="U64" s="1" t="str">
        <f t="shared" si="1"/>
        <v/>
      </c>
      <c r="V64" s="1"/>
      <c r="W64" s="1"/>
    </row>
    <row r="65" spans="1:23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8"/>
      <c r="R65" s="8"/>
      <c r="S65" s="1"/>
      <c r="T65" s="6">
        <f t="shared" ca="1" si="0"/>
        <v>0</v>
      </c>
      <c r="U65" s="1" t="str">
        <f t="shared" si="1"/>
        <v/>
      </c>
      <c r="V65" s="1"/>
      <c r="W65" s="1"/>
    </row>
    <row r="66" spans="1:23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8"/>
      <c r="R66" s="8"/>
      <c r="S66" s="1"/>
      <c r="T66" s="6">
        <f t="shared" ref="T66:T129" ca="1" si="2">IF(AND(S66&lt;&gt;"Clôturée",Q66&lt;&gt;"",TODAY()&gt;Q66),TODAY()-Q66,0)</f>
        <v>0</v>
      </c>
      <c r="U66" s="1" t="str">
        <f t="shared" ref="U66:U129" si="3">IF(M66="Critique","P1",IF(M66="Majeure","P2",IF(M66="Mineure","P3","")))</f>
        <v/>
      </c>
      <c r="V66" s="1"/>
      <c r="W66" s="1"/>
    </row>
    <row r="67" spans="1:23">
      <c r="A67" s="1"/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8"/>
      <c r="R67" s="8"/>
      <c r="S67" s="1"/>
      <c r="T67" s="6">
        <f t="shared" ca="1" si="2"/>
        <v>0</v>
      </c>
      <c r="U67" s="1" t="str">
        <f t="shared" si="3"/>
        <v/>
      </c>
      <c r="V67" s="1"/>
      <c r="W67" s="1"/>
    </row>
    <row r="68" spans="1:23">
      <c r="A68" s="1"/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8"/>
      <c r="R68" s="8"/>
      <c r="S68" s="1"/>
      <c r="T68" s="6">
        <f t="shared" ca="1" si="2"/>
        <v>0</v>
      </c>
      <c r="U68" s="1" t="str">
        <f t="shared" si="3"/>
        <v/>
      </c>
      <c r="V68" s="1"/>
      <c r="W68" s="1"/>
    </row>
    <row r="69" spans="1:23">
      <c r="A69" s="1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8"/>
      <c r="R69" s="8"/>
      <c r="S69" s="1"/>
      <c r="T69" s="6">
        <f t="shared" ca="1" si="2"/>
        <v>0</v>
      </c>
      <c r="U69" s="1" t="str">
        <f t="shared" si="3"/>
        <v/>
      </c>
      <c r="V69" s="1"/>
      <c r="W69" s="1"/>
    </row>
    <row r="70" spans="1:23">
      <c r="A70" s="1"/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8"/>
      <c r="R70" s="8"/>
      <c r="S70" s="1"/>
      <c r="T70" s="6">
        <f t="shared" ca="1" si="2"/>
        <v>0</v>
      </c>
      <c r="U70" s="1" t="str">
        <f t="shared" si="3"/>
        <v/>
      </c>
      <c r="V70" s="1"/>
      <c r="W70" s="1"/>
    </row>
    <row r="71" spans="1:23">
      <c r="A71" s="1"/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8"/>
      <c r="R71" s="8"/>
      <c r="S71" s="1"/>
      <c r="T71" s="6">
        <f t="shared" ca="1" si="2"/>
        <v>0</v>
      </c>
      <c r="U71" s="1" t="str">
        <f t="shared" si="3"/>
        <v/>
      </c>
      <c r="V71" s="1"/>
      <c r="W71" s="1"/>
    </row>
    <row r="72" spans="1:23">
      <c r="A72" s="1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8"/>
      <c r="R72" s="8"/>
      <c r="S72" s="1"/>
      <c r="T72" s="6">
        <f t="shared" ca="1" si="2"/>
        <v>0</v>
      </c>
      <c r="U72" s="1" t="str">
        <f t="shared" si="3"/>
        <v/>
      </c>
      <c r="V72" s="1"/>
      <c r="W72" s="1"/>
    </row>
    <row r="73" spans="1:23">
      <c r="A73" s="1"/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8"/>
      <c r="R73" s="8"/>
      <c r="S73" s="1"/>
      <c r="T73" s="6">
        <f t="shared" ca="1" si="2"/>
        <v>0</v>
      </c>
      <c r="U73" s="1" t="str">
        <f t="shared" si="3"/>
        <v/>
      </c>
      <c r="V73" s="1"/>
      <c r="W73" s="1"/>
    </row>
    <row r="74" spans="1:23">
      <c r="A74" s="1"/>
      <c r="B74" s="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8"/>
      <c r="R74" s="8"/>
      <c r="S74" s="1"/>
      <c r="T74" s="6">
        <f t="shared" ca="1" si="2"/>
        <v>0</v>
      </c>
      <c r="U74" s="1" t="str">
        <f t="shared" si="3"/>
        <v/>
      </c>
      <c r="V74" s="1"/>
      <c r="W74" s="1"/>
    </row>
    <row r="75" spans="1:23">
      <c r="A75" s="1"/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8"/>
      <c r="R75" s="8"/>
      <c r="S75" s="1"/>
      <c r="T75" s="6">
        <f t="shared" ca="1" si="2"/>
        <v>0</v>
      </c>
      <c r="U75" s="1" t="str">
        <f t="shared" si="3"/>
        <v/>
      </c>
      <c r="V75" s="1"/>
      <c r="W75" s="1"/>
    </row>
    <row r="76" spans="1:23">
      <c r="A76" s="1"/>
      <c r="B76" s="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8"/>
      <c r="R76" s="8"/>
      <c r="S76" s="1"/>
      <c r="T76" s="6">
        <f t="shared" ca="1" si="2"/>
        <v>0</v>
      </c>
      <c r="U76" s="1" t="str">
        <f t="shared" si="3"/>
        <v/>
      </c>
      <c r="V76" s="1"/>
      <c r="W76" s="1"/>
    </row>
    <row r="77" spans="1:23">
      <c r="A77" s="1"/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8"/>
      <c r="R77" s="8"/>
      <c r="S77" s="1"/>
      <c r="T77" s="6">
        <f t="shared" ca="1" si="2"/>
        <v>0</v>
      </c>
      <c r="U77" s="1" t="str">
        <f t="shared" si="3"/>
        <v/>
      </c>
      <c r="V77" s="1"/>
      <c r="W77" s="1"/>
    </row>
    <row r="78" spans="1:23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8"/>
      <c r="R78" s="8"/>
      <c r="S78" s="1"/>
      <c r="T78" s="6">
        <f t="shared" ca="1" si="2"/>
        <v>0</v>
      </c>
      <c r="U78" s="1" t="str">
        <f t="shared" si="3"/>
        <v/>
      </c>
      <c r="V78" s="1"/>
      <c r="W78" s="1"/>
    </row>
    <row r="79" spans="1:23">
      <c r="A79" s="1"/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8"/>
      <c r="R79" s="8"/>
      <c r="S79" s="1"/>
      <c r="T79" s="6">
        <f t="shared" ca="1" si="2"/>
        <v>0</v>
      </c>
      <c r="U79" s="1" t="str">
        <f t="shared" si="3"/>
        <v/>
      </c>
      <c r="V79" s="1"/>
      <c r="W79" s="1"/>
    </row>
    <row r="80" spans="1:23">
      <c r="A80" s="1"/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8"/>
      <c r="R80" s="8"/>
      <c r="S80" s="1"/>
      <c r="T80" s="6">
        <f t="shared" ca="1" si="2"/>
        <v>0</v>
      </c>
      <c r="U80" s="1" t="str">
        <f t="shared" si="3"/>
        <v/>
      </c>
      <c r="V80" s="1"/>
      <c r="W80" s="1"/>
    </row>
    <row r="81" spans="1:23">
      <c r="A81" s="1"/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8"/>
      <c r="R81" s="8"/>
      <c r="S81" s="1"/>
      <c r="T81" s="6">
        <f t="shared" ca="1" si="2"/>
        <v>0</v>
      </c>
      <c r="U81" s="1" t="str">
        <f t="shared" si="3"/>
        <v/>
      </c>
      <c r="V81" s="1"/>
      <c r="W81" s="1"/>
    </row>
    <row r="82" spans="1:23">
      <c r="A82" s="1"/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8"/>
      <c r="R82" s="8"/>
      <c r="S82" s="1"/>
      <c r="T82" s="6">
        <f t="shared" ca="1" si="2"/>
        <v>0</v>
      </c>
      <c r="U82" s="1" t="str">
        <f t="shared" si="3"/>
        <v/>
      </c>
      <c r="V82" s="1"/>
      <c r="W82" s="1"/>
    </row>
    <row r="83" spans="1:23">
      <c r="A83" s="1"/>
      <c r="B83" s="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8"/>
      <c r="R83" s="8"/>
      <c r="S83" s="1"/>
      <c r="T83" s="6">
        <f t="shared" ca="1" si="2"/>
        <v>0</v>
      </c>
      <c r="U83" s="1" t="str">
        <f t="shared" si="3"/>
        <v/>
      </c>
      <c r="V83" s="1"/>
      <c r="W83" s="1"/>
    </row>
    <row r="84" spans="1:23">
      <c r="A84" s="1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8"/>
      <c r="R84" s="8"/>
      <c r="S84" s="1"/>
      <c r="T84" s="6">
        <f t="shared" ca="1" si="2"/>
        <v>0</v>
      </c>
      <c r="U84" s="1" t="str">
        <f t="shared" si="3"/>
        <v/>
      </c>
      <c r="V84" s="1"/>
      <c r="W84" s="1"/>
    </row>
    <row r="85" spans="1:23">
      <c r="A85" s="1"/>
      <c r="B85" s="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8"/>
      <c r="R85" s="8"/>
      <c r="S85" s="1"/>
      <c r="T85" s="6">
        <f t="shared" ca="1" si="2"/>
        <v>0</v>
      </c>
      <c r="U85" s="1" t="str">
        <f t="shared" si="3"/>
        <v/>
      </c>
      <c r="V85" s="1"/>
      <c r="W85" s="1"/>
    </row>
    <row r="86" spans="1:23">
      <c r="A86" s="1"/>
      <c r="B86" s="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8"/>
      <c r="R86" s="8"/>
      <c r="S86" s="1"/>
      <c r="T86" s="6">
        <f t="shared" ca="1" si="2"/>
        <v>0</v>
      </c>
      <c r="U86" s="1" t="str">
        <f t="shared" si="3"/>
        <v/>
      </c>
      <c r="V86" s="1"/>
      <c r="W86" s="1"/>
    </row>
    <row r="87" spans="1:23">
      <c r="A87" s="1"/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8"/>
      <c r="R87" s="8"/>
      <c r="S87" s="1"/>
      <c r="T87" s="6">
        <f t="shared" ca="1" si="2"/>
        <v>0</v>
      </c>
      <c r="U87" s="1" t="str">
        <f t="shared" si="3"/>
        <v/>
      </c>
      <c r="V87" s="1"/>
      <c r="W87" s="1"/>
    </row>
    <row r="88" spans="1:23">
      <c r="A88" s="1"/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8"/>
      <c r="R88" s="8"/>
      <c r="S88" s="1"/>
      <c r="T88" s="6">
        <f t="shared" ca="1" si="2"/>
        <v>0</v>
      </c>
      <c r="U88" s="1" t="str">
        <f t="shared" si="3"/>
        <v/>
      </c>
      <c r="V88" s="1"/>
      <c r="W88" s="1"/>
    </row>
    <row r="89" spans="1:23">
      <c r="A89" s="1"/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8"/>
      <c r="R89" s="8"/>
      <c r="S89" s="1"/>
      <c r="T89" s="6">
        <f t="shared" ca="1" si="2"/>
        <v>0</v>
      </c>
      <c r="U89" s="1" t="str">
        <f t="shared" si="3"/>
        <v/>
      </c>
      <c r="V89" s="1"/>
      <c r="W89" s="1"/>
    </row>
    <row r="90" spans="1:23">
      <c r="A90" s="1"/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8"/>
      <c r="R90" s="8"/>
      <c r="S90" s="1"/>
      <c r="T90" s="6">
        <f t="shared" ca="1" si="2"/>
        <v>0</v>
      </c>
      <c r="U90" s="1" t="str">
        <f t="shared" si="3"/>
        <v/>
      </c>
      <c r="V90" s="1"/>
      <c r="W90" s="1"/>
    </row>
    <row r="91" spans="1:23">
      <c r="A91" s="1"/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8"/>
      <c r="R91" s="8"/>
      <c r="S91" s="1"/>
      <c r="T91" s="6">
        <f t="shared" ca="1" si="2"/>
        <v>0</v>
      </c>
      <c r="U91" s="1" t="str">
        <f t="shared" si="3"/>
        <v/>
      </c>
      <c r="V91" s="1"/>
      <c r="W91" s="1"/>
    </row>
    <row r="92" spans="1:23">
      <c r="A92" s="1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8"/>
      <c r="R92" s="8"/>
      <c r="S92" s="1"/>
      <c r="T92" s="6">
        <f t="shared" ca="1" si="2"/>
        <v>0</v>
      </c>
      <c r="U92" s="1" t="str">
        <f t="shared" si="3"/>
        <v/>
      </c>
      <c r="V92" s="1"/>
      <c r="W92" s="1"/>
    </row>
    <row r="93" spans="1:23">
      <c r="A93" s="1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8"/>
      <c r="R93" s="8"/>
      <c r="S93" s="1"/>
      <c r="T93" s="6">
        <f t="shared" ca="1" si="2"/>
        <v>0</v>
      </c>
      <c r="U93" s="1" t="str">
        <f t="shared" si="3"/>
        <v/>
      </c>
      <c r="V93" s="1"/>
      <c r="W93" s="1"/>
    </row>
    <row r="94" spans="1:23">
      <c r="A94" s="1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8"/>
      <c r="R94" s="8"/>
      <c r="S94" s="1"/>
      <c r="T94" s="6">
        <f t="shared" ca="1" si="2"/>
        <v>0</v>
      </c>
      <c r="U94" s="1" t="str">
        <f t="shared" si="3"/>
        <v/>
      </c>
      <c r="V94" s="1"/>
      <c r="W94" s="1"/>
    </row>
    <row r="95" spans="1:23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8"/>
      <c r="R95" s="8"/>
      <c r="S95" s="1"/>
      <c r="T95" s="6">
        <f t="shared" ca="1" si="2"/>
        <v>0</v>
      </c>
      <c r="U95" s="1" t="str">
        <f t="shared" si="3"/>
        <v/>
      </c>
      <c r="V95" s="1"/>
      <c r="W95" s="1"/>
    </row>
    <row r="96" spans="1:23">
      <c r="A96" s="1"/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8"/>
      <c r="R96" s="8"/>
      <c r="S96" s="1"/>
      <c r="T96" s="6">
        <f t="shared" ca="1" si="2"/>
        <v>0</v>
      </c>
      <c r="U96" s="1" t="str">
        <f t="shared" si="3"/>
        <v/>
      </c>
      <c r="V96" s="1"/>
      <c r="W96" s="1"/>
    </row>
    <row r="97" spans="1:23">
      <c r="A97" s="1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8"/>
      <c r="R97" s="8"/>
      <c r="S97" s="1"/>
      <c r="T97" s="6">
        <f t="shared" ca="1" si="2"/>
        <v>0</v>
      </c>
      <c r="U97" s="1" t="str">
        <f t="shared" si="3"/>
        <v/>
      </c>
      <c r="V97" s="1"/>
      <c r="W97" s="1"/>
    </row>
    <row r="98" spans="1:23">
      <c r="A98" s="1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8"/>
      <c r="R98" s="8"/>
      <c r="S98" s="1"/>
      <c r="T98" s="6">
        <f t="shared" ca="1" si="2"/>
        <v>0</v>
      </c>
      <c r="U98" s="1" t="str">
        <f t="shared" si="3"/>
        <v/>
      </c>
      <c r="V98" s="1"/>
      <c r="W98" s="1"/>
    </row>
    <row r="99" spans="1:23">
      <c r="A99" s="1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8"/>
      <c r="R99" s="8"/>
      <c r="S99" s="1"/>
      <c r="T99" s="6">
        <f t="shared" ca="1" si="2"/>
        <v>0</v>
      </c>
      <c r="U99" s="1" t="str">
        <f t="shared" si="3"/>
        <v/>
      </c>
      <c r="V99" s="1"/>
      <c r="W99" s="1"/>
    </row>
    <row r="100" spans="1:23">
      <c r="A100" s="1"/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8"/>
      <c r="R100" s="8"/>
      <c r="S100" s="1"/>
      <c r="T100" s="6">
        <f t="shared" ca="1" si="2"/>
        <v>0</v>
      </c>
      <c r="U100" s="1" t="str">
        <f t="shared" si="3"/>
        <v/>
      </c>
      <c r="V100" s="1"/>
      <c r="W100" s="1"/>
    </row>
    <row r="101" spans="1:23">
      <c r="A101" s="1"/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8"/>
      <c r="R101" s="8"/>
      <c r="S101" s="1"/>
      <c r="T101" s="6">
        <f t="shared" ca="1" si="2"/>
        <v>0</v>
      </c>
      <c r="U101" s="1" t="str">
        <f t="shared" si="3"/>
        <v/>
      </c>
      <c r="V101" s="1"/>
      <c r="W101" s="1"/>
    </row>
    <row r="102" spans="1:23">
      <c r="A102" s="1"/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8"/>
      <c r="R102" s="8"/>
      <c r="S102" s="1"/>
      <c r="T102" s="6">
        <f t="shared" ca="1" si="2"/>
        <v>0</v>
      </c>
      <c r="U102" s="1" t="str">
        <f t="shared" si="3"/>
        <v/>
      </c>
      <c r="V102" s="1"/>
      <c r="W102" s="1"/>
    </row>
    <row r="103" spans="1:23">
      <c r="A103" s="1"/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8"/>
      <c r="R103" s="8"/>
      <c r="S103" s="1"/>
      <c r="T103" s="6">
        <f t="shared" ca="1" si="2"/>
        <v>0</v>
      </c>
      <c r="U103" s="1" t="str">
        <f t="shared" si="3"/>
        <v/>
      </c>
      <c r="V103" s="1"/>
      <c r="W103" s="1"/>
    </row>
    <row r="104" spans="1:23">
      <c r="A104" s="1"/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8"/>
      <c r="R104" s="8"/>
      <c r="S104" s="1"/>
      <c r="T104" s="6">
        <f t="shared" ca="1" si="2"/>
        <v>0</v>
      </c>
      <c r="U104" s="1" t="str">
        <f t="shared" si="3"/>
        <v/>
      </c>
      <c r="V104" s="1"/>
      <c r="W104" s="1"/>
    </row>
    <row r="105" spans="1:23">
      <c r="A105" s="1"/>
      <c r="B105" s="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8"/>
      <c r="R105" s="8"/>
      <c r="S105" s="1"/>
      <c r="T105" s="6">
        <f t="shared" ca="1" si="2"/>
        <v>0</v>
      </c>
      <c r="U105" s="1" t="str">
        <f t="shared" si="3"/>
        <v/>
      </c>
      <c r="V105" s="1"/>
      <c r="W105" s="1"/>
    </row>
    <row r="106" spans="1:23">
      <c r="A106" s="1"/>
      <c r="B106" s="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8"/>
      <c r="R106" s="8"/>
      <c r="S106" s="1"/>
      <c r="T106" s="6">
        <f t="shared" ca="1" si="2"/>
        <v>0</v>
      </c>
      <c r="U106" s="1" t="str">
        <f t="shared" si="3"/>
        <v/>
      </c>
      <c r="V106" s="1"/>
      <c r="W106" s="1"/>
    </row>
    <row r="107" spans="1:23">
      <c r="A107" s="1"/>
      <c r="B107" s="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8"/>
      <c r="R107" s="8"/>
      <c r="S107" s="1"/>
      <c r="T107" s="6">
        <f t="shared" ca="1" si="2"/>
        <v>0</v>
      </c>
      <c r="U107" s="1" t="str">
        <f t="shared" si="3"/>
        <v/>
      </c>
      <c r="V107" s="1"/>
      <c r="W107" s="1"/>
    </row>
    <row r="108" spans="1:23">
      <c r="A108" s="1"/>
      <c r="B108" s="8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8"/>
      <c r="R108" s="8"/>
      <c r="S108" s="1"/>
      <c r="T108" s="6">
        <f t="shared" ca="1" si="2"/>
        <v>0</v>
      </c>
      <c r="U108" s="1" t="str">
        <f t="shared" si="3"/>
        <v/>
      </c>
      <c r="V108" s="1"/>
      <c r="W108" s="1"/>
    </row>
    <row r="109" spans="1:23">
      <c r="A109" s="1"/>
      <c r="B109" s="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8"/>
      <c r="R109" s="8"/>
      <c r="S109" s="1"/>
      <c r="T109" s="6">
        <f t="shared" ca="1" si="2"/>
        <v>0</v>
      </c>
      <c r="U109" s="1" t="str">
        <f t="shared" si="3"/>
        <v/>
      </c>
      <c r="V109" s="1"/>
      <c r="W109" s="1"/>
    </row>
    <row r="110" spans="1:23">
      <c r="A110" s="1"/>
      <c r="B110" s="8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8"/>
      <c r="R110" s="8"/>
      <c r="S110" s="1"/>
      <c r="T110" s="6">
        <f t="shared" ca="1" si="2"/>
        <v>0</v>
      </c>
      <c r="U110" s="1" t="str">
        <f t="shared" si="3"/>
        <v/>
      </c>
      <c r="V110" s="1"/>
      <c r="W110" s="1"/>
    </row>
    <row r="111" spans="1:23">
      <c r="A111" s="1"/>
      <c r="B111" s="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8"/>
      <c r="R111" s="8"/>
      <c r="S111" s="1"/>
      <c r="T111" s="6">
        <f t="shared" ca="1" si="2"/>
        <v>0</v>
      </c>
      <c r="U111" s="1" t="str">
        <f t="shared" si="3"/>
        <v/>
      </c>
      <c r="V111" s="1"/>
      <c r="W111" s="1"/>
    </row>
    <row r="112" spans="1:23">
      <c r="A112" s="1"/>
      <c r="B112" s="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8"/>
      <c r="R112" s="8"/>
      <c r="S112" s="1"/>
      <c r="T112" s="6">
        <f t="shared" ca="1" si="2"/>
        <v>0</v>
      </c>
      <c r="U112" s="1" t="str">
        <f t="shared" si="3"/>
        <v/>
      </c>
      <c r="V112" s="1"/>
      <c r="W112" s="1"/>
    </row>
    <row r="113" spans="1:23">
      <c r="A113" s="1"/>
      <c r="B113" s="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8"/>
      <c r="R113" s="8"/>
      <c r="S113" s="1"/>
      <c r="T113" s="6">
        <f t="shared" ca="1" si="2"/>
        <v>0</v>
      </c>
      <c r="U113" s="1" t="str">
        <f t="shared" si="3"/>
        <v/>
      </c>
      <c r="V113" s="1"/>
      <c r="W113" s="1"/>
    </row>
    <row r="114" spans="1:23">
      <c r="A114" s="1"/>
      <c r="B114" s="8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8"/>
      <c r="R114" s="8"/>
      <c r="S114" s="1"/>
      <c r="T114" s="6">
        <f t="shared" ca="1" si="2"/>
        <v>0</v>
      </c>
      <c r="U114" s="1" t="str">
        <f t="shared" si="3"/>
        <v/>
      </c>
      <c r="V114" s="1"/>
      <c r="W114" s="1"/>
    </row>
    <row r="115" spans="1:23">
      <c r="A115" s="1"/>
      <c r="B115" s="8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8"/>
      <c r="R115" s="8"/>
      <c r="S115" s="1"/>
      <c r="T115" s="6">
        <f t="shared" ca="1" si="2"/>
        <v>0</v>
      </c>
      <c r="U115" s="1" t="str">
        <f t="shared" si="3"/>
        <v/>
      </c>
      <c r="V115" s="1"/>
      <c r="W115" s="1"/>
    </row>
    <row r="116" spans="1:23">
      <c r="A116" s="1"/>
      <c r="B116" s="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8"/>
      <c r="R116" s="8"/>
      <c r="S116" s="1"/>
      <c r="T116" s="6">
        <f t="shared" ca="1" si="2"/>
        <v>0</v>
      </c>
      <c r="U116" s="1" t="str">
        <f t="shared" si="3"/>
        <v/>
      </c>
      <c r="V116" s="1"/>
      <c r="W116" s="1"/>
    </row>
    <row r="117" spans="1:23">
      <c r="A117" s="1"/>
      <c r="B117" s="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8"/>
      <c r="R117" s="8"/>
      <c r="S117" s="1"/>
      <c r="T117" s="6">
        <f t="shared" ca="1" si="2"/>
        <v>0</v>
      </c>
      <c r="U117" s="1" t="str">
        <f t="shared" si="3"/>
        <v/>
      </c>
      <c r="V117" s="1"/>
      <c r="W117" s="1"/>
    </row>
    <row r="118" spans="1:23">
      <c r="A118" s="1"/>
      <c r="B118" s="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8"/>
      <c r="R118" s="8"/>
      <c r="S118" s="1"/>
      <c r="T118" s="6">
        <f t="shared" ca="1" si="2"/>
        <v>0</v>
      </c>
      <c r="U118" s="1" t="str">
        <f t="shared" si="3"/>
        <v/>
      </c>
      <c r="V118" s="1"/>
      <c r="W118" s="1"/>
    </row>
    <row r="119" spans="1:23">
      <c r="A119" s="1"/>
      <c r="B119" s="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8"/>
      <c r="R119" s="8"/>
      <c r="S119" s="1"/>
      <c r="T119" s="6">
        <f t="shared" ca="1" si="2"/>
        <v>0</v>
      </c>
      <c r="U119" s="1" t="str">
        <f t="shared" si="3"/>
        <v/>
      </c>
      <c r="V119" s="1"/>
      <c r="W119" s="1"/>
    </row>
    <row r="120" spans="1:23">
      <c r="A120" s="1"/>
      <c r="B120" s="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8"/>
      <c r="R120" s="8"/>
      <c r="S120" s="1"/>
      <c r="T120" s="6">
        <f t="shared" ca="1" si="2"/>
        <v>0</v>
      </c>
      <c r="U120" s="1" t="str">
        <f t="shared" si="3"/>
        <v/>
      </c>
      <c r="V120" s="1"/>
      <c r="W120" s="1"/>
    </row>
    <row r="121" spans="1:23">
      <c r="A121" s="1"/>
      <c r="B121" s="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8"/>
      <c r="R121" s="8"/>
      <c r="S121" s="1"/>
      <c r="T121" s="6">
        <f t="shared" ca="1" si="2"/>
        <v>0</v>
      </c>
      <c r="U121" s="1" t="str">
        <f t="shared" si="3"/>
        <v/>
      </c>
      <c r="V121" s="1"/>
      <c r="W121" s="1"/>
    </row>
    <row r="122" spans="1:23">
      <c r="A122" s="1"/>
      <c r="B122" s="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8"/>
      <c r="R122" s="8"/>
      <c r="S122" s="1"/>
      <c r="T122" s="6">
        <f t="shared" ca="1" si="2"/>
        <v>0</v>
      </c>
      <c r="U122" s="1" t="str">
        <f t="shared" si="3"/>
        <v/>
      </c>
      <c r="V122" s="1"/>
      <c r="W122" s="1"/>
    </row>
    <row r="123" spans="1:23">
      <c r="A123" s="1"/>
      <c r="B123" s="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8"/>
      <c r="R123" s="8"/>
      <c r="S123" s="1"/>
      <c r="T123" s="6">
        <f t="shared" ca="1" si="2"/>
        <v>0</v>
      </c>
      <c r="U123" s="1" t="str">
        <f t="shared" si="3"/>
        <v/>
      </c>
      <c r="V123" s="1"/>
      <c r="W123" s="1"/>
    </row>
    <row r="124" spans="1:23">
      <c r="A124" s="1"/>
      <c r="B124" s="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8"/>
      <c r="R124" s="8"/>
      <c r="S124" s="1"/>
      <c r="T124" s="6">
        <f t="shared" ca="1" si="2"/>
        <v>0</v>
      </c>
      <c r="U124" s="1" t="str">
        <f t="shared" si="3"/>
        <v/>
      </c>
      <c r="V124" s="1"/>
      <c r="W124" s="1"/>
    </row>
    <row r="125" spans="1:23">
      <c r="A125" s="1"/>
      <c r="B125" s="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8"/>
      <c r="R125" s="8"/>
      <c r="S125" s="1"/>
      <c r="T125" s="6">
        <f t="shared" ca="1" si="2"/>
        <v>0</v>
      </c>
      <c r="U125" s="1" t="str">
        <f t="shared" si="3"/>
        <v/>
      </c>
      <c r="V125" s="1"/>
      <c r="W125" s="1"/>
    </row>
    <row r="126" spans="1:23">
      <c r="A126" s="1"/>
      <c r="B126" s="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8"/>
      <c r="R126" s="8"/>
      <c r="S126" s="1"/>
      <c r="T126" s="6">
        <f t="shared" ca="1" si="2"/>
        <v>0</v>
      </c>
      <c r="U126" s="1" t="str">
        <f t="shared" si="3"/>
        <v/>
      </c>
      <c r="V126" s="1"/>
      <c r="W126" s="1"/>
    </row>
    <row r="127" spans="1:23">
      <c r="A127" s="1"/>
      <c r="B127" s="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8"/>
      <c r="R127" s="8"/>
      <c r="S127" s="1"/>
      <c r="T127" s="6">
        <f t="shared" ca="1" si="2"/>
        <v>0</v>
      </c>
      <c r="U127" s="1" t="str">
        <f t="shared" si="3"/>
        <v/>
      </c>
      <c r="V127" s="1"/>
      <c r="W127" s="1"/>
    </row>
    <row r="128" spans="1:23">
      <c r="A128" s="1"/>
      <c r="B128" s="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8"/>
      <c r="R128" s="8"/>
      <c r="S128" s="1"/>
      <c r="T128" s="6">
        <f t="shared" ca="1" si="2"/>
        <v>0</v>
      </c>
      <c r="U128" s="1" t="str">
        <f t="shared" si="3"/>
        <v/>
      </c>
      <c r="V128" s="1"/>
      <c r="W128" s="1"/>
    </row>
    <row r="129" spans="1:23">
      <c r="A129" s="1"/>
      <c r="B129" s="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8"/>
      <c r="R129" s="8"/>
      <c r="S129" s="1"/>
      <c r="T129" s="6">
        <f t="shared" ca="1" si="2"/>
        <v>0</v>
      </c>
      <c r="U129" s="1" t="str">
        <f t="shared" si="3"/>
        <v/>
      </c>
      <c r="V129" s="1"/>
      <c r="W129" s="1"/>
    </row>
    <row r="130" spans="1:23">
      <c r="A130" s="1"/>
      <c r="B130" s="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8"/>
      <c r="R130" s="8"/>
      <c r="S130" s="1"/>
      <c r="T130" s="6">
        <f t="shared" ref="T130:T193" ca="1" si="4">IF(AND(S130&lt;&gt;"Clôturée",Q130&lt;&gt;"",TODAY()&gt;Q130),TODAY()-Q130,0)</f>
        <v>0</v>
      </c>
      <c r="U130" s="1" t="str">
        <f t="shared" ref="U130:U193" si="5">IF(M130="Critique","P1",IF(M130="Majeure","P2",IF(M130="Mineure","P3","")))</f>
        <v/>
      </c>
      <c r="V130" s="1"/>
      <c r="W130" s="1"/>
    </row>
    <row r="131" spans="1:23">
      <c r="A131" s="1"/>
      <c r="B131" s="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8"/>
      <c r="R131" s="8"/>
      <c r="S131" s="1"/>
      <c r="T131" s="6">
        <f t="shared" ca="1" si="4"/>
        <v>0</v>
      </c>
      <c r="U131" s="1" t="str">
        <f t="shared" si="5"/>
        <v/>
      </c>
      <c r="V131" s="1"/>
      <c r="W131" s="1"/>
    </row>
    <row r="132" spans="1:23">
      <c r="A132" s="1"/>
      <c r="B132" s="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8"/>
      <c r="R132" s="8"/>
      <c r="S132" s="1"/>
      <c r="T132" s="6">
        <f t="shared" ca="1" si="4"/>
        <v>0</v>
      </c>
      <c r="U132" s="1" t="str">
        <f t="shared" si="5"/>
        <v/>
      </c>
      <c r="V132" s="1"/>
      <c r="W132" s="1"/>
    </row>
    <row r="133" spans="1:23">
      <c r="A133" s="1"/>
      <c r="B133" s="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8"/>
      <c r="R133" s="8"/>
      <c r="S133" s="1"/>
      <c r="T133" s="6">
        <f t="shared" ca="1" si="4"/>
        <v>0</v>
      </c>
      <c r="U133" s="1" t="str">
        <f t="shared" si="5"/>
        <v/>
      </c>
      <c r="V133" s="1"/>
      <c r="W133" s="1"/>
    </row>
    <row r="134" spans="1:23">
      <c r="A134" s="1"/>
      <c r="B134" s="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8"/>
      <c r="R134" s="8"/>
      <c r="S134" s="1"/>
      <c r="T134" s="6">
        <f t="shared" ca="1" si="4"/>
        <v>0</v>
      </c>
      <c r="U134" s="1" t="str">
        <f t="shared" si="5"/>
        <v/>
      </c>
      <c r="V134" s="1"/>
      <c r="W134" s="1"/>
    </row>
    <row r="135" spans="1:23">
      <c r="A135" s="1"/>
      <c r="B135" s="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8"/>
      <c r="R135" s="8"/>
      <c r="S135" s="1"/>
      <c r="T135" s="6">
        <f t="shared" ca="1" si="4"/>
        <v>0</v>
      </c>
      <c r="U135" s="1" t="str">
        <f t="shared" si="5"/>
        <v/>
      </c>
      <c r="V135" s="1"/>
      <c r="W135" s="1"/>
    </row>
    <row r="136" spans="1:23">
      <c r="A136" s="1"/>
      <c r="B136" s="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8"/>
      <c r="R136" s="8"/>
      <c r="S136" s="1"/>
      <c r="T136" s="6">
        <f t="shared" ca="1" si="4"/>
        <v>0</v>
      </c>
      <c r="U136" s="1" t="str">
        <f t="shared" si="5"/>
        <v/>
      </c>
      <c r="V136" s="1"/>
      <c r="W136" s="1"/>
    </row>
    <row r="137" spans="1:23">
      <c r="A137" s="1"/>
      <c r="B137" s="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8"/>
      <c r="R137" s="8"/>
      <c r="S137" s="1"/>
      <c r="T137" s="6">
        <f t="shared" ca="1" si="4"/>
        <v>0</v>
      </c>
      <c r="U137" s="1" t="str">
        <f t="shared" si="5"/>
        <v/>
      </c>
      <c r="V137" s="1"/>
      <c r="W137" s="1"/>
    </row>
    <row r="138" spans="1:23">
      <c r="A138" s="1"/>
      <c r="B138" s="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8"/>
      <c r="R138" s="8"/>
      <c r="S138" s="1"/>
      <c r="T138" s="6">
        <f t="shared" ca="1" si="4"/>
        <v>0</v>
      </c>
      <c r="U138" s="1" t="str">
        <f t="shared" si="5"/>
        <v/>
      </c>
      <c r="V138" s="1"/>
      <c r="W138" s="1"/>
    </row>
    <row r="139" spans="1:23">
      <c r="A139" s="1"/>
      <c r="B139" s="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8"/>
      <c r="R139" s="8"/>
      <c r="S139" s="1"/>
      <c r="T139" s="6">
        <f t="shared" ca="1" si="4"/>
        <v>0</v>
      </c>
      <c r="U139" s="1" t="str">
        <f t="shared" si="5"/>
        <v/>
      </c>
      <c r="V139" s="1"/>
      <c r="W139" s="1"/>
    </row>
    <row r="140" spans="1:23">
      <c r="A140" s="1"/>
      <c r="B140" s="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8"/>
      <c r="R140" s="8"/>
      <c r="S140" s="1"/>
      <c r="T140" s="6">
        <f t="shared" ca="1" si="4"/>
        <v>0</v>
      </c>
      <c r="U140" s="1" t="str">
        <f t="shared" si="5"/>
        <v/>
      </c>
      <c r="V140" s="1"/>
      <c r="W140" s="1"/>
    </row>
    <row r="141" spans="1:23">
      <c r="A141" s="1"/>
      <c r="B141" s="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8"/>
      <c r="R141" s="8"/>
      <c r="S141" s="1"/>
      <c r="T141" s="6">
        <f t="shared" ca="1" si="4"/>
        <v>0</v>
      </c>
      <c r="U141" s="1" t="str">
        <f t="shared" si="5"/>
        <v/>
      </c>
      <c r="V141" s="1"/>
      <c r="W141" s="1"/>
    </row>
    <row r="142" spans="1:23">
      <c r="A142" s="1"/>
      <c r="B142" s="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8"/>
      <c r="R142" s="8"/>
      <c r="S142" s="1"/>
      <c r="T142" s="6">
        <f t="shared" ca="1" si="4"/>
        <v>0</v>
      </c>
      <c r="U142" s="1" t="str">
        <f t="shared" si="5"/>
        <v/>
      </c>
      <c r="V142" s="1"/>
      <c r="W142" s="1"/>
    </row>
    <row r="143" spans="1:23">
      <c r="A143" s="1"/>
      <c r="B143" s="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8"/>
      <c r="R143" s="8"/>
      <c r="S143" s="1"/>
      <c r="T143" s="6">
        <f t="shared" ca="1" si="4"/>
        <v>0</v>
      </c>
      <c r="U143" s="1" t="str">
        <f t="shared" si="5"/>
        <v/>
      </c>
      <c r="V143" s="1"/>
      <c r="W143" s="1"/>
    </row>
    <row r="144" spans="1:23">
      <c r="A144" s="1"/>
      <c r="B144" s="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8"/>
      <c r="R144" s="8"/>
      <c r="S144" s="1"/>
      <c r="T144" s="6">
        <f t="shared" ca="1" si="4"/>
        <v>0</v>
      </c>
      <c r="U144" s="1" t="str">
        <f t="shared" si="5"/>
        <v/>
      </c>
      <c r="V144" s="1"/>
      <c r="W144" s="1"/>
    </row>
    <row r="145" spans="1:23">
      <c r="A145" s="1"/>
      <c r="B145" s="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8"/>
      <c r="R145" s="8"/>
      <c r="S145" s="1"/>
      <c r="T145" s="6">
        <f t="shared" ca="1" si="4"/>
        <v>0</v>
      </c>
      <c r="U145" s="1" t="str">
        <f t="shared" si="5"/>
        <v/>
      </c>
      <c r="V145" s="1"/>
      <c r="W145" s="1"/>
    </row>
    <row r="146" spans="1:23">
      <c r="A146" s="1"/>
      <c r="B146" s="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8"/>
      <c r="R146" s="8"/>
      <c r="S146" s="1"/>
      <c r="T146" s="6">
        <f t="shared" ca="1" si="4"/>
        <v>0</v>
      </c>
      <c r="U146" s="1" t="str">
        <f t="shared" si="5"/>
        <v/>
      </c>
      <c r="V146" s="1"/>
      <c r="W146" s="1"/>
    </row>
    <row r="147" spans="1:23">
      <c r="A147" s="1"/>
      <c r="B147" s="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8"/>
      <c r="R147" s="8"/>
      <c r="S147" s="1"/>
      <c r="T147" s="6">
        <f t="shared" ca="1" si="4"/>
        <v>0</v>
      </c>
      <c r="U147" s="1" t="str">
        <f t="shared" si="5"/>
        <v/>
      </c>
      <c r="V147" s="1"/>
      <c r="W147" s="1"/>
    </row>
    <row r="148" spans="1:23">
      <c r="A148" s="1"/>
      <c r="B148" s="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8"/>
      <c r="R148" s="8"/>
      <c r="S148" s="1"/>
      <c r="T148" s="6">
        <f t="shared" ca="1" si="4"/>
        <v>0</v>
      </c>
      <c r="U148" s="1" t="str">
        <f t="shared" si="5"/>
        <v/>
      </c>
      <c r="V148" s="1"/>
      <c r="W148" s="1"/>
    </row>
    <row r="149" spans="1:23">
      <c r="A149" s="1"/>
      <c r="B149" s="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8"/>
      <c r="R149" s="8"/>
      <c r="S149" s="1"/>
      <c r="T149" s="6">
        <f t="shared" ca="1" si="4"/>
        <v>0</v>
      </c>
      <c r="U149" s="1" t="str">
        <f t="shared" si="5"/>
        <v/>
      </c>
      <c r="V149" s="1"/>
      <c r="W149" s="1"/>
    </row>
    <row r="150" spans="1:23">
      <c r="A150" s="1"/>
      <c r="B150" s="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8"/>
      <c r="R150" s="8"/>
      <c r="S150" s="1"/>
      <c r="T150" s="6">
        <f t="shared" ca="1" si="4"/>
        <v>0</v>
      </c>
      <c r="U150" s="1" t="str">
        <f t="shared" si="5"/>
        <v/>
      </c>
      <c r="V150" s="1"/>
      <c r="W150" s="1"/>
    </row>
    <row r="151" spans="1:23">
      <c r="A151" s="1"/>
      <c r="B151" s="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8"/>
      <c r="R151" s="8"/>
      <c r="S151" s="1"/>
      <c r="T151" s="6">
        <f t="shared" ca="1" si="4"/>
        <v>0</v>
      </c>
      <c r="U151" s="1" t="str">
        <f t="shared" si="5"/>
        <v/>
      </c>
      <c r="V151" s="1"/>
      <c r="W151" s="1"/>
    </row>
    <row r="152" spans="1:23">
      <c r="A152" s="1"/>
      <c r="B152" s="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8"/>
      <c r="R152" s="8"/>
      <c r="S152" s="1"/>
      <c r="T152" s="6">
        <f t="shared" ca="1" si="4"/>
        <v>0</v>
      </c>
      <c r="U152" s="1" t="str">
        <f t="shared" si="5"/>
        <v/>
      </c>
      <c r="V152" s="1"/>
      <c r="W152" s="1"/>
    </row>
    <row r="153" spans="1:23">
      <c r="A153" s="1"/>
      <c r="B153" s="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8"/>
      <c r="R153" s="8"/>
      <c r="S153" s="1"/>
      <c r="T153" s="6">
        <f t="shared" ca="1" si="4"/>
        <v>0</v>
      </c>
      <c r="U153" s="1" t="str">
        <f t="shared" si="5"/>
        <v/>
      </c>
      <c r="V153" s="1"/>
      <c r="W153" s="1"/>
    </row>
    <row r="154" spans="1:23">
      <c r="A154" s="1"/>
      <c r="B154" s="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8"/>
      <c r="R154" s="8"/>
      <c r="S154" s="1"/>
      <c r="T154" s="6">
        <f t="shared" ca="1" si="4"/>
        <v>0</v>
      </c>
      <c r="U154" s="1" t="str">
        <f t="shared" si="5"/>
        <v/>
      </c>
      <c r="V154" s="1"/>
      <c r="W154" s="1"/>
    </row>
    <row r="155" spans="1:23">
      <c r="A155" s="1"/>
      <c r="B155" s="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8"/>
      <c r="R155" s="8"/>
      <c r="S155" s="1"/>
      <c r="T155" s="6">
        <f t="shared" ca="1" si="4"/>
        <v>0</v>
      </c>
      <c r="U155" s="1" t="str">
        <f t="shared" si="5"/>
        <v/>
      </c>
      <c r="V155" s="1"/>
      <c r="W155" s="1"/>
    </row>
    <row r="156" spans="1:23">
      <c r="A156" s="1"/>
      <c r="B156" s="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8"/>
      <c r="R156" s="8"/>
      <c r="S156" s="1"/>
      <c r="T156" s="6">
        <f t="shared" ca="1" si="4"/>
        <v>0</v>
      </c>
      <c r="U156" s="1" t="str">
        <f t="shared" si="5"/>
        <v/>
      </c>
      <c r="V156" s="1"/>
      <c r="W156" s="1"/>
    </row>
    <row r="157" spans="1:23">
      <c r="A157" s="1"/>
      <c r="B157" s="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8"/>
      <c r="R157" s="8"/>
      <c r="S157" s="1"/>
      <c r="T157" s="6">
        <f t="shared" ca="1" si="4"/>
        <v>0</v>
      </c>
      <c r="U157" s="1" t="str">
        <f t="shared" si="5"/>
        <v/>
      </c>
      <c r="V157" s="1"/>
      <c r="W157" s="1"/>
    </row>
    <row r="158" spans="1:23">
      <c r="A158" s="1"/>
      <c r="B158" s="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8"/>
      <c r="R158" s="8"/>
      <c r="S158" s="1"/>
      <c r="T158" s="6">
        <f t="shared" ca="1" si="4"/>
        <v>0</v>
      </c>
      <c r="U158" s="1" t="str">
        <f t="shared" si="5"/>
        <v/>
      </c>
      <c r="V158" s="1"/>
      <c r="W158" s="1"/>
    </row>
    <row r="159" spans="1:23">
      <c r="A159" s="1"/>
      <c r="B159" s="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8"/>
      <c r="R159" s="8"/>
      <c r="S159" s="1"/>
      <c r="T159" s="6">
        <f t="shared" ca="1" si="4"/>
        <v>0</v>
      </c>
      <c r="U159" s="1" t="str">
        <f t="shared" si="5"/>
        <v/>
      </c>
      <c r="V159" s="1"/>
      <c r="W159" s="1"/>
    </row>
    <row r="160" spans="1:23">
      <c r="A160" s="1"/>
      <c r="B160" s="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8"/>
      <c r="R160" s="8"/>
      <c r="S160" s="1"/>
      <c r="T160" s="6">
        <f t="shared" ca="1" si="4"/>
        <v>0</v>
      </c>
      <c r="U160" s="1" t="str">
        <f t="shared" si="5"/>
        <v/>
      </c>
      <c r="V160" s="1"/>
      <c r="W160" s="1"/>
    </row>
    <row r="161" spans="1:23">
      <c r="A161" s="1"/>
      <c r="B161" s="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8"/>
      <c r="R161" s="8"/>
      <c r="S161" s="1"/>
      <c r="T161" s="6">
        <f t="shared" ca="1" si="4"/>
        <v>0</v>
      </c>
      <c r="U161" s="1" t="str">
        <f t="shared" si="5"/>
        <v/>
      </c>
      <c r="V161" s="1"/>
      <c r="W161" s="1"/>
    </row>
    <row r="162" spans="1:23">
      <c r="A162" s="1"/>
      <c r="B162" s="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8"/>
      <c r="R162" s="8"/>
      <c r="S162" s="1"/>
      <c r="T162" s="6">
        <f t="shared" ca="1" si="4"/>
        <v>0</v>
      </c>
      <c r="U162" s="1" t="str">
        <f t="shared" si="5"/>
        <v/>
      </c>
      <c r="V162" s="1"/>
      <c r="W162" s="1"/>
    </row>
    <row r="163" spans="1:23">
      <c r="A163" s="1"/>
      <c r="B163" s="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8"/>
      <c r="R163" s="8"/>
      <c r="S163" s="1"/>
      <c r="T163" s="6">
        <f t="shared" ca="1" si="4"/>
        <v>0</v>
      </c>
      <c r="U163" s="1" t="str">
        <f t="shared" si="5"/>
        <v/>
      </c>
      <c r="V163" s="1"/>
      <c r="W163" s="1"/>
    </row>
    <row r="164" spans="1:23">
      <c r="A164" s="1"/>
      <c r="B164" s="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8"/>
      <c r="R164" s="8"/>
      <c r="S164" s="1"/>
      <c r="T164" s="6">
        <f t="shared" ca="1" si="4"/>
        <v>0</v>
      </c>
      <c r="U164" s="1" t="str">
        <f t="shared" si="5"/>
        <v/>
      </c>
      <c r="V164" s="1"/>
      <c r="W164" s="1"/>
    </row>
    <row r="165" spans="1:23">
      <c r="A165" s="1"/>
      <c r="B165" s="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8"/>
      <c r="R165" s="8"/>
      <c r="S165" s="1"/>
      <c r="T165" s="6">
        <f t="shared" ca="1" si="4"/>
        <v>0</v>
      </c>
      <c r="U165" s="1" t="str">
        <f t="shared" si="5"/>
        <v/>
      </c>
      <c r="V165" s="1"/>
      <c r="W165" s="1"/>
    </row>
    <row r="166" spans="1:23">
      <c r="A166" s="1"/>
      <c r="B166" s="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8"/>
      <c r="R166" s="8"/>
      <c r="S166" s="1"/>
      <c r="T166" s="6">
        <f t="shared" ca="1" si="4"/>
        <v>0</v>
      </c>
      <c r="U166" s="1" t="str">
        <f t="shared" si="5"/>
        <v/>
      </c>
      <c r="V166" s="1"/>
      <c r="W166" s="1"/>
    </row>
    <row r="167" spans="1:23">
      <c r="A167" s="1"/>
      <c r="B167" s="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8"/>
      <c r="R167" s="8"/>
      <c r="S167" s="1"/>
      <c r="T167" s="6">
        <f t="shared" ca="1" si="4"/>
        <v>0</v>
      </c>
      <c r="U167" s="1" t="str">
        <f t="shared" si="5"/>
        <v/>
      </c>
      <c r="V167" s="1"/>
      <c r="W167" s="1"/>
    </row>
    <row r="168" spans="1:23">
      <c r="A168" s="1"/>
      <c r="B168" s="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8"/>
      <c r="R168" s="8"/>
      <c r="S168" s="1"/>
      <c r="T168" s="6">
        <f t="shared" ca="1" si="4"/>
        <v>0</v>
      </c>
      <c r="U168" s="1" t="str">
        <f t="shared" si="5"/>
        <v/>
      </c>
      <c r="V168" s="1"/>
      <c r="W168" s="1"/>
    </row>
    <row r="169" spans="1:23">
      <c r="A169" s="1"/>
      <c r="B169" s="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8"/>
      <c r="R169" s="8"/>
      <c r="S169" s="1"/>
      <c r="T169" s="6">
        <f t="shared" ca="1" si="4"/>
        <v>0</v>
      </c>
      <c r="U169" s="1" t="str">
        <f t="shared" si="5"/>
        <v/>
      </c>
      <c r="V169" s="1"/>
      <c r="W169" s="1"/>
    </row>
    <row r="170" spans="1:23">
      <c r="A170" s="1"/>
      <c r="B170" s="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8"/>
      <c r="R170" s="8"/>
      <c r="S170" s="1"/>
      <c r="T170" s="6">
        <f t="shared" ca="1" si="4"/>
        <v>0</v>
      </c>
      <c r="U170" s="1" t="str">
        <f t="shared" si="5"/>
        <v/>
      </c>
      <c r="V170" s="1"/>
      <c r="W170" s="1"/>
    </row>
    <row r="171" spans="1:23">
      <c r="A171" s="1"/>
      <c r="B171" s="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8"/>
      <c r="R171" s="8"/>
      <c r="S171" s="1"/>
      <c r="T171" s="6">
        <f t="shared" ca="1" si="4"/>
        <v>0</v>
      </c>
      <c r="U171" s="1" t="str">
        <f t="shared" si="5"/>
        <v/>
      </c>
      <c r="V171" s="1"/>
      <c r="W171" s="1"/>
    </row>
    <row r="172" spans="1:23">
      <c r="A172" s="1"/>
      <c r="B172" s="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8"/>
      <c r="R172" s="8"/>
      <c r="S172" s="1"/>
      <c r="T172" s="6">
        <f t="shared" ca="1" si="4"/>
        <v>0</v>
      </c>
      <c r="U172" s="1" t="str">
        <f t="shared" si="5"/>
        <v/>
      </c>
      <c r="V172" s="1"/>
      <c r="W172" s="1"/>
    </row>
    <row r="173" spans="1:23">
      <c r="A173" s="1"/>
      <c r="B173" s="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8"/>
      <c r="R173" s="8"/>
      <c r="S173" s="1"/>
      <c r="T173" s="6">
        <f t="shared" ca="1" si="4"/>
        <v>0</v>
      </c>
      <c r="U173" s="1" t="str">
        <f t="shared" si="5"/>
        <v/>
      </c>
      <c r="V173" s="1"/>
      <c r="W173" s="1"/>
    </row>
    <row r="174" spans="1:23">
      <c r="A174" s="1"/>
      <c r="B174" s="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8"/>
      <c r="R174" s="8"/>
      <c r="S174" s="1"/>
      <c r="T174" s="6">
        <f t="shared" ca="1" si="4"/>
        <v>0</v>
      </c>
      <c r="U174" s="1" t="str">
        <f t="shared" si="5"/>
        <v/>
      </c>
      <c r="V174" s="1"/>
      <c r="W174" s="1"/>
    </row>
    <row r="175" spans="1:23">
      <c r="A175" s="1"/>
      <c r="B175" s="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8"/>
      <c r="R175" s="8"/>
      <c r="S175" s="1"/>
      <c r="T175" s="6">
        <f t="shared" ca="1" si="4"/>
        <v>0</v>
      </c>
      <c r="U175" s="1" t="str">
        <f t="shared" si="5"/>
        <v/>
      </c>
      <c r="V175" s="1"/>
      <c r="W175" s="1"/>
    </row>
    <row r="176" spans="1:23">
      <c r="A176" s="1"/>
      <c r="B176" s="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8"/>
      <c r="R176" s="8"/>
      <c r="S176" s="1"/>
      <c r="T176" s="6">
        <f t="shared" ca="1" si="4"/>
        <v>0</v>
      </c>
      <c r="U176" s="1" t="str">
        <f t="shared" si="5"/>
        <v/>
      </c>
      <c r="V176" s="1"/>
      <c r="W176" s="1"/>
    </row>
    <row r="177" spans="1:23">
      <c r="A177" s="1"/>
      <c r="B177" s="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8"/>
      <c r="R177" s="8"/>
      <c r="S177" s="1"/>
      <c r="T177" s="6">
        <f t="shared" ca="1" si="4"/>
        <v>0</v>
      </c>
      <c r="U177" s="1" t="str">
        <f t="shared" si="5"/>
        <v/>
      </c>
      <c r="V177" s="1"/>
      <c r="W177" s="1"/>
    </row>
    <row r="178" spans="1:23">
      <c r="A178" s="1"/>
      <c r="B178" s="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8"/>
      <c r="R178" s="8"/>
      <c r="S178" s="1"/>
      <c r="T178" s="6">
        <f t="shared" ca="1" si="4"/>
        <v>0</v>
      </c>
      <c r="U178" s="1" t="str">
        <f t="shared" si="5"/>
        <v/>
      </c>
      <c r="V178" s="1"/>
      <c r="W178" s="1"/>
    </row>
    <row r="179" spans="1:23">
      <c r="A179" s="1"/>
      <c r="B179" s="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8"/>
      <c r="R179" s="8"/>
      <c r="S179" s="1"/>
      <c r="T179" s="6">
        <f t="shared" ca="1" si="4"/>
        <v>0</v>
      </c>
      <c r="U179" s="1" t="str">
        <f t="shared" si="5"/>
        <v/>
      </c>
      <c r="V179" s="1"/>
      <c r="W179" s="1"/>
    </row>
    <row r="180" spans="1:23">
      <c r="A180" s="1"/>
      <c r="B180" s="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8"/>
      <c r="R180" s="8"/>
      <c r="S180" s="1"/>
      <c r="T180" s="6">
        <f t="shared" ca="1" si="4"/>
        <v>0</v>
      </c>
      <c r="U180" s="1" t="str">
        <f t="shared" si="5"/>
        <v/>
      </c>
      <c r="V180" s="1"/>
      <c r="W180" s="1"/>
    </row>
    <row r="181" spans="1:23">
      <c r="A181" s="1"/>
      <c r="B181" s="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8"/>
      <c r="R181" s="8"/>
      <c r="S181" s="1"/>
      <c r="T181" s="6">
        <f t="shared" ca="1" si="4"/>
        <v>0</v>
      </c>
      <c r="U181" s="1" t="str">
        <f t="shared" si="5"/>
        <v/>
      </c>
      <c r="V181" s="1"/>
      <c r="W181" s="1"/>
    </row>
    <row r="182" spans="1:23">
      <c r="A182" s="1"/>
      <c r="B182" s="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8"/>
      <c r="R182" s="8"/>
      <c r="S182" s="1"/>
      <c r="T182" s="6">
        <f t="shared" ca="1" si="4"/>
        <v>0</v>
      </c>
      <c r="U182" s="1" t="str">
        <f t="shared" si="5"/>
        <v/>
      </c>
      <c r="V182" s="1"/>
      <c r="W182" s="1"/>
    </row>
    <row r="183" spans="1:23">
      <c r="A183" s="1"/>
      <c r="B183" s="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8"/>
      <c r="R183" s="8"/>
      <c r="S183" s="1"/>
      <c r="T183" s="6">
        <f t="shared" ca="1" si="4"/>
        <v>0</v>
      </c>
      <c r="U183" s="1" t="str">
        <f t="shared" si="5"/>
        <v/>
      </c>
      <c r="V183" s="1"/>
      <c r="W183" s="1"/>
    </row>
    <row r="184" spans="1:23">
      <c r="A184" s="1"/>
      <c r="B184" s="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8"/>
      <c r="R184" s="8"/>
      <c r="S184" s="1"/>
      <c r="T184" s="6">
        <f t="shared" ca="1" si="4"/>
        <v>0</v>
      </c>
      <c r="U184" s="1" t="str">
        <f t="shared" si="5"/>
        <v/>
      </c>
      <c r="V184" s="1"/>
      <c r="W184" s="1"/>
    </row>
    <row r="185" spans="1:23">
      <c r="A185" s="1"/>
      <c r="B185" s="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8"/>
      <c r="R185" s="8"/>
      <c r="S185" s="1"/>
      <c r="T185" s="6">
        <f t="shared" ca="1" si="4"/>
        <v>0</v>
      </c>
      <c r="U185" s="1" t="str">
        <f t="shared" si="5"/>
        <v/>
      </c>
      <c r="V185" s="1"/>
      <c r="W185" s="1"/>
    </row>
    <row r="186" spans="1:23">
      <c r="A186" s="1"/>
      <c r="B186" s="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8"/>
      <c r="R186" s="8"/>
      <c r="S186" s="1"/>
      <c r="T186" s="6">
        <f t="shared" ca="1" si="4"/>
        <v>0</v>
      </c>
      <c r="U186" s="1" t="str">
        <f t="shared" si="5"/>
        <v/>
      </c>
      <c r="V186" s="1"/>
      <c r="W186" s="1"/>
    </row>
    <row r="187" spans="1:23">
      <c r="A187" s="1"/>
      <c r="B187" s="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8"/>
      <c r="R187" s="8"/>
      <c r="S187" s="1"/>
      <c r="T187" s="6">
        <f t="shared" ca="1" si="4"/>
        <v>0</v>
      </c>
      <c r="U187" s="1" t="str">
        <f t="shared" si="5"/>
        <v/>
      </c>
      <c r="V187" s="1"/>
      <c r="W187" s="1"/>
    </row>
    <row r="188" spans="1:23">
      <c r="A188" s="1"/>
      <c r="B188" s="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8"/>
      <c r="R188" s="8"/>
      <c r="S188" s="1"/>
      <c r="T188" s="6">
        <f t="shared" ca="1" si="4"/>
        <v>0</v>
      </c>
      <c r="U188" s="1" t="str">
        <f t="shared" si="5"/>
        <v/>
      </c>
      <c r="V188" s="1"/>
      <c r="W188" s="1"/>
    </row>
    <row r="189" spans="1:23">
      <c r="A189" s="1"/>
      <c r="B189" s="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8"/>
      <c r="R189" s="8"/>
      <c r="S189" s="1"/>
      <c r="T189" s="6">
        <f t="shared" ca="1" si="4"/>
        <v>0</v>
      </c>
      <c r="U189" s="1" t="str">
        <f t="shared" si="5"/>
        <v/>
      </c>
      <c r="V189" s="1"/>
      <c r="W189" s="1"/>
    </row>
    <row r="190" spans="1:23">
      <c r="A190" s="1"/>
      <c r="B190" s="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8"/>
      <c r="R190" s="8"/>
      <c r="S190" s="1"/>
      <c r="T190" s="6">
        <f t="shared" ca="1" si="4"/>
        <v>0</v>
      </c>
      <c r="U190" s="1" t="str">
        <f t="shared" si="5"/>
        <v/>
      </c>
      <c r="V190" s="1"/>
      <c r="W190" s="1"/>
    </row>
    <row r="191" spans="1:23">
      <c r="A191" s="1"/>
      <c r="B191" s="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8"/>
      <c r="R191" s="8"/>
      <c r="S191" s="1"/>
      <c r="T191" s="6">
        <f t="shared" ca="1" si="4"/>
        <v>0</v>
      </c>
      <c r="U191" s="1" t="str">
        <f t="shared" si="5"/>
        <v/>
      </c>
      <c r="V191" s="1"/>
      <c r="W191" s="1"/>
    </row>
    <row r="192" spans="1:23">
      <c r="A192" s="1"/>
      <c r="B192" s="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8"/>
      <c r="R192" s="8"/>
      <c r="S192" s="1"/>
      <c r="T192" s="6">
        <f t="shared" ca="1" si="4"/>
        <v>0</v>
      </c>
      <c r="U192" s="1" t="str">
        <f t="shared" si="5"/>
        <v/>
      </c>
      <c r="V192" s="1"/>
      <c r="W192" s="1"/>
    </row>
    <row r="193" spans="1:23">
      <c r="A193" s="1"/>
      <c r="B193" s="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8"/>
      <c r="R193" s="8"/>
      <c r="S193" s="1"/>
      <c r="T193" s="6">
        <f t="shared" ca="1" si="4"/>
        <v>0</v>
      </c>
      <c r="U193" s="1" t="str">
        <f t="shared" si="5"/>
        <v/>
      </c>
      <c r="V193" s="1"/>
      <c r="W193" s="1"/>
    </row>
    <row r="194" spans="1:23">
      <c r="A194" s="1"/>
      <c r="B194" s="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8"/>
      <c r="R194" s="8"/>
      <c r="S194" s="1"/>
      <c r="T194" s="6">
        <f t="shared" ref="T194:T257" ca="1" si="6">IF(AND(S194&lt;&gt;"Clôturée",Q194&lt;&gt;"",TODAY()&gt;Q194),TODAY()-Q194,0)</f>
        <v>0</v>
      </c>
      <c r="U194" s="1" t="str">
        <f t="shared" ref="U194:U257" si="7">IF(M194="Critique","P1",IF(M194="Majeure","P2",IF(M194="Mineure","P3","")))</f>
        <v/>
      </c>
      <c r="V194" s="1"/>
      <c r="W194" s="1"/>
    </row>
    <row r="195" spans="1:23">
      <c r="A195" s="1"/>
      <c r="B195" s="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8"/>
      <c r="R195" s="8"/>
      <c r="S195" s="1"/>
      <c r="T195" s="6">
        <f t="shared" ca="1" si="6"/>
        <v>0</v>
      </c>
      <c r="U195" s="1" t="str">
        <f t="shared" si="7"/>
        <v/>
      </c>
      <c r="V195" s="1"/>
      <c r="W195" s="1"/>
    </row>
    <row r="196" spans="1:23">
      <c r="A196" s="1"/>
      <c r="B196" s="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8"/>
      <c r="R196" s="8"/>
      <c r="S196" s="1"/>
      <c r="T196" s="6">
        <f t="shared" ca="1" si="6"/>
        <v>0</v>
      </c>
      <c r="U196" s="1" t="str">
        <f t="shared" si="7"/>
        <v/>
      </c>
      <c r="V196" s="1"/>
      <c r="W196" s="1"/>
    </row>
    <row r="197" spans="1:23">
      <c r="A197" s="1"/>
      <c r="B197" s="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8"/>
      <c r="R197" s="8"/>
      <c r="S197" s="1"/>
      <c r="T197" s="6">
        <f t="shared" ca="1" si="6"/>
        <v>0</v>
      </c>
      <c r="U197" s="1" t="str">
        <f t="shared" si="7"/>
        <v/>
      </c>
      <c r="V197" s="1"/>
      <c r="W197" s="1"/>
    </row>
    <row r="198" spans="1:23">
      <c r="A198" s="1"/>
      <c r="B198" s="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8"/>
      <c r="R198" s="8"/>
      <c r="S198" s="1"/>
      <c r="T198" s="6">
        <f t="shared" ca="1" si="6"/>
        <v>0</v>
      </c>
      <c r="U198" s="1" t="str">
        <f t="shared" si="7"/>
        <v/>
      </c>
      <c r="V198" s="1"/>
      <c r="W198" s="1"/>
    </row>
    <row r="199" spans="1:23">
      <c r="A199" s="1"/>
      <c r="B199" s="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8"/>
      <c r="R199" s="8"/>
      <c r="S199" s="1"/>
      <c r="T199" s="6">
        <f t="shared" ca="1" si="6"/>
        <v>0</v>
      </c>
      <c r="U199" s="1" t="str">
        <f t="shared" si="7"/>
        <v/>
      </c>
      <c r="V199" s="1"/>
      <c r="W199" s="1"/>
    </row>
    <row r="200" spans="1:23">
      <c r="A200" s="1"/>
      <c r="B200" s="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8"/>
      <c r="R200" s="8"/>
      <c r="S200" s="1"/>
      <c r="T200" s="6">
        <f t="shared" ca="1" si="6"/>
        <v>0</v>
      </c>
      <c r="U200" s="1" t="str">
        <f t="shared" si="7"/>
        <v/>
      </c>
      <c r="V200" s="1"/>
      <c r="W200" s="1"/>
    </row>
    <row r="201" spans="1:23">
      <c r="A201" s="1"/>
      <c r="B201" s="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8"/>
      <c r="R201" s="8"/>
      <c r="S201" s="1"/>
      <c r="T201" s="6">
        <f t="shared" ca="1" si="6"/>
        <v>0</v>
      </c>
      <c r="U201" s="1" t="str">
        <f t="shared" si="7"/>
        <v/>
      </c>
      <c r="V201" s="1"/>
      <c r="W201" s="1"/>
    </row>
    <row r="202" spans="1:23">
      <c r="A202" s="1"/>
      <c r="B202" s="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8"/>
      <c r="R202" s="8"/>
      <c r="S202" s="1"/>
      <c r="T202" s="6">
        <f t="shared" ca="1" si="6"/>
        <v>0</v>
      </c>
      <c r="U202" s="1" t="str">
        <f t="shared" si="7"/>
        <v/>
      </c>
      <c r="V202" s="1"/>
      <c r="W202" s="1"/>
    </row>
    <row r="203" spans="1:23">
      <c r="A203" s="1"/>
      <c r="B203" s="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8"/>
      <c r="R203" s="8"/>
      <c r="S203" s="1"/>
      <c r="T203" s="6">
        <f t="shared" ca="1" si="6"/>
        <v>0</v>
      </c>
      <c r="U203" s="1" t="str">
        <f t="shared" si="7"/>
        <v/>
      </c>
      <c r="V203" s="1"/>
      <c r="W203" s="1"/>
    </row>
    <row r="204" spans="1:23">
      <c r="A204" s="1"/>
      <c r="B204" s="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8"/>
      <c r="R204" s="8"/>
      <c r="S204" s="1"/>
      <c r="T204" s="6">
        <f t="shared" ca="1" si="6"/>
        <v>0</v>
      </c>
      <c r="U204" s="1" t="str">
        <f t="shared" si="7"/>
        <v/>
      </c>
      <c r="V204" s="1"/>
      <c r="W204" s="1"/>
    </row>
    <row r="205" spans="1:23">
      <c r="A205" s="1"/>
      <c r="B205" s="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8"/>
      <c r="R205" s="8"/>
      <c r="S205" s="1"/>
      <c r="T205" s="6">
        <f t="shared" ca="1" si="6"/>
        <v>0</v>
      </c>
      <c r="U205" s="1" t="str">
        <f t="shared" si="7"/>
        <v/>
      </c>
      <c r="V205" s="1"/>
      <c r="W205" s="1"/>
    </row>
    <row r="206" spans="1:23">
      <c r="A206" s="1"/>
      <c r="B206" s="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8"/>
      <c r="R206" s="8"/>
      <c r="S206" s="1"/>
      <c r="T206" s="6">
        <f t="shared" ca="1" si="6"/>
        <v>0</v>
      </c>
      <c r="U206" s="1" t="str">
        <f t="shared" si="7"/>
        <v/>
      </c>
      <c r="V206" s="1"/>
      <c r="W206" s="1"/>
    </row>
    <row r="207" spans="1:23">
      <c r="A207" s="1"/>
      <c r="B207" s="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8"/>
      <c r="R207" s="8"/>
      <c r="S207" s="1"/>
      <c r="T207" s="6">
        <f t="shared" ca="1" si="6"/>
        <v>0</v>
      </c>
      <c r="U207" s="1" t="str">
        <f t="shared" si="7"/>
        <v/>
      </c>
      <c r="V207" s="1"/>
      <c r="W207" s="1"/>
    </row>
    <row r="208" spans="1:23">
      <c r="A208" s="1"/>
      <c r="B208" s="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8"/>
      <c r="R208" s="8"/>
      <c r="S208" s="1"/>
      <c r="T208" s="6">
        <f t="shared" ca="1" si="6"/>
        <v>0</v>
      </c>
      <c r="U208" s="1" t="str">
        <f t="shared" si="7"/>
        <v/>
      </c>
      <c r="V208" s="1"/>
      <c r="W208" s="1"/>
    </row>
    <row r="209" spans="1:23">
      <c r="A209" s="1"/>
      <c r="B209" s="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8"/>
      <c r="R209" s="8"/>
      <c r="S209" s="1"/>
      <c r="T209" s="6">
        <f t="shared" ca="1" si="6"/>
        <v>0</v>
      </c>
      <c r="U209" s="1" t="str">
        <f t="shared" si="7"/>
        <v/>
      </c>
      <c r="V209" s="1"/>
      <c r="W209" s="1"/>
    </row>
    <row r="210" spans="1:23">
      <c r="A210" s="1"/>
      <c r="B210" s="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8"/>
      <c r="R210" s="8"/>
      <c r="S210" s="1"/>
      <c r="T210" s="6">
        <f t="shared" ca="1" si="6"/>
        <v>0</v>
      </c>
      <c r="U210" s="1" t="str">
        <f t="shared" si="7"/>
        <v/>
      </c>
      <c r="V210" s="1"/>
      <c r="W210" s="1"/>
    </row>
    <row r="211" spans="1:23">
      <c r="A211" s="1"/>
      <c r="B211" s="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8"/>
      <c r="R211" s="8"/>
      <c r="S211" s="1"/>
      <c r="T211" s="6">
        <f t="shared" ca="1" si="6"/>
        <v>0</v>
      </c>
      <c r="U211" s="1" t="str">
        <f t="shared" si="7"/>
        <v/>
      </c>
      <c r="V211" s="1"/>
      <c r="W211" s="1"/>
    </row>
    <row r="212" spans="1:23">
      <c r="A212" s="1"/>
      <c r="B212" s="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8"/>
      <c r="R212" s="8"/>
      <c r="S212" s="1"/>
      <c r="T212" s="6">
        <f t="shared" ca="1" si="6"/>
        <v>0</v>
      </c>
      <c r="U212" s="1" t="str">
        <f t="shared" si="7"/>
        <v/>
      </c>
      <c r="V212" s="1"/>
      <c r="W212" s="1"/>
    </row>
    <row r="213" spans="1:23">
      <c r="A213" s="1"/>
      <c r="B213" s="8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8"/>
      <c r="R213" s="8"/>
      <c r="S213" s="1"/>
      <c r="T213" s="6">
        <f t="shared" ca="1" si="6"/>
        <v>0</v>
      </c>
      <c r="U213" s="1" t="str">
        <f t="shared" si="7"/>
        <v/>
      </c>
      <c r="V213" s="1"/>
      <c r="W213" s="1"/>
    </row>
    <row r="214" spans="1:23">
      <c r="A214" s="1"/>
      <c r="B214" s="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8"/>
      <c r="R214" s="8"/>
      <c r="S214" s="1"/>
      <c r="T214" s="6">
        <f t="shared" ca="1" si="6"/>
        <v>0</v>
      </c>
      <c r="U214" s="1" t="str">
        <f t="shared" si="7"/>
        <v/>
      </c>
      <c r="V214" s="1"/>
      <c r="W214" s="1"/>
    </row>
    <row r="215" spans="1:23">
      <c r="A215" s="1"/>
      <c r="B215" s="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8"/>
      <c r="R215" s="8"/>
      <c r="S215" s="1"/>
      <c r="T215" s="6">
        <f t="shared" ca="1" si="6"/>
        <v>0</v>
      </c>
      <c r="U215" s="1" t="str">
        <f t="shared" si="7"/>
        <v/>
      </c>
      <c r="V215" s="1"/>
      <c r="W215" s="1"/>
    </row>
    <row r="216" spans="1:23">
      <c r="A216" s="1"/>
      <c r="B216" s="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8"/>
      <c r="R216" s="8"/>
      <c r="S216" s="1"/>
      <c r="T216" s="6">
        <f t="shared" ca="1" si="6"/>
        <v>0</v>
      </c>
      <c r="U216" s="1" t="str">
        <f t="shared" si="7"/>
        <v/>
      </c>
      <c r="V216" s="1"/>
      <c r="W216" s="1"/>
    </row>
    <row r="217" spans="1:23">
      <c r="A217" s="1"/>
      <c r="B217" s="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8"/>
      <c r="R217" s="8"/>
      <c r="S217" s="1"/>
      <c r="T217" s="6">
        <f t="shared" ca="1" si="6"/>
        <v>0</v>
      </c>
      <c r="U217" s="1" t="str">
        <f t="shared" si="7"/>
        <v/>
      </c>
      <c r="V217" s="1"/>
      <c r="W217" s="1"/>
    </row>
    <row r="218" spans="1:23">
      <c r="A218" s="1"/>
      <c r="B218" s="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8"/>
      <c r="R218" s="8"/>
      <c r="S218" s="1"/>
      <c r="T218" s="6">
        <f t="shared" ca="1" si="6"/>
        <v>0</v>
      </c>
      <c r="U218" s="1" t="str">
        <f t="shared" si="7"/>
        <v/>
      </c>
      <c r="V218" s="1"/>
      <c r="W218" s="1"/>
    </row>
    <row r="219" spans="1:23">
      <c r="A219" s="1"/>
      <c r="B219" s="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8"/>
      <c r="R219" s="8"/>
      <c r="S219" s="1"/>
      <c r="T219" s="6">
        <f t="shared" ca="1" si="6"/>
        <v>0</v>
      </c>
      <c r="U219" s="1" t="str">
        <f t="shared" si="7"/>
        <v/>
      </c>
      <c r="V219" s="1"/>
      <c r="W219" s="1"/>
    </row>
    <row r="220" spans="1:23">
      <c r="A220" s="1"/>
      <c r="B220" s="8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8"/>
      <c r="R220" s="8"/>
      <c r="S220" s="1"/>
      <c r="T220" s="6">
        <f t="shared" ca="1" si="6"/>
        <v>0</v>
      </c>
      <c r="U220" s="1" t="str">
        <f t="shared" si="7"/>
        <v/>
      </c>
      <c r="V220" s="1"/>
      <c r="W220" s="1"/>
    </row>
    <row r="221" spans="1:23">
      <c r="A221" s="1"/>
      <c r="B221" s="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8"/>
      <c r="R221" s="8"/>
      <c r="S221" s="1"/>
      <c r="T221" s="6">
        <f t="shared" ca="1" si="6"/>
        <v>0</v>
      </c>
      <c r="U221" s="1" t="str">
        <f t="shared" si="7"/>
        <v/>
      </c>
      <c r="V221" s="1"/>
      <c r="W221" s="1"/>
    </row>
    <row r="222" spans="1:23">
      <c r="A222" s="1"/>
      <c r="B222" s="8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8"/>
      <c r="R222" s="8"/>
      <c r="S222" s="1"/>
      <c r="T222" s="6">
        <f t="shared" ca="1" si="6"/>
        <v>0</v>
      </c>
      <c r="U222" s="1" t="str">
        <f t="shared" si="7"/>
        <v/>
      </c>
      <c r="V222" s="1"/>
      <c r="W222" s="1"/>
    </row>
    <row r="223" spans="1:23">
      <c r="A223" s="1"/>
      <c r="B223" s="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8"/>
      <c r="R223" s="8"/>
      <c r="S223" s="1"/>
      <c r="T223" s="6">
        <f t="shared" ca="1" si="6"/>
        <v>0</v>
      </c>
      <c r="U223" s="1" t="str">
        <f t="shared" si="7"/>
        <v/>
      </c>
      <c r="V223" s="1"/>
      <c r="W223" s="1"/>
    </row>
    <row r="224" spans="1:23">
      <c r="A224" s="1"/>
      <c r="B224" s="8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8"/>
      <c r="R224" s="8"/>
      <c r="S224" s="1"/>
      <c r="T224" s="6">
        <f t="shared" ca="1" si="6"/>
        <v>0</v>
      </c>
      <c r="U224" s="1" t="str">
        <f t="shared" si="7"/>
        <v/>
      </c>
      <c r="V224" s="1"/>
      <c r="W224" s="1"/>
    </row>
    <row r="225" spans="1:23">
      <c r="A225" s="1"/>
      <c r="B225" s="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8"/>
      <c r="R225" s="8"/>
      <c r="S225" s="1"/>
      <c r="T225" s="6">
        <f t="shared" ca="1" si="6"/>
        <v>0</v>
      </c>
      <c r="U225" s="1" t="str">
        <f t="shared" si="7"/>
        <v/>
      </c>
      <c r="V225" s="1"/>
      <c r="W225" s="1"/>
    </row>
    <row r="226" spans="1:23">
      <c r="A226" s="1"/>
      <c r="B226" s="8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8"/>
      <c r="R226" s="8"/>
      <c r="S226" s="1"/>
      <c r="T226" s="6">
        <f t="shared" ca="1" si="6"/>
        <v>0</v>
      </c>
      <c r="U226" s="1" t="str">
        <f t="shared" si="7"/>
        <v/>
      </c>
      <c r="V226" s="1"/>
      <c r="W226" s="1"/>
    </row>
    <row r="227" spans="1:23">
      <c r="A227" s="1"/>
      <c r="B227" s="8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8"/>
      <c r="R227" s="8"/>
      <c r="S227" s="1"/>
      <c r="T227" s="6">
        <f t="shared" ca="1" si="6"/>
        <v>0</v>
      </c>
      <c r="U227" s="1" t="str">
        <f t="shared" si="7"/>
        <v/>
      </c>
      <c r="V227" s="1"/>
      <c r="W227" s="1"/>
    </row>
    <row r="228" spans="1:23">
      <c r="A228" s="1"/>
      <c r="B228" s="8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8"/>
      <c r="R228" s="8"/>
      <c r="S228" s="1"/>
      <c r="T228" s="6">
        <f t="shared" ca="1" si="6"/>
        <v>0</v>
      </c>
      <c r="U228" s="1" t="str">
        <f t="shared" si="7"/>
        <v/>
      </c>
      <c r="V228" s="1"/>
      <c r="W228" s="1"/>
    </row>
    <row r="229" spans="1:23">
      <c r="A229" s="1"/>
      <c r="B229" s="8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8"/>
      <c r="R229" s="8"/>
      <c r="S229" s="1"/>
      <c r="T229" s="6">
        <f t="shared" ca="1" si="6"/>
        <v>0</v>
      </c>
      <c r="U229" s="1" t="str">
        <f t="shared" si="7"/>
        <v/>
      </c>
      <c r="V229" s="1"/>
      <c r="W229" s="1"/>
    </row>
    <row r="230" spans="1:23">
      <c r="A230" s="1"/>
      <c r="B230" s="8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8"/>
      <c r="R230" s="8"/>
      <c r="S230" s="1"/>
      <c r="T230" s="6">
        <f t="shared" ca="1" si="6"/>
        <v>0</v>
      </c>
      <c r="U230" s="1" t="str">
        <f t="shared" si="7"/>
        <v/>
      </c>
      <c r="V230" s="1"/>
      <c r="W230" s="1"/>
    </row>
    <row r="231" spans="1:23">
      <c r="A231" s="1"/>
      <c r="B231" s="8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8"/>
      <c r="R231" s="8"/>
      <c r="S231" s="1"/>
      <c r="T231" s="6">
        <f t="shared" ca="1" si="6"/>
        <v>0</v>
      </c>
      <c r="U231" s="1" t="str">
        <f t="shared" si="7"/>
        <v/>
      </c>
      <c r="V231" s="1"/>
      <c r="W231" s="1"/>
    </row>
    <row r="232" spans="1:23">
      <c r="A232" s="1"/>
      <c r="B232" s="8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8"/>
      <c r="R232" s="8"/>
      <c r="S232" s="1"/>
      <c r="T232" s="6">
        <f t="shared" ca="1" si="6"/>
        <v>0</v>
      </c>
      <c r="U232" s="1" t="str">
        <f t="shared" si="7"/>
        <v/>
      </c>
      <c r="V232" s="1"/>
      <c r="W232" s="1"/>
    </row>
    <row r="233" spans="1:23">
      <c r="A233" s="1"/>
      <c r="B233" s="8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8"/>
      <c r="R233" s="8"/>
      <c r="S233" s="1"/>
      <c r="T233" s="6">
        <f t="shared" ca="1" si="6"/>
        <v>0</v>
      </c>
      <c r="U233" s="1" t="str">
        <f t="shared" si="7"/>
        <v/>
      </c>
      <c r="V233" s="1"/>
      <c r="W233" s="1"/>
    </row>
    <row r="234" spans="1:23">
      <c r="A234" s="1"/>
      <c r="B234" s="8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8"/>
      <c r="R234" s="8"/>
      <c r="S234" s="1"/>
      <c r="T234" s="6">
        <f t="shared" ca="1" si="6"/>
        <v>0</v>
      </c>
      <c r="U234" s="1" t="str">
        <f t="shared" si="7"/>
        <v/>
      </c>
      <c r="V234" s="1"/>
      <c r="W234" s="1"/>
    </row>
    <row r="235" spans="1:23">
      <c r="A235" s="1"/>
      <c r="B235" s="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8"/>
      <c r="R235" s="8"/>
      <c r="S235" s="1"/>
      <c r="T235" s="6">
        <f t="shared" ca="1" si="6"/>
        <v>0</v>
      </c>
      <c r="U235" s="1" t="str">
        <f t="shared" si="7"/>
        <v/>
      </c>
      <c r="V235" s="1"/>
      <c r="W235" s="1"/>
    </row>
    <row r="236" spans="1:23">
      <c r="A236" s="1"/>
      <c r="B236" s="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8"/>
      <c r="R236" s="8"/>
      <c r="S236" s="1"/>
      <c r="T236" s="6">
        <f t="shared" ca="1" si="6"/>
        <v>0</v>
      </c>
      <c r="U236" s="1" t="str">
        <f t="shared" si="7"/>
        <v/>
      </c>
      <c r="V236" s="1"/>
      <c r="W236" s="1"/>
    </row>
    <row r="237" spans="1:23">
      <c r="A237" s="1"/>
      <c r="B237" s="8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8"/>
      <c r="R237" s="8"/>
      <c r="S237" s="1"/>
      <c r="T237" s="6">
        <f t="shared" ca="1" si="6"/>
        <v>0</v>
      </c>
      <c r="U237" s="1" t="str">
        <f t="shared" si="7"/>
        <v/>
      </c>
      <c r="V237" s="1"/>
      <c r="W237" s="1"/>
    </row>
    <row r="238" spans="1:23">
      <c r="A238" s="1"/>
      <c r="B238" s="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8"/>
      <c r="R238" s="8"/>
      <c r="S238" s="1"/>
      <c r="T238" s="6">
        <f t="shared" ca="1" si="6"/>
        <v>0</v>
      </c>
      <c r="U238" s="1" t="str">
        <f t="shared" si="7"/>
        <v/>
      </c>
      <c r="V238" s="1"/>
      <c r="W238" s="1"/>
    </row>
    <row r="239" spans="1:23">
      <c r="A239" s="1"/>
      <c r="B239" s="8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8"/>
      <c r="R239" s="8"/>
      <c r="S239" s="1"/>
      <c r="T239" s="6">
        <f t="shared" ca="1" si="6"/>
        <v>0</v>
      </c>
      <c r="U239" s="1" t="str">
        <f t="shared" si="7"/>
        <v/>
      </c>
      <c r="V239" s="1"/>
      <c r="W239" s="1"/>
    </row>
    <row r="240" spans="1:23">
      <c r="A240" s="1"/>
      <c r="B240" s="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8"/>
      <c r="R240" s="8"/>
      <c r="S240" s="1"/>
      <c r="T240" s="6">
        <f t="shared" ca="1" si="6"/>
        <v>0</v>
      </c>
      <c r="U240" s="1" t="str">
        <f t="shared" si="7"/>
        <v/>
      </c>
      <c r="V240" s="1"/>
      <c r="W240" s="1"/>
    </row>
    <row r="241" spans="1:23">
      <c r="A241" s="1"/>
      <c r="B241" s="8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8"/>
      <c r="R241" s="8"/>
      <c r="S241" s="1"/>
      <c r="T241" s="6">
        <f t="shared" ca="1" si="6"/>
        <v>0</v>
      </c>
      <c r="U241" s="1" t="str">
        <f t="shared" si="7"/>
        <v/>
      </c>
      <c r="V241" s="1"/>
      <c r="W241" s="1"/>
    </row>
    <row r="242" spans="1:23">
      <c r="A242" s="1"/>
      <c r="B242" s="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8"/>
      <c r="R242" s="8"/>
      <c r="S242" s="1"/>
      <c r="T242" s="6">
        <f t="shared" ca="1" si="6"/>
        <v>0</v>
      </c>
      <c r="U242" s="1" t="str">
        <f t="shared" si="7"/>
        <v/>
      </c>
      <c r="V242" s="1"/>
      <c r="W242" s="1"/>
    </row>
    <row r="243" spans="1:23">
      <c r="A243" s="1"/>
      <c r="B243" s="8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8"/>
      <c r="R243" s="8"/>
      <c r="S243" s="1"/>
      <c r="T243" s="6">
        <f t="shared" ca="1" si="6"/>
        <v>0</v>
      </c>
      <c r="U243" s="1" t="str">
        <f t="shared" si="7"/>
        <v/>
      </c>
      <c r="V243" s="1"/>
      <c r="W243" s="1"/>
    </row>
    <row r="244" spans="1:23">
      <c r="A244" s="1"/>
      <c r="B244" s="8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8"/>
      <c r="R244" s="8"/>
      <c r="S244" s="1"/>
      <c r="T244" s="6">
        <f t="shared" ca="1" si="6"/>
        <v>0</v>
      </c>
      <c r="U244" s="1" t="str">
        <f t="shared" si="7"/>
        <v/>
      </c>
      <c r="V244" s="1"/>
      <c r="W244" s="1"/>
    </row>
    <row r="245" spans="1:23">
      <c r="A245" s="1"/>
      <c r="B245" s="8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8"/>
      <c r="R245" s="8"/>
      <c r="S245" s="1"/>
      <c r="T245" s="6">
        <f t="shared" ca="1" si="6"/>
        <v>0</v>
      </c>
      <c r="U245" s="1" t="str">
        <f t="shared" si="7"/>
        <v/>
      </c>
      <c r="V245" s="1"/>
      <c r="W245" s="1"/>
    </row>
    <row r="246" spans="1:23">
      <c r="A246" s="1"/>
      <c r="B246" s="8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8"/>
      <c r="R246" s="8"/>
      <c r="S246" s="1"/>
      <c r="T246" s="6">
        <f t="shared" ca="1" si="6"/>
        <v>0</v>
      </c>
      <c r="U246" s="1" t="str">
        <f t="shared" si="7"/>
        <v/>
      </c>
      <c r="V246" s="1"/>
      <c r="W246" s="1"/>
    </row>
    <row r="247" spans="1:23">
      <c r="A247" s="1"/>
      <c r="B247" s="8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8"/>
      <c r="R247" s="8"/>
      <c r="S247" s="1"/>
      <c r="T247" s="6">
        <f t="shared" ca="1" si="6"/>
        <v>0</v>
      </c>
      <c r="U247" s="1" t="str">
        <f t="shared" si="7"/>
        <v/>
      </c>
      <c r="V247" s="1"/>
      <c r="W247" s="1"/>
    </row>
    <row r="248" spans="1:23">
      <c r="A248" s="1"/>
      <c r="B248" s="8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8"/>
      <c r="R248" s="8"/>
      <c r="S248" s="1"/>
      <c r="T248" s="6">
        <f t="shared" ca="1" si="6"/>
        <v>0</v>
      </c>
      <c r="U248" s="1" t="str">
        <f t="shared" si="7"/>
        <v/>
      </c>
      <c r="V248" s="1"/>
      <c r="W248" s="1"/>
    </row>
    <row r="249" spans="1:23">
      <c r="A249" s="1"/>
      <c r="B249" s="8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8"/>
      <c r="R249" s="8"/>
      <c r="S249" s="1"/>
      <c r="T249" s="6">
        <f t="shared" ca="1" si="6"/>
        <v>0</v>
      </c>
      <c r="U249" s="1" t="str">
        <f t="shared" si="7"/>
        <v/>
      </c>
      <c r="V249" s="1"/>
      <c r="W249" s="1"/>
    </row>
    <row r="250" spans="1:23">
      <c r="A250" s="1"/>
      <c r="B250" s="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8"/>
      <c r="R250" s="8"/>
      <c r="S250" s="1"/>
      <c r="T250" s="6">
        <f t="shared" ca="1" si="6"/>
        <v>0</v>
      </c>
      <c r="U250" s="1" t="str">
        <f t="shared" si="7"/>
        <v/>
      </c>
      <c r="V250" s="1"/>
      <c r="W250" s="1"/>
    </row>
    <row r="251" spans="1:23">
      <c r="A251" s="1"/>
      <c r="B251" s="8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8"/>
      <c r="R251" s="8"/>
      <c r="S251" s="1"/>
      <c r="T251" s="6">
        <f t="shared" ca="1" si="6"/>
        <v>0</v>
      </c>
      <c r="U251" s="1" t="str">
        <f t="shared" si="7"/>
        <v/>
      </c>
      <c r="V251" s="1"/>
      <c r="W251" s="1"/>
    </row>
    <row r="252" spans="1:23">
      <c r="A252" s="1"/>
      <c r="B252" s="8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8"/>
      <c r="R252" s="8"/>
      <c r="S252" s="1"/>
      <c r="T252" s="6">
        <f t="shared" ca="1" si="6"/>
        <v>0</v>
      </c>
      <c r="U252" s="1" t="str">
        <f t="shared" si="7"/>
        <v/>
      </c>
      <c r="V252" s="1"/>
      <c r="W252" s="1"/>
    </row>
    <row r="253" spans="1:23">
      <c r="A253" s="1"/>
      <c r="B253" s="8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8"/>
      <c r="R253" s="8"/>
      <c r="S253" s="1"/>
      <c r="T253" s="6">
        <f t="shared" ca="1" si="6"/>
        <v>0</v>
      </c>
      <c r="U253" s="1" t="str">
        <f t="shared" si="7"/>
        <v/>
      </c>
      <c r="V253" s="1"/>
      <c r="W253" s="1"/>
    </row>
    <row r="254" spans="1:23">
      <c r="A254" s="1"/>
      <c r="B254" s="8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8"/>
      <c r="R254" s="8"/>
      <c r="S254" s="1"/>
      <c r="T254" s="6">
        <f t="shared" ca="1" si="6"/>
        <v>0</v>
      </c>
      <c r="U254" s="1" t="str">
        <f t="shared" si="7"/>
        <v/>
      </c>
      <c r="V254" s="1"/>
      <c r="W254" s="1"/>
    </row>
    <row r="255" spans="1:23">
      <c r="A255" s="1"/>
      <c r="B255" s="8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8"/>
      <c r="R255" s="8"/>
      <c r="S255" s="1"/>
      <c r="T255" s="6">
        <f t="shared" ca="1" si="6"/>
        <v>0</v>
      </c>
      <c r="U255" s="1" t="str">
        <f t="shared" si="7"/>
        <v/>
      </c>
      <c r="V255" s="1"/>
      <c r="W255" s="1"/>
    </row>
    <row r="256" spans="1:23">
      <c r="A256" s="1"/>
      <c r="B256" s="8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8"/>
      <c r="R256" s="8"/>
      <c r="S256" s="1"/>
      <c r="T256" s="6">
        <f t="shared" ca="1" si="6"/>
        <v>0</v>
      </c>
      <c r="U256" s="1" t="str">
        <f t="shared" si="7"/>
        <v/>
      </c>
      <c r="V256" s="1"/>
      <c r="W256" s="1"/>
    </row>
    <row r="257" spans="1:23">
      <c r="A257" s="1"/>
      <c r="B257" s="8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8"/>
      <c r="R257" s="8"/>
      <c r="S257" s="1"/>
      <c r="T257" s="6">
        <f t="shared" ca="1" si="6"/>
        <v>0</v>
      </c>
      <c r="U257" s="1" t="str">
        <f t="shared" si="7"/>
        <v/>
      </c>
      <c r="V257" s="1"/>
      <c r="W257" s="1"/>
    </row>
    <row r="258" spans="1:23">
      <c r="A258" s="1"/>
      <c r="B258" s="8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8"/>
      <c r="R258" s="8"/>
      <c r="S258" s="1"/>
      <c r="T258" s="6">
        <f t="shared" ref="T258:T297" ca="1" si="8">IF(AND(S258&lt;&gt;"Clôturée",Q258&lt;&gt;"",TODAY()&gt;Q258),TODAY()-Q258,0)</f>
        <v>0</v>
      </c>
      <c r="U258" s="1" t="str">
        <f t="shared" ref="U258:U297" si="9">IF(M258="Critique","P1",IF(M258="Majeure","P2",IF(M258="Mineure","P3","")))</f>
        <v/>
      </c>
      <c r="V258" s="1"/>
      <c r="W258" s="1"/>
    </row>
    <row r="259" spans="1:23">
      <c r="A259" s="1"/>
      <c r="B259" s="8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8"/>
      <c r="R259" s="8"/>
      <c r="S259" s="1"/>
      <c r="T259" s="6">
        <f t="shared" ca="1" si="8"/>
        <v>0</v>
      </c>
      <c r="U259" s="1" t="str">
        <f t="shared" si="9"/>
        <v/>
      </c>
      <c r="V259" s="1"/>
      <c r="W259" s="1"/>
    </row>
    <row r="260" spans="1:23">
      <c r="A260" s="1"/>
      <c r="B260" s="8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8"/>
      <c r="R260" s="8"/>
      <c r="S260" s="1"/>
      <c r="T260" s="6">
        <f t="shared" ca="1" si="8"/>
        <v>0</v>
      </c>
      <c r="U260" s="1" t="str">
        <f t="shared" si="9"/>
        <v/>
      </c>
      <c r="V260" s="1"/>
      <c r="W260" s="1"/>
    </row>
    <row r="261" spans="1:23">
      <c r="A261" s="1"/>
      <c r="B261" s="8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8"/>
      <c r="R261" s="8"/>
      <c r="S261" s="1"/>
      <c r="T261" s="6">
        <f t="shared" ca="1" si="8"/>
        <v>0</v>
      </c>
      <c r="U261" s="1" t="str">
        <f t="shared" si="9"/>
        <v/>
      </c>
      <c r="V261" s="1"/>
      <c r="W261" s="1"/>
    </row>
    <row r="262" spans="1:23">
      <c r="A262" s="1"/>
      <c r="B262" s="8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8"/>
      <c r="R262" s="8"/>
      <c r="S262" s="1"/>
      <c r="T262" s="6">
        <f t="shared" ca="1" si="8"/>
        <v>0</v>
      </c>
      <c r="U262" s="1" t="str">
        <f t="shared" si="9"/>
        <v/>
      </c>
      <c r="V262" s="1"/>
      <c r="W262" s="1"/>
    </row>
    <row r="263" spans="1:23">
      <c r="A263" s="1"/>
      <c r="B263" s="8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8"/>
      <c r="R263" s="8"/>
      <c r="S263" s="1"/>
      <c r="T263" s="6">
        <f t="shared" ca="1" si="8"/>
        <v>0</v>
      </c>
      <c r="U263" s="1" t="str">
        <f t="shared" si="9"/>
        <v/>
      </c>
      <c r="V263" s="1"/>
      <c r="W263" s="1"/>
    </row>
    <row r="264" spans="1:23">
      <c r="A264" s="1"/>
      <c r="B264" s="8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8"/>
      <c r="R264" s="8"/>
      <c r="S264" s="1"/>
      <c r="T264" s="6">
        <f t="shared" ca="1" si="8"/>
        <v>0</v>
      </c>
      <c r="U264" s="1" t="str">
        <f t="shared" si="9"/>
        <v/>
      </c>
      <c r="V264" s="1"/>
      <c r="W264" s="1"/>
    </row>
    <row r="265" spans="1:23">
      <c r="A265" s="1"/>
      <c r="B265" s="8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8"/>
      <c r="R265" s="8"/>
      <c r="S265" s="1"/>
      <c r="T265" s="6">
        <f t="shared" ca="1" si="8"/>
        <v>0</v>
      </c>
      <c r="U265" s="1" t="str">
        <f t="shared" si="9"/>
        <v/>
      </c>
      <c r="V265" s="1"/>
      <c r="W265" s="1"/>
    </row>
    <row r="266" spans="1:23">
      <c r="A266" s="1"/>
      <c r="B266" s="8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8"/>
      <c r="R266" s="8"/>
      <c r="S266" s="1"/>
      <c r="T266" s="6">
        <f t="shared" ca="1" si="8"/>
        <v>0</v>
      </c>
      <c r="U266" s="1" t="str">
        <f t="shared" si="9"/>
        <v/>
      </c>
      <c r="V266" s="1"/>
      <c r="W266" s="1"/>
    </row>
    <row r="267" spans="1:23">
      <c r="A267" s="1"/>
      <c r="B267" s="8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8"/>
      <c r="R267" s="8"/>
      <c r="S267" s="1"/>
      <c r="T267" s="6">
        <f t="shared" ca="1" si="8"/>
        <v>0</v>
      </c>
      <c r="U267" s="1" t="str">
        <f t="shared" si="9"/>
        <v/>
      </c>
      <c r="V267" s="1"/>
      <c r="W267" s="1"/>
    </row>
    <row r="268" spans="1:23">
      <c r="A268" s="1"/>
      <c r="B268" s="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8"/>
      <c r="R268" s="8"/>
      <c r="S268" s="1"/>
      <c r="T268" s="6">
        <f t="shared" ca="1" si="8"/>
        <v>0</v>
      </c>
      <c r="U268" s="1" t="str">
        <f t="shared" si="9"/>
        <v/>
      </c>
      <c r="V268" s="1"/>
      <c r="W268" s="1"/>
    </row>
    <row r="269" spans="1:23">
      <c r="A269" s="1"/>
      <c r="B269" s="8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8"/>
      <c r="R269" s="8"/>
      <c r="S269" s="1"/>
      <c r="T269" s="6">
        <f t="shared" ca="1" si="8"/>
        <v>0</v>
      </c>
      <c r="U269" s="1" t="str">
        <f t="shared" si="9"/>
        <v/>
      </c>
      <c r="V269" s="1"/>
      <c r="W269" s="1"/>
    </row>
    <row r="270" spans="1:23">
      <c r="A270" s="1"/>
      <c r="B270" s="8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8"/>
      <c r="R270" s="8"/>
      <c r="S270" s="1"/>
      <c r="T270" s="6">
        <f t="shared" ca="1" si="8"/>
        <v>0</v>
      </c>
      <c r="U270" s="1" t="str">
        <f t="shared" si="9"/>
        <v/>
      </c>
      <c r="V270" s="1"/>
      <c r="W270" s="1"/>
    </row>
    <row r="271" spans="1:23">
      <c r="A271" s="1"/>
      <c r="B271" s="8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8"/>
      <c r="R271" s="8"/>
      <c r="S271" s="1"/>
      <c r="T271" s="6">
        <f t="shared" ca="1" si="8"/>
        <v>0</v>
      </c>
      <c r="U271" s="1" t="str">
        <f t="shared" si="9"/>
        <v/>
      </c>
      <c r="V271" s="1"/>
      <c r="W271" s="1"/>
    </row>
    <row r="272" spans="1:23">
      <c r="A272" s="1"/>
      <c r="B272" s="8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8"/>
      <c r="R272" s="8"/>
      <c r="S272" s="1"/>
      <c r="T272" s="6">
        <f t="shared" ca="1" si="8"/>
        <v>0</v>
      </c>
      <c r="U272" s="1" t="str">
        <f t="shared" si="9"/>
        <v/>
      </c>
      <c r="V272" s="1"/>
      <c r="W272" s="1"/>
    </row>
    <row r="273" spans="1:23">
      <c r="A273" s="1"/>
      <c r="B273" s="8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8"/>
      <c r="R273" s="8"/>
      <c r="S273" s="1"/>
      <c r="T273" s="6">
        <f t="shared" ca="1" si="8"/>
        <v>0</v>
      </c>
      <c r="U273" s="1" t="str">
        <f t="shared" si="9"/>
        <v/>
      </c>
      <c r="V273" s="1"/>
      <c r="W273" s="1"/>
    </row>
    <row r="274" spans="1:23">
      <c r="A274" s="1"/>
      <c r="B274" s="8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8"/>
      <c r="R274" s="8"/>
      <c r="S274" s="1"/>
      <c r="T274" s="6">
        <f t="shared" ca="1" si="8"/>
        <v>0</v>
      </c>
      <c r="U274" s="1" t="str">
        <f t="shared" si="9"/>
        <v/>
      </c>
      <c r="V274" s="1"/>
      <c r="W274" s="1"/>
    </row>
    <row r="275" spans="1:23">
      <c r="A275" s="1"/>
      <c r="B275" s="8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8"/>
      <c r="R275" s="8"/>
      <c r="S275" s="1"/>
      <c r="T275" s="6">
        <f t="shared" ca="1" si="8"/>
        <v>0</v>
      </c>
      <c r="U275" s="1" t="str">
        <f t="shared" si="9"/>
        <v/>
      </c>
      <c r="V275" s="1"/>
      <c r="W275" s="1"/>
    </row>
    <row r="276" spans="1:23">
      <c r="A276" s="1"/>
      <c r="B276" s="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8"/>
      <c r="R276" s="8"/>
      <c r="S276" s="1"/>
      <c r="T276" s="6">
        <f t="shared" ca="1" si="8"/>
        <v>0</v>
      </c>
      <c r="U276" s="1" t="str">
        <f t="shared" si="9"/>
        <v/>
      </c>
      <c r="V276" s="1"/>
      <c r="W276" s="1"/>
    </row>
    <row r="277" spans="1:23">
      <c r="A277" s="1"/>
      <c r="B277" s="8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8"/>
      <c r="R277" s="8"/>
      <c r="S277" s="1"/>
      <c r="T277" s="6">
        <f t="shared" ca="1" si="8"/>
        <v>0</v>
      </c>
      <c r="U277" s="1" t="str">
        <f t="shared" si="9"/>
        <v/>
      </c>
      <c r="V277" s="1"/>
      <c r="W277" s="1"/>
    </row>
    <row r="278" spans="1:23">
      <c r="A278" s="1"/>
      <c r="B278" s="8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8"/>
      <c r="R278" s="8"/>
      <c r="S278" s="1"/>
      <c r="T278" s="6">
        <f t="shared" ca="1" si="8"/>
        <v>0</v>
      </c>
      <c r="U278" s="1" t="str">
        <f t="shared" si="9"/>
        <v/>
      </c>
      <c r="V278" s="1"/>
      <c r="W278" s="1"/>
    </row>
    <row r="279" spans="1:23">
      <c r="A279" s="1"/>
      <c r="B279" s="8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8"/>
      <c r="R279" s="8"/>
      <c r="S279" s="1"/>
      <c r="T279" s="6">
        <f t="shared" ca="1" si="8"/>
        <v>0</v>
      </c>
      <c r="U279" s="1" t="str">
        <f t="shared" si="9"/>
        <v/>
      </c>
      <c r="V279" s="1"/>
      <c r="W279" s="1"/>
    </row>
    <row r="280" spans="1:23">
      <c r="A280" s="1"/>
      <c r="B280" s="8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8"/>
      <c r="R280" s="8"/>
      <c r="S280" s="1"/>
      <c r="T280" s="6">
        <f t="shared" ca="1" si="8"/>
        <v>0</v>
      </c>
      <c r="U280" s="1" t="str">
        <f t="shared" si="9"/>
        <v/>
      </c>
      <c r="V280" s="1"/>
      <c r="W280" s="1"/>
    </row>
    <row r="281" spans="1:23">
      <c r="A281" s="1"/>
      <c r="B281" s="8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8"/>
      <c r="R281" s="8"/>
      <c r="S281" s="1"/>
      <c r="T281" s="6">
        <f t="shared" ca="1" si="8"/>
        <v>0</v>
      </c>
      <c r="U281" s="1" t="str">
        <f t="shared" si="9"/>
        <v/>
      </c>
      <c r="V281" s="1"/>
      <c r="W281" s="1"/>
    </row>
    <row r="282" spans="1:23">
      <c r="A282" s="1"/>
      <c r="B282" s="8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8"/>
      <c r="R282" s="8"/>
      <c r="S282" s="1"/>
      <c r="T282" s="6">
        <f t="shared" ca="1" si="8"/>
        <v>0</v>
      </c>
      <c r="U282" s="1" t="str">
        <f t="shared" si="9"/>
        <v/>
      </c>
      <c r="V282" s="1"/>
      <c r="W282" s="1"/>
    </row>
    <row r="283" spans="1:23">
      <c r="A283" s="1"/>
      <c r="B283" s="8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8"/>
      <c r="R283" s="8"/>
      <c r="S283" s="1"/>
      <c r="T283" s="6">
        <f t="shared" ca="1" si="8"/>
        <v>0</v>
      </c>
      <c r="U283" s="1" t="str">
        <f t="shared" si="9"/>
        <v/>
      </c>
      <c r="V283" s="1"/>
      <c r="W283" s="1"/>
    </row>
    <row r="284" spans="1:23">
      <c r="A284" s="1"/>
      <c r="B284" s="8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8"/>
      <c r="R284" s="8"/>
      <c r="S284" s="1"/>
      <c r="T284" s="6">
        <f t="shared" ca="1" si="8"/>
        <v>0</v>
      </c>
      <c r="U284" s="1" t="str">
        <f t="shared" si="9"/>
        <v/>
      </c>
      <c r="V284" s="1"/>
      <c r="W284" s="1"/>
    </row>
    <row r="285" spans="1:23">
      <c r="A285" s="1"/>
      <c r="B285" s="8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8"/>
      <c r="R285" s="8"/>
      <c r="S285" s="1"/>
      <c r="T285" s="6">
        <f t="shared" ca="1" si="8"/>
        <v>0</v>
      </c>
      <c r="U285" s="1" t="str">
        <f t="shared" si="9"/>
        <v/>
      </c>
      <c r="V285" s="1"/>
      <c r="W285" s="1"/>
    </row>
    <row r="286" spans="1:23">
      <c r="A286" s="1"/>
      <c r="B286" s="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8"/>
      <c r="R286" s="8"/>
      <c r="S286" s="1"/>
      <c r="T286" s="6">
        <f t="shared" ca="1" si="8"/>
        <v>0</v>
      </c>
      <c r="U286" s="1" t="str">
        <f t="shared" si="9"/>
        <v/>
      </c>
      <c r="V286" s="1"/>
      <c r="W286" s="1"/>
    </row>
    <row r="287" spans="1:23">
      <c r="A287" s="1"/>
      <c r="B287" s="8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8"/>
      <c r="R287" s="8"/>
      <c r="S287" s="1"/>
      <c r="T287" s="6">
        <f t="shared" ca="1" si="8"/>
        <v>0</v>
      </c>
      <c r="U287" s="1" t="str">
        <f t="shared" si="9"/>
        <v/>
      </c>
      <c r="V287" s="1"/>
      <c r="W287" s="1"/>
    </row>
    <row r="288" spans="1:23">
      <c r="A288" s="1"/>
      <c r="B288" s="8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8"/>
      <c r="R288" s="8"/>
      <c r="S288" s="1"/>
      <c r="T288" s="6">
        <f t="shared" ca="1" si="8"/>
        <v>0</v>
      </c>
      <c r="U288" s="1" t="str">
        <f t="shared" si="9"/>
        <v/>
      </c>
      <c r="V288" s="1"/>
      <c r="W288" s="1"/>
    </row>
    <row r="289" spans="1:23">
      <c r="A289" s="1"/>
      <c r="B289" s="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8"/>
      <c r="R289" s="8"/>
      <c r="S289" s="1"/>
      <c r="T289" s="6">
        <f t="shared" ca="1" si="8"/>
        <v>0</v>
      </c>
      <c r="U289" s="1" t="str">
        <f t="shared" si="9"/>
        <v/>
      </c>
      <c r="V289" s="1"/>
      <c r="W289" s="1"/>
    </row>
    <row r="290" spans="1:23">
      <c r="A290" s="1"/>
      <c r="B290" s="8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8"/>
      <c r="R290" s="8"/>
      <c r="S290" s="1"/>
      <c r="T290" s="6">
        <f t="shared" ca="1" si="8"/>
        <v>0</v>
      </c>
      <c r="U290" s="1" t="str">
        <f t="shared" si="9"/>
        <v/>
      </c>
      <c r="V290" s="1"/>
      <c r="W290" s="1"/>
    </row>
    <row r="291" spans="1:23">
      <c r="A291" s="1"/>
      <c r="B291" s="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8"/>
      <c r="R291" s="8"/>
      <c r="S291" s="1"/>
      <c r="T291" s="6">
        <f t="shared" ca="1" si="8"/>
        <v>0</v>
      </c>
      <c r="U291" s="1" t="str">
        <f t="shared" si="9"/>
        <v/>
      </c>
      <c r="V291" s="1"/>
      <c r="W291" s="1"/>
    </row>
    <row r="292" spans="1:23">
      <c r="A292" s="1"/>
      <c r="B292" s="8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8"/>
      <c r="R292" s="8"/>
      <c r="S292" s="1"/>
      <c r="T292" s="6">
        <f t="shared" ca="1" si="8"/>
        <v>0</v>
      </c>
      <c r="U292" s="1" t="str">
        <f t="shared" si="9"/>
        <v/>
      </c>
      <c r="V292" s="1"/>
      <c r="W292" s="1"/>
    </row>
    <row r="293" spans="1:23">
      <c r="A293" s="1"/>
      <c r="B293" s="8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8"/>
      <c r="R293" s="8"/>
      <c r="S293" s="1"/>
      <c r="T293" s="6">
        <f t="shared" ca="1" si="8"/>
        <v>0</v>
      </c>
      <c r="U293" s="1" t="str">
        <f t="shared" si="9"/>
        <v/>
      </c>
      <c r="V293" s="1"/>
      <c r="W293" s="1"/>
    </row>
    <row r="294" spans="1:23">
      <c r="A294" s="1"/>
      <c r="B294" s="8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8"/>
      <c r="R294" s="8"/>
      <c r="S294" s="1"/>
      <c r="T294" s="6">
        <f t="shared" ca="1" si="8"/>
        <v>0</v>
      </c>
      <c r="U294" s="1" t="str">
        <f t="shared" si="9"/>
        <v/>
      </c>
      <c r="V294" s="1"/>
      <c r="W294" s="1"/>
    </row>
    <row r="295" spans="1:23">
      <c r="A295" s="1"/>
      <c r="B295" s="8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8"/>
      <c r="R295" s="8"/>
      <c r="S295" s="1"/>
      <c r="T295" s="6">
        <f t="shared" ca="1" si="8"/>
        <v>0</v>
      </c>
      <c r="U295" s="1" t="str">
        <f t="shared" si="9"/>
        <v/>
      </c>
      <c r="V295" s="1"/>
      <c r="W295" s="1"/>
    </row>
    <row r="296" spans="1:23">
      <c r="A296" s="1"/>
      <c r="B296" s="8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8"/>
      <c r="R296" s="8"/>
      <c r="S296" s="1"/>
      <c r="T296" s="6">
        <f t="shared" ca="1" si="8"/>
        <v>0</v>
      </c>
      <c r="U296" s="1" t="str">
        <f t="shared" si="9"/>
        <v/>
      </c>
      <c r="V296" s="1"/>
      <c r="W296" s="1"/>
    </row>
    <row r="297" spans="1:23">
      <c r="A297" s="1"/>
      <c r="B297" s="8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8"/>
      <c r="R297" s="8"/>
      <c r="S297" s="1"/>
      <c r="T297" s="6">
        <f t="shared" ca="1" si="8"/>
        <v>0</v>
      </c>
      <c r="U297" s="1" t="str">
        <f t="shared" si="9"/>
        <v/>
      </c>
      <c r="V297" s="1"/>
      <c r="W297" s="1"/>
    </row>
  </sheetData>
  <conditionalFormatting sqref="L2:L297">
    <cfRule type="expression" dxfId="15" priority="1">
      <formula>L2="Non conforme"</formula>
    </cfRule>
    <cfRule type="expression" dxfId="14" priority="2">
      <formula>L2="Conforme"</formula>
    </cfRule>
  </conditionalFormatting>
  <conditionalFormatting sqref="M2:M297">
    <cfRule type="expression" dxfId="13" priority="3">
      <formula>M2="Critique"</formula>
    </cfRule>
  </conditionalFormatting>
  <conditionalFormatting sqref="T2:T297">
    <cfRule type="cellIs" dxfId="12" priority="4" operator="greaterThan">
      <formula>0</formula>
    </cfRule>
  </conditionalFormatting>
  <dataValidations count="9">
    <dataValidation type="list" allowBlank="1" showErrorMessage="1" errorTitle="Valeur non autorisée" error="Veuillez choisir une valeur depuis la liste dynamique REF_AGENCES." sqref="C2:C1000" xr:uid="{00000000-0002-0000-0D00-000000000000}">
      <formula1>REF_AGENCES</formula1>
    </dataValidation>
    <dataValidation type="list" allowBlank="1" showErrorMessage="1" errorTitle="Valeur non autorisée" error="Veuillez choisir une valeur depuis la liste dynamique REF_CYCLES." sqref="D2:D1000" xr:uid="{00000000-0002-0000-0D00-000001000000}">
      <formula1>REF_CYCLES</formula1>
    </dataValidation>
    <dataValidation type="list" allowBlank="1" showErrorMessage="1" errorTitle="Valeur non autorisée" error="Veuillez choisir une valeur depuis la liste dynamique REF_FREQUENCES." sqref="H2:H1000" xr:uid="{00000000-0002-0000-0D00-000002000000}">
      <formula1>REF_FREQUENCES</formula1>
    </dataValidation>
    <dataValidation type="list" allowBlank="1" showErrorMessage="1" errorTitle="Valeur non autorisée" error="Veuillez choisir une valeur depuis la liste dynamique REF_RESPONSABLES." sqref="I2:I1000 P2:P1000" xr:uid="{00000000-0002-0000-0D00-000003000000}">
      <formula1>REF_RESPONSABLES</formula1>
    </dataValidation>
    <dataValidation type="list" allowBlank="1" showErrorMessage="1" errorTitle="Valeur non autorisée" error="Veuillez choisir une valeur depuis la liste dynamique REF_NIVEAUX_RISQUE." sqref="J2:J1000" xr:uid="{00000000-0002-0000-0D00-000004000000}">
      <formula1>REF_NIVEAUX_RISQUE</formula1>
    </dataValidation>
    <dataValidation type="list" allowBlank="1" showErrorMessage="1" errorTitle="Valeur non autorisée" error="Veuillez choisir une valeur depuis la liste dynamique REF_RESULTATS_CONTROLE." sqref="L2:L1000" xr:uid="{00000000-0002-0000-0D00-000005000000}">
      <formula1>REF_RESULTATS_CONTROLE</formula1>
    </dataValidation>
    <dataValidation type="list" allowBlank="1" showErrorMessage="1" errorTitle="Valeur non autorisée" error="Veuillez choisir une valeur depuis la liste dynamique REF_GRAVITES_ANOMALIE." sqref="M2:M1000" xr:uid="{00000000-0002-0000-0D00-000006000000}">
      <formula1>REF_GRAVITES_ANOMALIE</formula1>
    </dataValidation>
    <dataValidation type="list" allowBlank="1" showErrorMessage="1" errorTitle="Valeur non autorisée" error="Veuillez choisir une valeur depuis la liste dynamique REF_STATUTS_ACTION." sqref="S2:S1000" xr:uid="{00000000-0002-0000-0D00-000008000000}">
      <formula1>REF_STATUTS_ACTION</formula1>
    </dataValidation>
    <dataValidation type="list" allowBlank="1" showErrorMessage="1" errorTitle="Valeur non autorisée" error="Veuillez choisir une valeur depuis la liste dynamique REF_PRIORITES." sqref="U2:U1000" xr:uid="{00000000-0002-0000-0D00-000009000000}">
      <formula1>REF_PRIORITES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297"/>
  <sheetViews>
    <sheetView workbookViewId="0"/>
  </sheetViews>
  <sheetFormatPr baseColWidth="10" defaultColWidth="9" defaultRowHeight="14.25"/>
  <cols>
    <col min="1" max="2" width="14" customWidth="1"/>
    <col min="3" max="3" width="18" customWidth="1"/>
    <col min="4" max="4" width="28" customWidth="1"/>
    <col min="5" max="5" width="26" customWidth="1"/>
    <col min="6" max="6" width="42" customWidth="1"/>
    <col min="7" max="7" width="48" customWidth="1"/>
    <col min="8" max="8" width="16" customWidth="1"/>
    <col min="9" max="9" width="24" customWidth="1"/>
    <col min="10" max="10" width="14" customWidth="1"/>
    <col min="11" max="11" width="34" customWidth="1"/>
    <col min="12" max="12" width="18" customWidth="1"/>
    <col min="13" max="13" width="16" customWidth="1"/>
    <col min="14" max="14" width="42" customWidth="1"/>
    <col min="15" max="15" width="48" customWidth="1"/>
    <col min="16" max="16" width="22" customWidth="1"/>
    <col min="17" max="18" width="14" customWidth="1"/>
    <col min="19" max="19" width="16" customWidth="1"/>
    <col min="20" max="20" width="12" customWidth="1"/>
    <col min="21" max="21" width="10" customWidth="1"/>
    <col min="22" max="22" width="20" customWidth="1"/>
    <col min="23" max="23" width="36" customWidth="1"/>
  </cols>
  <sheetData>
    <row r="1" spans="1:23" ht="32.1" customHeight="1">
      <c r="A1" s="2" t="s">
        <v>39</v>
      </c>
      <c r="B1" s="2" t="s">
        <v>166</v>
      </c>
      <c r="C1" s="2" t="s">
        <v>167</v>
      </c>
      <c r="D1" s="2" t="s">
        <v>18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47</v>
      </c>
      <c r="N1" s="2" t="s">
        <v>176</v>
      </c>
      <c r="O1" s="2" t="s">
        <v>177</v>
      </c>
      <c r="P1" s="2" t="s">
        <v>178</v>
      </c>
      <c r="Q1" s="2" t="s">
        <v>179</v>
      </c>
      <c r="R1" s="2" t="s">
        <v>180</v>
      </c>
      <c r="S1" s="2" t="s">
        <v>181</v>
      </c>
      <c r="T1" s="2" t="s">
        <v>182</v>
      </c>
      <c r="U1" s="2" t="s">
        <v>183</v>
      </c>
      <c r="V1" s="2" t="s">
        <v>184</v>
      </c>
      <c r="W1" s="2" t="s">
        <v>185</v>
      </c>
    </row>
    <row r="2" spans="1:23" ht="28.5">
      <c r="A2" s="1" t="s">
        <v>467</v>
      </c>
      <c r="B2" s="8"/>
      <c r="C2" s="1"/>
      <c r="D2" s="1" t="s">
        <v>118</v>
      </c>
      <c r="E2" s="1" t="s">
        <v>468</v>
      </c>
      <c r="F2" s="1" t="s">
        <v>469</v>
      </c>
      <c r="G2" s="1" t="s">
        <v>470</v>
      </c>
      <c r="H2" s="1" t="s">
        <v>96</v>
      </c>
      <c r="I2" s="1" t="s">
        <v>217</v>
      </c>
      <c r="J2" s="1" t="s">
        <v>72</v>
      </c>
      <c r="K2" s="1" t="s">
        <v>471</v>
      </c>
      <c r="L2" s="1"/>
      <c r="M2" s="1" t="s">
        <v>61</v>
      </c>
      <c r="N2" s="1"/>
      <c r="O2" s="1"/>
      <c r="P2" s="1"/>
      <c r="Q2" s="8"/>
      <c r="R2" s="8"/>
      <c r="S2" s="1" t="s">
        <v>62</v>
      </c>
      <c r="T2" s="6">
        <f t="shared" ref="T2:T65" ca="1" si="0">IF(AND(S2&lt;&gt;"Clôturée",Q2&lt;&gt;"",TODAY()&gt;Q2),TODAY()-Q2,0)</f>
        <v>0</v>
      </c>
      <c r="U2" s="1" t="str">
        <f t="shared" ref="U2:U65" si="1">IF(M2="Critique","P1",IF(M2="Majeure","P2",IF(M2="Mineure","P3","")))</f>
        <v/>
      </c>
      <c r="V2" s="1" t="s">
        <v>472</v>
      </c>
      <c r="W2" s="1"/>
    </row>
    <row r="3" spans="1:23" ht="28.5">
      <c r="A3" s="1" t="s">
        <v>473</v>
      </c>
      <c r="B3" s="8"/>
      <c r="C3" s="1"/>
      <c r="D3" s="1" t="s">
        <v>118</v>
      </c>
      <c r="E3" s="1" t="s">
        <v>468</v>
      </c>
      <c r="F3" s="1" t="s">
        <v>299</v>
      </c>
      <c r="G3" s="1" t="s">
        <v>474</v>
      </c>
      <c r="H3" s="1" t="s">
        <v>96</v>
      </c>
      <c r="I3" s="1" t="s">
        <v>217</v>
      </c>
      <c r="J3" s="1" t="s">
        <v>72</v>
      </c>
      <c r="K3" s="1" t="s">
        <v>475</v>
      </c>
      <c r="L3" s="1"/>
      <c r="M3" s="1" t="s">
        <v>61</v>
      </c>
      <c r="N3" s="1"/>
      <c r="O3" s="1"/>
      <c r="P3" s="1"/>
      <c r="Q3" s="8"/>
      <c r="R3" s="8"/>
      <c r="S3" s="1" t="s">
        <v>62</v>
      </c>
      <c r="T3" s="6">
        <f t="shared" ca="1" si="0"/>
        <v>0</v>
      </c>
      <c r="U3" s="1" t="str">
        <f t="shared" si="1"/>
        <v/>
      </c>
      <c r="V3" s="1" t="s">
        <v>472</v>
      </c>
      <c r="W3" s="1"/>
    </row>
    <row r="4" spans="1:23" ht="28.5">
      <c r="A4" s="1" t="s">
        <v>476</v>
      </c>
      <c r="B4" s="8"/>
      <c r="C4" s="1"/>
      <c r="D4" s="1" t="s">
        <v>118</v>
      </c>
      <c r="E4" s="1" t="s">
        <v>463</v>
      </c>
      <c r="F4" s="1" t="s">
        <v>477</v>
      </c>
      <c r="G4" s="1" t="s">
        <v>478</v>
      </c>
      <c r="H4" s="1" t="s">
        <v>96</v>
      </c>
      <c r="I4" s="1" t="s">
        <v>217</v>
      </c>
      <c r="J4" s="1" t="s">
        <v>72</v>
      </c>
      <c r="K4" s="1" t="s">
        <v>479</v>
      </c>
      <c r="L4" s="1"/>
      <c r="M4" s="1" t="s">
        <v>61</v>
      </c>
      <c r="N4" s="1"/>
      <c r="O4" s="1"/>
      <c r="P4" s="1"/>
      <c r="Q4" s="8"/>
      <c r="R4" s="8"/>
      <c r="S4" s="1" t="s">
        <v>62</v>
      </c>
      <c r="T4" s="6">
        <f t="shared" ca="1" si="0"/>
        <v>0</v>
      </c>
      <c r="U4" s="1" t="str">
        <f t="shared" si="1"/>
        <v/>
      </c>
      <c r="V4" s="1" t="s">
        <v>472</v>
      </c>
      <c r="W4" s="1"/>
    </row>
    <row r="5" spans="1:23" ht="28.5">
      <c r="A5" s="1" t="s">
        <v>480</v>
      </c>
      <c r="B5" s="8"/>
      <c r="C5" s="1"/>
      <c r="D5" s="1" t="s">
        <v>118</v>
      </c>
      <c r="E5" s="1" t="s">
        <v>463</v>
      </c>
      <c r="F5" s="1" t="s">
        <v>481</v>
      </c>
      <c r="G5" s="1" t="s">
        <v>482</v>
      </c>
      <c r="H5" s="1" t="s">
        <v>96</v>
      </c>
      <c r="I5" s="1" t="s">
        <v>217</v>
      </c>
      <c r="J5" s="1" t="s">
        <v>72</v>
      </c>
      <c r="K5" s="1" t="s">
        <v>483</v>
      </c>
      <c r="L5" s="1"/>
      <c r="M5" s="1" t="s">
        <v>61</v>
      </c>
      <c r="N5" s="1"/>
      <c r="O5" s="1"/>
      <c r="P5" s="1"/>
      <c r="Q5" s="8"/>
      <c r="R5" s="8"/>
      <c r="S5" s="1" t="s">
        <v>62</v>
      </c>
      <c r="T5" s="6">
        <f t="shared" ca="1" si="0"/>
        <v>0</v>
      </c>
      <c r="U5" s="1" t="str">
        <f t="shared" si="1"/>
        <v/>
      </c>
      <c r="V5" s="1" t="s">
        <v>472</v>
      </c>
      <c r="W5" s="1"/>
    </row>
    <row r="6" spans="1:23" ht="28.5">
      <c r="A6" s="1" t="s">
        <v>484</v>
      </c>
      <c r="B6" s="8"/>
      <c r="C6" s="1"/>
      <c r="D6" s="1" t="s">
        <v>118</v>
      </c>
      <c r="E6" s="1" t="s">
        <v>485</v>
      </c>
      <c r="F6" s="1" t="s">
        <v>486</v>
      </c>
      <c r="G6" s="1" t="s">
        <v>487</v>
      </c>
      <c r="H6" s="1" t="s">
        <v>96</v>
      </c>
      <c r="I6" s="1" t="s">
        <v>217</v>
      </c>
      <c r="J6" s="1" t="s">
        <v>72</v>
      </c>
      <c r="K6" s="1" t="s">
        <v>466</v>
      </c>
      <c r="L6" s="1"/>
      <c r="M6" s="1" t="s">
        <v>61</v>
      </c>
      <c r="N6" s="1"/>
      <c r="O6" s="1"/>
      <c r="P6" s="1"/>
      <c r="Q6" s="8"/>
      <c r="R6" s="8"/>
      <c r="S6" s="1" t="s">
        <v>62</v>
      </c>
      <c r="T6" s="6">
        <f t="shared" ca="1" si="0"/>
        <v>0</v>
      </c>
      <c r="U6" s="1" t="str">
        <f t="shared" si="1"/>
        <v/>
      </c>
      <c r="V6" s="1" t="s">
        <v>472</v>
      </c>
      <c r="W6" s="1"/>
    </row>
    <row r="7" spans="1:23" ht="28.5">
      <c r="A7" s="1" t="s">
        <v>488</v>
      </c>
      <c r="B7" s="8"/>
      <c r="C7" s="1"/>
      <c r="D7" s="1" t="s">
        <v>118</v>
      </c>
      <c r="E7" s="1" t="s">
        <v>489</v>
      </c>
      <c r="F7" s="1" t="s">
        <v>490</v>
      </c>
      <c r="G7" s="1" t="s">
        <v>491</v>
      </c>
      <c r="H7" s="1" t="s">
        <v>96</v>
      </c>
      <c r="I7" s="1" t="s">
        <v>217</v>
      </c>
      <c r="J7" s="1" t="s">
        <v>72</v>
      </c>
      <c r="K7" s="1" t="s">
        <v>492</v>
      </c>
      <c r="L7" s="1"/>
      <c r="M7" s="1" t="s">
        <v>61</v>
      </c>
      <c r="N7" s="1"/>
      <c r="O7" s="1"/>
      <c r="P7" s="1"/>
      <c r="Q7" s="8"/>
      <c r="R7" s="8"/>
      <c r="S7" s="1" t="s">
        <v>62</v>
      </c>
      <c r="T7" s="6">
        <f t="shared" ca="1" si="0"/>
        <v>0</v>
      </c>
      <c r="U7" s="1" t="str">
        <f t="shared" si="1"/>
        <v/>
      </c>
      <c r="V7" s="1" t="s">
        <v>472</v>
      </c>
      <c r="W7" s="1"/>
    </row>
    <row r="8" spans="1:23" ht="28.5">
      <c r="A8" s="1" t="s">
        <v>493</v>
      </c>
      <c r="B8" s="8"/>
      <c r="C8" s="1"/>
      <c r="D8" s="1" t="s">
        <v>118</v>
      </c>
      <c r="E8" s="1" t="s">
        <v>494</v>
      </c>
      <c r="F8" s="1" t="s">
        <v>495</v>
      </c>
      <c r="G8" s="1" t="s">
        <v>496</v>
      </c>
      <c r="H8" s="1" t="s">
        <v>96</v>
      </c>
      <c r="I8" s="1" t="s">
        <v>217</v>
      </c>
      <c r="J8" s="1" t="s">
        <v>72</v>
      </c>
      <c r="K8" s="1" t="s">
        <v>497</v>
      </c>
      <c r="L8" s="1"/>
      <c r="M8" s="1" t="s">
        <v>61</v>
      </c>
      <c r="N8" s="1"/>
      <c r="O8" s="1"/>
      <c r="P8" s="1"/>
      <c r="Q8" s="8"/>
      <c r="R8" s="8"/>
      <c r="S8" s="1" t="s">
        <v>62</v>
      </c>
      <c r="T8" s="6">
        <f t="shared" ca="1" si="0"/>
        <v>0</v>
      </c>
      <c r="U8" s="1" t="str">
        <f t="shared" si="1"/>
        <v/>
      </c>
      <c r="V8" s="1" t="s">
        <v>472</v>
      </c>
      <c r="W8" s="1"/>
    </row>
    <row r="9" spans="1:23">
      <c r="A9" s="1"/>
      <c r="B9" s="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8"/>
      <c r="R9" s="8"/>
      <c r="S9" s="1"/>
      <c r="T9" s="6">
        <f t="shared" ca="1" si="0"/>
        <v>0</v>
      </c>
      <c r="U9" s="1" t="str">
        <f t="shared" si="1"/>
        <v/>
      </c>
      <c r="V9" s="1"/>
      <c r="W9" s="1"/>
    </row>
    <row r="10" spans="1:23">
      <c r="A10" s="1"/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8"/>
      <c r="R10" s="8"/>
      <c r="S10" s="1"/>
      <c r="T10" s="6">
        <f t="shared" ca="1" si="0"/>
        <v>0</v>
      </c>
      <c r="U10" s="1" t="str">
        <f t="shared" si="1"/>
        <v/>
      </c>
      <c r="V10" s="1"/>
      <c r="W10" s="1"/>
    </row>
    <row r="11" spans="1:23">
      <c r="A11" s="1"/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8"/>
      <c r="R11" s="8"/>
      <c r="S11" s="1"/>
      <c r="T11" s="6">
        <f t="shared" ca="1" si="0"/>
        <v>0</v>
      </c>
      <c r="U11" s="1" t="str">
        <f t="shared" si="1"/>
        <v/>
      </c>
      <c r="V11" s="1"/>
      <c r="W11" s="1"/>
    </row>
    <row r="12" spans="1:23">
      <c r="A12" s="1"/>
      <c r="B12" s="8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8"/>
      <c r="R12" s="8"/>
      <c r="S12" s="1"/>
      <c r="T12" s="6">
        <f t="shared" ca="1" si="0"/>
        <v>0</v>
      </c>
      <c r="U12" s="1" t="str">
        <f t="shared" si="1"/>
        <v/>
      </c>
      <c r="V12" s="1"/>
      <c r="W12" s="1"/>
    </row>
    <row r="13" spans="1:23">
      <c r="A13" s="1"/>
      <c r="B13" s="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8"/>
      <c r="R13" s="8"/>
      <c r="S13" s="1"/>
      <c r="T13" s="6">
        <f t="shared" ca="1" si="0"/>
        <v>0</v>
      </c>
      <c r="U13" s="1" t="str">
        <f t="shared" si="1"/>
        <v/>
      </c>
      <c r="V13" s="1"/>
      <c r="W13" s="1"/>
    </row>
    <row r="14" spans="1:23">
      <c r="A14" s="1"/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8"/>
      <c r="R14" s="8"/>
      <c r="S14" s="1"/>
      <c r="T14" s="6">
        <f t="shared" ca="1" si="0"/>
        <v>0</v>
      </c>
      <c r="U14" s="1" t="str">
        <f t="shared" si="1"/>
        <v/>
      </c>
      <c r="V14" s="1"/>
      <c r="W14" s="1"/>
    </row>
    <row r="15" spans="1:23">
      <c r="A15" s="1"/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8"/>
      <c r="R15" s="8"/>
      <c r="S15" s="1"/>
      <c r="T15" s="6">
        <f t="shared" ca="1" si="0"/>
        <v>0</v>
      </c>
      <c r="U15" s="1" t="str">
        <f t="shared" si="1"/>
        <v/>
      </c>
      <c r="V15" s="1"/>
      <c r="W15" s="1"/>
    </row>
    <row r="16" spans="1:23">
      <c r="A16" s="1"/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8"/>
      <c r="R16" s="8"/>
      <c r="S16" s="1"/>
      <c r="T16" s="6">
        <f t="shared" ca="1" si="0"/>
        <v>0</v>
      </c>
      <c r="U16" s="1" t="str">
        <f t="shared" si="1"/>
        <v/>
      </c>
      <c r="V16" s="1"/>
      <c r="W16" s="1"/>
    </row>
    <row r="17" spans="1:23">
      <c r="A17" s="1"/>
      <c r="B17" s="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8"/>
      <c r="R17" s="8"/>
      <c r="S17" s="1"/>
      <c r="T17" s="6">
        <f t="shared" ca="1" si="0"/>
        <v>0</v>
      </c>
      <c r="U17" s="1" t="str">
        <f t="shared" si="1"/>
        <v/>
      </c>
      <c r="V17" s="1"/>
      <c r="W17" s="1"/>
    </row>
    <row r="18" spans="1:23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8"/>
      <c r="R18" s="8"/>
      <c r="S18" s="1"/>
      <c r="T18" s="6">
        <f t="shared" ca="1" si="0"/>
        <v>0</v>
      </c>
      <c r="U18" s="1" t="str">
        <f t="shared" si="1"/>
        <v/>
      </c>
      <c r="V18" s="1"/>
      <c r="W18" s="1"/>
    </row>
    <row r="19" spans="1:23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8"/>
      <c r="R19" s="8"/>
      <c r="S19" s="1"/>
      <c r="T19" s="6">
        <f t="shared" ca="1" si="0"/>
        <v>0</v>
      </c>
      <c r="U19" s="1" t="str">
        <f t="shared" si="1"/>
        <v/>
      </c>
      <c r="V19" s="1"/>
      <c r="W19" s="1"/>
    </row>
    <row r="20" spans="1:23">
      <c r="A20" s="1"/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8"/>
      <c r="R20" s="8"/>
      <c r="S20" s="1"/>
      <c r="T20" s="6">
        <f t="shared" ca="1" si="0"/>
        <v>0</v>
      </c>
      <c r="U20" s="1" t="str">
        <f t="shared" si="1"/>
        <v/>
      </c>
      <c r="V20" s="1"/>
      <c r="W20" s="1"/>
    </row>
    <row r="21" spans="1:23">
      <c r="A21" s="1"/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8"/>
      <c r="R21" s="8"/>
      <c r="S21" s="1"/>
      <c r="T21" s="6">
        <f t="shared" ca="1" si="0"/>
        <v>0</v>
      </c>
      <c r="U21" s="1" t="str">
        <f t="shared" si="1"/>
        <v/>
      </c>
      <c r="V21" s="1"/>
      <c r="W21" s="1"/>
    </row>
    <row r="22" spans="1:23">
      <c r="A22" s="1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8"/>
      <c r="R22" s="8"/>
      <c r="S22" s="1"/>
      <c r="T22" s="6">
        <f t="shared" ca="1" si="0"/>
        <v>0</v>
      </c>
      <c r="U22" s="1" t="str">
        <f t="shared" si="1"/>
        <v/>
      </c>
      <c r="V22" s="1"/>
      <c r="W22" s="1"/>
    </row>
    <row r="23" spans="1:23">
      <c r="A23" s="1"/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8"/>
      <c r="R23" s="8"/>
      <c r="S23" s="1"/>
      <c r="T23" s="6">
        <f t="shared" ca="1" si="0"/>
        <v>0</v>
      </c>
      <c r="U23" s="1" t="str">
        <f t="shared" si="1"/>
        <v/>
      </c>
      <c r="V23" s="1"/>
      <c r="W23" s="1"/>
    </row>
    <row r="24" spans="1:23">
      <c r="A24" s="1"/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8"/>
      <c r="R24" s="8"/>
      <c r="S24" s="1"/>
      <c r="T24" s="6">
        <f t="shared" ca="1" si="0"/>
        <v>0</v>
      </c>
      <c r="U24" s="1" t="str">
        <f t="shared" si="1"/>
        <v/>
      </c>
      <c r="V24" s="1"/>
      <c r="W24" s="1"/>
    </row>
    <row r="25" spans="1:23">
      <c r="A25" s="1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8"/>
      <c r="R25" s="8"/>
      <c r="S25" s="1"/>
      <c r="T25" s="6">
        <f t="shared" ca="1" si="0"/>
        <v>0</v>
      </c>
      <c r="U25" s="1" t="str">
        <f t="shared" si="1"/>
        <v/>
      </c>
      <c r="V25" s="1"/>
      <c r="W25" s="1"/>
    </row>
    <row r="26" spans="1:23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8"/>
      <c r="R26" s="8"/>
      <c r="S26" s="1"/>
      <c r="T26" s="6">
        <f t="shared" ca="1" si="0"/>
        <v>0</v>
      </c>
      <c r="U26" s="1" t="str">
        <f t="shared" si="1"/>
        <v/>
      </c>
      <c r="V26" s="1"/>
      <c r="W26" s="1"/>
    </row>
    <row r="27" spans="1:23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8"/>
      <c r="R27" s="8"/>
      <c r="S27" s="1"/>
      <c r="T27" s="6">
        <f t="shared" ca="1" si="0"/>
        <v>0</v>
      </c>
      <c r="U27" s="1" t="str">
        <f t="shared" si="1"/>
        <v/>
      </c>
      <c r="V27" s="1"/>
      <c r="W27" s="1"/>
    </row>
    <row r="28" spans="1:23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8"/>
      <c r="R28" s="8"/>
      <c r="S28" s="1"/>
      <c r="T28" s="6">
        <f t="shared" ca="1" si="0"/>
        <v>0</v>
      </c>
      <c r="U28" s="1" t="str">
        <f t="shared" si="1"/>
        <v/>
      </c>
      <c r="V28" s="1"/>
      <c r="W28" s="1"/>
    </row>
    <row r="29" spans="1:23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8"/>
      <c r="R29" s="8"/>
      <c r="S29" s="1"/>
      <c r="T29" s="6">
        <f t="shared" ca="1" si="0"/>
        <v>0</v>
      </c>
      <c r="U29" s="1" t="str">
        <f t="shared" si="1"/>
        <v/>
      </c>
      <c r="V29" s="1"/>
      <c r="W29" s="1"/>
    </row>
    <row r="30" spans="1:23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8"/>
      <c r="R30" s="8"/>
      <c r="S30" s="1"/>
      <c r="T30" s="6">
        <f t="shared" ca="1" si="0"/>
        <v>0</v>
      </c>
      <c r="U30" s="1" t="str">
        <f t="shared" si="1"/>
        <v/>
      </c>
      <c r="V30" s="1"/>
      <c r="W30" s="1"/>
    </row>
    <row r="31" spans="1:23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8"/>
      <c r="R31" s="8"/>
      <c r="S31" s="1"/>
      <c r="T31" s="6">
        <f t="shared" ca="1" si="0"/>
        <v>0</v>
      </c>
      <c r="U31" s="1" t="str">
        <f t="shared" si="1"/>
        <v/>
      </c>
      <c r="V31" s="1"/>
      <c r="W31" s="1"/>
    </row>
    <row r="32" spans="1:23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8"/>
      <c r="R32" s="8"/>
      <c r="S32" s="1"/>
      <c r="T32" s="6">
        <f t="shared" ca="1" si="0"/>
        <v>0</v>
      </c>
      <c r="U32" s="1" t="str">
        <f t="shared" si="1"/>
        <v/>
      </c>
      <c r="V32" s="1"/>
      <c r="W32" s="1"/>
    </row>
    <row r="33" spans="1:23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8"/>
      <c r="R33" s="8"/>
      <c r="S33" s="1"/>
      <c r="T33" s="6">
        <f t="shared" ca="1" si="0"/>
        <v>0</v>
      </c>
      <c r="U33" s="1" t="str">
        <f t="shared" si="1"/>
        <v/>
      </c>
      <c r="V33" s="1"/>
      <c r="W33" s="1"/>
    </row>
    <row r="34" spans="1:23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8"/>
      <c r="R34" s="8"/>
      <c r="S34" s="1"/>
      <c r="T34" s="6">
        <f t="shared" ca="1" si="0"/>
        <v>0</v>
      </c>
      <c r="U34" s="1" t="str">
        <f t="shared" si="1"/>
        <v/>
      </c>
      <c r="V34" s="1"/>
      <c r="W34" s="1"/>
    </row>
    <row r="35" spans="1:23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8"/>
      <c r="R35" s="8"/>
      <c r="S35" s="1"/>
      <c r="T35" s="6">
        <f t="shared" ca="1" si="0"/>
        <v>0</v>
      </c>
      <c r="U35" s="1" t="str">
        <f t="shared" si="1"/>
        <v/>
      </c>
      <c r="V35" s="1"/>
      <c r="W35" s="1"/>
    </row>
    <row r="36" spans="1:23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8"/>
      <c r="R36" s="8"/>
      <c r="S36" s="1"/>
      <c r="T36" s="6">
        <f t="shared" ca="1" si="0"/>
        <v>0</v>
      </c>
      <c r="U36" s="1" t="str">
        <f t="shared" si="1"/>
        <v/>
      </c>
      <c r="V36" s="1"/>
      <c r="W36" s="1"/>
    </row>
    <row r="37" spans="1:23">
      <c r="A37" s="1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8"/>
      <c r="R37" s="8"/>
      <c r="S37" s="1"/>
      <c r="T37" s="6">
        <f t="shared" ca="1" si="0"/>
        <v>0</v>
      </c>
      <c r="U37" s="1" t="str">
        <f t="shared" si="1"/>
        <v/>
      </c>
      <c r="V37" s="1"/>
      <c r="W37" s="1"/>
    </row>
    <row r="38" spans="1:23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8"/>
      <c r="R38" s="8"/>
      <c r="S38" s="1"/>
      <c r="T38" s="6">
        <f t="shared" ca="1" si="0"/>
        <v>0</v>
      </c>
      <c r="U38" s="1" t="str">
        <f t="shared" si="1"/>
        <v/>
      </c>
      <c r="V38" s="1"/>
      <c r="W38" s="1"/>
    </row>
    <row r="39" spans="1:23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8"/>
      <c r="R39" s="8"/>
      <c r="S39" s="1"/>
      <c r="T39" s="6">
        <f t="shared" ca="1" si="0"/>
        <v>0</v>
      </c>
      <c r="U39" s="1" t="str">
        <f t="shared" si="1"/>
        <v/>
      </c>
      <c r="V39" s="1"/>
      <c r="W39" s="1"/>
    </row>
    <row r="40" spans="1:23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1"/>
      <c r="T40" s="6">
        <f t="shared" ca="1" si="0"/>
        <v>0</v>
      </c>
      <c r="U40" s="1" t="str">
        <f t="shared" si="1"/>
        <v/>
      </c>
      <c r="V40" s="1"/>
      <c r="W40" s="1"/>
    </row>
    <row r="41" spans="1:23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1"/>
      <c r="T41" s="6">
        <f t="shared" ca="1" si="0"/>
        <v>0</v>
      </c>
      <c r="U41" s="1" t="str">
        <f t="shared" si="1"/>
        <v/>
      </c>
      <c r="V41" s="1"/>
      <c r="W41" s="1"/>
    </row>
    <row r="42" spans="1:23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1"/>
      <c r="T42" s="6">
        <f t="shared" ca="1" si="0"/>
        <v>0</v>
      </c>
      <c r="U42" s="1" t="str">
        <f t="shared" si="1"/>
        <v/>
      </c>
      <c r="V42" s="1"/>
      <c r="W42" s="1"/>
    </row>
    <row r="43" spans="1:23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1"/>
      <c r="T43" s="6">
        <f t="shared" ca="1" si="0"/>
        <v>0</v>
      </c>
      <c r="U43" s="1" t="str">
        <f t="shared" si="1"/>
        <v/>
      </c>
      <c r="V43" s="1"/>
      <c r="W43" s="1"/>
    </row>
    <row r="44" spans="1:23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1"/>
      <c r="T44" s="6">
        <f t="shared" ca="1" si="0"/>
        <v>0</v>
      </c>
      <c r="U44" s="1" t="str">
        <f t="shared" si="1"/>
        <v/>
      </c>
      <c r="V44" s="1"/>
      <c r="W44" s="1"/>
    </row>
    <row r="45" spans="1:23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1"/>
      <c r="T45" s="6">
        <f t="shared" ca="1" si="0"/>
        <v>0</v>
      </c>
      <c r="U45" s="1" t="str">
        <f t="shared" si="1"/>
        <v/>
      </c>
      <c r="V45" s="1"/>
      <c r="W45" s="1"/>
    </row>
    <row r="46" spans="1:23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8"/>
      <c r="R46" s="8"/>
      <c r="S46" s="1"/>
      <c r="T46" s="6">
        <f t="shared" ca="1" si="0"/>
        <v>0</v>
      </c>
      <c r="U46" s="1" t="str">
        <f t="shared" si="1"/>
        <v/>
      </c>
      <c r="V46" s="1"/>
      <c r="W46" s="1"/>
    </row>
    <row r="47" spans="1:23">
      <c r="A47" s="1"/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8"/>
      <c r="R47" s="8"/>
      <c r="S47" s="1"/>
      <c r="T47" s="6">
        <f t="shared" ca="1" si="0"/>
        <v>0</v>
      </c>
      <c r="U47" s="1" t="str">
        <f t="shared" si="1"/>
        <v/>
      </c>
      <c r="V47" s="1"/>
      <c r="W47" s="1"/>
    </row>
    <row r="48" spans="1:23">
      <c r="A48" s="1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8"/>
      <c r="R48" s="8"/>
      <c r="S48" s="1"/>
      <c r="T48" s="6">
        <f t="shared" ca="1" si="0"/>
        <v>0</v>
      </c>
      <c r="U48" s="1" t="str">
        <f t="shared" si="1"/>
        <v/>
      </c>
      <c r="V48" s="1"/>
      <c r="W48" s="1"/>
    </row>
    <row r="49" spans="1:23">
      <c r="A49" s="1"/>
      <c r="B49" s="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8"/>
      <c r="R49" s="8"/>
      <c r="S49" s="1"/>
      <c r="T49" s="6">
        <f t="shared" ca="1" si="0"/>
        <v>0</v>
      </c>
      <c r="U49" s="1" t="str">
        <f t="shared" si="1"/>
        <v/>
      </c>
      <c r="V49" s="1"/>
      <c r="W49" s="1"/>
    </row>
    <row r="50" spans="1:23">
      <c r="A50" s="1"/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8"/>
      <c r="R50" s="8"/>
      <c r="S50" s="1"/>
      <c r="T50" s="6">
        <f t="shared" ca="1" si="0"/>
        <v>0</v>
      </c>
      <c r="U50" s="1" t="str">
        <f t="shared" si="1"/>
        <v/>
      </c>
      <c r="V50" s="1"/>
      <c r="W50" s="1"/>
    </row>
    <row r="51" spans="1:23">
      <c r="A51" s="1"/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8"/>
      <c r="R51" s="8"/>
      <c r="S51" s="1"/>
      <c r="T51" s="6">
        <f t="shared" ca="1" si="0"/>
        <v>0</v>
      </c>
      <c r="U51" s="1" t="str">
        <f t="shared" si="1"/>
        <v/>
      </c>
      <c r="V51" s="1"/>
      <c r="W51" s="1"/>
    </row>
    <row r="52" spans="1:23">
      <c r="A52" s="1"/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8"/>
      <c r="R52" s="8"/>
      <c r="S52" s="1"/>
      <c r="T52" s="6">
        <f t="shared" ca="1" si="0"/>
        <v>0</v>
      </c>
      <c r="U52" s="1" t="str">
        <f t="shared" si="1"/>
        <v/>
      </c>
      <c r="V52" s="1"/>
      <c r="W52" s="1"/>
    </row>
    <row r="53" spans="1:23">
      <c r="A53" s="1"/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8"/>
      <c r="R53" s="8"/>
      <c r="S53" s="1"/>
      <c r="T53" s="6">
        <f t="shared" ca="1" si="0"/>
        <v>0</v>
      </c>
      <c r="U53" s="1" t="str">
        <f t="shared" si="1"/>
        <v/>
      </c>
      <c r="V53" s="1"/>
      <c r="W53" s="1"/>
    </row>
    <row r="54" spans="1:23">
      <c r="A54" s="1"/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8"/>
      <c r="R54" s="8"/>
      <c r="S54" s="1"/>
      <c r="T54" s="6">
        <f t="shared" ca="1" si="0"/>
        <v>0</v>
      </c>
      <c r="U54" s="1" t="str">
        <f t="shared" si="1"/>
        <v/>
      </c>
      <c r="V54" s="1"/>
      <c r="W54" s="1"/>
    </row>
    <row r="55" spans="1:23">
      <c r="A55" s="1"/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8"/>
      <c r="R55" s="8"/>
      <c r="S55" s="1"/>
      <c r="T55" s="6">
        <f t="shared" ca="1" si="0"/>
        <v>0</v>
      </c>
      <c r="U55" s="1" t="str">
        <f t="shared" si="1"/>
        <v/>
      </c>
      <c r="V55" s="1"/>
      <c r="W55" s="1"/>
    </row>
    <row r="56" spans="1:23">
      <c r="A56" s="1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8"/>
      <c r="R56" s="8"/>
      <c r="S56" s="1"/>
      <c r="T56" s="6">
        <f t="shared" ca="1" si="0"/>
        <v>0</v>
      </c>
      <c r="U56" s="1" t="str">
        <f t="shared" si="1"/>
        <v/>
      </c>
      <c r="V56" s="1"/>
      <c r="W56" s="1"/>
    </row>
    <row r="57" spans="1:23">
      <c r="A57" s="1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8"/>
      <c r="R57" s="8"/>
      <c r="S57" s="1"/>
      <c r="T57" s="6">
        <f t="shared" ca="1" si="0"/>
        <v>0</v>
      </c>
      <c r="U57" s="1" t="str">
        <f t="shared" si="1"/>
        <v/>
      </c>
      <c r="V57" s="1"/>
      <c r="W57" s="1"/>
    </row>
    <row r="58" spans="1:23">
      <c r="A58" s="1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8"/>
      <c r="R58" s="8"/>
      <c r="S58" s="1"/>
      <c r="T58" s="6">
        <f t="shared" ca="1" si="0"/>
        <v>0</v>
      </c>
      <c r="U58" s="1" t="str">
        <f t="shared" si="1"/>
        <v/>
      </c>
      <c r="V58" s="1"/>
      <c r="W58" s="1"/>
    </row>
    <row r="59" spans="1:23">
      <c r="A59" s="1"/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8"/>
      <c r="R59" s="8"/>
      <c r="S59" s="1"/>
      <c r="T59" s="6">
        <f t="shared" ca="1" si="0"/>
        <v>0</v>
      </c>
      <c r="U59" s="1" t="str">
        <f t="shared" si="1"/>
        <v/>
      </c>
      <c r="V59" s="1"/>
      <c r="W59" s="1"/>
    </row>
    <row r="60" spans="1:23">
      <c r="A60" s="1"/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8"/>
      <c r="R60" s="8"/>
      <c r="S60" s="1"/>
      <c r="T60" s="6">
        <f t="shared" ca="1" si="0"/>
        <v>0</v>
      </c>
      <c r="U60" s="1" t="str">
        <f t="shared" si="1"/>
        <v/>
      </c>
      <c r="V60" s="1"/>
      <c r="W60" s="1"/>
    </row>
    <row r="61" spans="1:23">
      <c r="A61" s="1"/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8"/>
      <c r="R61" s="8"/>
      <c r="S61" s="1"/>
      <c r="T61" s="6">
        <f t="shared" ca="1" si="0"/>
        <v>0</v>
      </c>
      <c r="U61" s="1" t="str">
        <f t="shared" si="1"/>
        <v/>
      </c>
      <c r="V61" s="1"/>
      <c r="W61" s="1"/>
    </row>
    <row r="62" spans="1:23">
      <c r="A62" s="1"/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8"/>
      <c r="R62" s="8"/>
      <c r="S62" s="1"/>
      <c r="T62" s="6">
        <f t="shared" ca="1" si="0"/>
        <v>0</v>
      </c>
      <c r="U62" s="1" t="str">
        <f t="shared" si="1"/>
        <v/>
      </c>
      <c r="V62" s="1"/>
      <c r="W62" s="1"/>
    </row>
    <row r="63" spans="1:23">
      <c r="A63" s="1"/>
      <c r="B63" s="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8"/>
      <c r="R63" s="8"/>
      <c r="S63" s="1"/>
      <c r="T63" s="6">
        <f t="shared" ca="1" si="0"/>
        <v>0</v>
      </c>
      <c r="U63" s="1" t="str">
        <f t="shared" si="1"/>
        <v/>
      </c>
      <c r="V63" s="1"/>
      <c r="W63" s="1"/>
    </row>
    <row r="64" spans="1:23">
      <c r="A64" s="1"/>
      <c r="B64" s="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8"/>
      <c r="R64" s="8"/>
      <c r="S64" s="1"/>
      <c r="T64" s="6">
        <f t="shared" ca="1" si="0"/>
        <v>0</v>
      </c>
      <c r="U64" s="1" t="str">
        <f t="shared" si="1"/>
        <v/>
      </c>
      <c r="V64" s="1"/>
      <c r="W64" s="1"/>
    </row>
    <row r="65" spans="1:23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8"/>
      <c r="R65" s="8"/>
      <c r="S65" s="1"/>
      <c r="T65" s="6">
        <f t="shared" ca="1" si="0"/>
        <v>0</v>
      </c>
      <c r="U65" s="1" t="str">
        <f t="shared" si="1"/>
        <v/>
      </c>
      <c r="V65" s="1"/>
      <c r="W65" s="1"/>
    </row>
    <row r="66" spans="1:23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8"/>
      <c r="R66" s="8"/>
      <c r="S66" s="1"/>
      <c r="T66" s="6">
        <f t="shared" ref="T66:T129" ca="1" si="2">IF(AND(S66&lt;&gt;"Clôturée",Q66&lt;&gt;"",TODAY()&gt;Q66),TODAY()-Q66,0)</f>
        <v>0</v>
      </c>
      <c r="U66" s="1" t="str">
        <f t="shared" ref="U66:U129" si="3">IF(M66="Critique","P1",IF(M66="Majeure","P2",IF(M66="Mineure","P3","")))</f>
        <v/>
      </c>
      <c r="V66" s="1"/>
      <c r="W66" s="1"/>
    </row>
    <row r="67" spans="1:23">
      <c r="A67" s="1"/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8"/>
      <c r="R67" s="8"/>
      <c r="S67" s="1"/>
      <c r="T67" s="6">
        <f t="shared" ca="1" si="2"/>
        <v>0</v>
      </c>
      <c r="U67" s="1" t="str">
        <f t="shared" si="3"/>
        <v/>
      </c>
      <c r="V67" s="1"/>
      <c r="W67" s="1"/>
    </row>
    <row r="68" spans="1:23">
      <c r="A68" s="1"/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8"/>
      <c r="R68" s="8"/>
      <c r="S68" s="1"/>
      <c r="T68" s="6">
        <f t="shared" ca="1" si="2"/>
        <v>0</v>
      </c>
      <c r="U68" s="1" t="str">
        <f t="shared" si="3"/>
        <v/>
      </c>
      <c r="V68" s="1"/>
      <c r="W68" s="1"/>
    </row>
    <row r="69" spans="1:23">
      <c r="A69" s="1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8"/>
      <c r="R69" s="8"/>
      <c r="S69" s="1"/>
      <c r="T69" s="6">
        <f t="shared" ca="1" si="2"/>
        <v>0</v>
      </c>
      <c r="U69" s="1" t="str">
        <f t="shared" si="3"/>
        <v/>
      </c>
      <c r="V69" s="1"/>
      <c r="W69" s="1"/>
    </row>
    <row r="70" spans="1:23">
      <c r="A70" s="1"/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8"/>
      <c r="R70" s="8"/>
      <c r="S70" s="1"/>
      <c r="T70" s="6">
        <f t="shared" ca="1" si="2"/>
        <v>0</v>
      </c>
      <c r="U70" s="1" t="str">
        <f t="shared" si="3"/>
        <v/>
      </c>
      <c r="V70" s="1"/>
      <c r="W70" s="1"/>
    </row>
    <row r="71" spans="1:23">
      <c r="A71" s="1"/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8"/>
      <c r="R71" s="8"/>
      <c r="S71" s="1"/>
      <c r="T71" s="6">
        <f t="shared" ca="1" si="2"/>
        <v>0</v>
      </c>
      <c r="U71" s="1" t="str">
        <f t="shared" si="3"/>
        <v/>
      </c>
      <c r="V71" s="1"/>
      <c r="W71" s="1"/>
    </row>
    <row r="72" spans="1:23">
      <c r="A72" s="1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8"/>
      <c r="R72" s="8"/>
      <c r="S72" s="1"/>
      <c r="T72" s="6">
        <f t="shared" ca="1" si="2"/>
        <v>0</v>
      </c>
      <c r="U72" s="1" t="str">
        <f t="shared" si="3"/>
        <v/>
      </c>
      <c r="V72" s="1"/>
      <c r="W72" s="1"/>
    </row>
    <row r="73" spans="1:23">
      <c r="A73" s="1"/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8"/>
      <c r="R73" s="8"/>
      <c r="S73" s="1"/>
      <c r="T73" s="6">
        <f t="shared" ca="1" si="2"/>
        <v>0</v>
      </c>
      <c r="U73" s="1" t="str">
        <f t="shared" si="3"/>
        <v/>
      </c>
      <c r="V73" s="1"/>
      <c r="W73" s="1"/>
    </row>
    <row r="74" spans="1:23">
      <c r="A74" s="1"/>
      <c r="B74" s="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8"/>
      <c r="R74" s="8"/>
      <c r="S74" s="1"/>
      <c r="T74" s="6">
        <f t="shared" ca="1" si="2"/>
        <v>0</v>
      </c>
      <c r="U74" s="1" t="str">
        <f t="shared" si="3"/>
        <v/>
      </c>
      <c r="V74" s="1"/>
      <c r="W74" s="1"/>
    </row>
    <row r="75" spans="1:23">
      <c r="A75" s="1"/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8"/>
      <c r="R75" s="8"/>
      <c r="S75" s="1"/>
      <c r="T75" s="6">
        <f t="shared" ca="1" si="2"/>
        <v>0</v>
      </c>
      <c r="U75" s="1" t="str">
        <f t="shared" si="3"/>
        <v/>
      </c>
      <c r="V75" s="1"/>
      <c r="W75" s="1"/>
    </row>
    <row r="76" spans="1:23">
      <c r="A76" s="1"/>
      <c r="B76" s="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8"/>
      <c r="R76" s="8"/>
      <c r="S76" s="1"/>
      <c r="T76" s="6">
        <f t="shared" ca="1" si="2"/>
        <v>0</v>
      </c>
      <c r="U76" s="1" t="str">
        <f t="shared" si="3"/>
        <v/>
      </c>
      <c r="V76" s="1"/>
      <c r="W76" s="1"/>
    </row>
    <row r="77" spans="1:23">
      <c r="A77" s="1"/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8"/>
      <c r="R77" s="8"/>
      <c r="S77" s="1"/>
      <c r="T77" s="6">
        <f t="shared" ca="1" si="2"/>
        <v>0</v>
      </c>
      <c r="U77" s="1" t="str">
        <f t="shared" si="3"/>
        <v/>
      </c>
      <c r="V77" s="1"/>
      <c r="W77" s="1"/>
    </row>
    <row r="78" spans="1:23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8"/>
      <c r="R78" s="8"/>
      <c r="S78" s="1"/>
      <c r="T78" s="6">
        <f t="shared" ca="1" si="2"/>
        <v>0</v>
      </c>
      <c r="U78" s="1" t="str">
        <f t="shared" si="3"/>
        <v/>
      </c>
      <c r="V78" s="1"/>
      <c r="W78" s="1"/>
    </row>
    <row r="79" spans="1:23">
      <c r="A79" s="1"/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8"/>
      <c r="R79" s="8"/>
      <c r="S79" s="1"/>
      <c r="T79" s="6">
        <f t="shared" ca="1" si="2"/>
        <v>0</v>
      </c>
      <c r="U79" s="1" t="str">
        <f t="shared" si="3"/>
        <v/>
      </c>
      <c r="V79" s="1"/>
      <c r="W79" s="1"/>
    </row>
    <row r="80" spans="1:23">
      <c r="A80" s="1"/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8"/>
      <c r="R80" s="8"/>
      <c r="S80" s="1"/>
      <c r="T80" s="6">
        <f t="shared" ca="1" si="2"/>
        <v>0</v>
      </c>
      <c r="U80" s="1" t="str">
        <f t="shared" si="3"/>
        <v/>
      </c>
      <c r="V80" s="1"/>
      <c r="W80" s="1"/>
    </row>
    <row r="81" spans="1:23">
      <c r="A81" s="1"/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8"/>
      <c r="R81" s="8"/>
      <c r="S81" s="1"/>
      <c r="T81" s="6">
        <f t="shared" ca="1" si="2"/>
        <v>0</v>
      </c>
      <c r="U81" s="1" t="str">
        <f t="shared" si="3"/>
        <v/>
      </c>
      <c r="V81" s="1"/>
      <c r="W81" s="1"/>
    </row>
    <row r="82" spans="1:23">
      <c r="A82" s="1"/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8"/>
      <c r="R82" s="8"/>
      <c r="S82" s="1"/>
      <c r="T82" s="6">
        <f t="shared" ca="1" si="2"/>
        <v>0</v>
      </c>
      <c r="U82" s="1" t="str">
        <f t="shared" si="3"/>
        <v/>
      </c>
      <c r="V82" s="1"/>
      <c r="W82" s="1"/>
    </row>
    <row r="83" spans="1:23">
      <c r="A83" s="1"/>
      <c r="B83" s="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8"/>
      <c r="R83" s="8"/>
      <c r="S83" s="1"/>
      <c r="T83" s="6">
        <f t="shared" ca="1" si="2"/>
        <v>0</v>
      </c>
      <c r="U83" s="1" t="str">
        <f t="shared" si="3"/>
        <v/>
      </c>
      <c r="V83" s="1"/>
      <c r="W83" s="1"/>
    </row>
    <row r="84" spans="1:23">
      <c r="A84" s="1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8"/>
      <c r="R84" s="8"/>
      <c r="S84" s="1"/>
      <c r="T84" s="6">
        <f t="shared" ca="1" si="2"/>
        <v>0</v>
      </c>
      <c r="U84" s="1" t="str">
        <f t="shared" si="3"/>
        <v/>
      </c>
      <c r="V84" s="1"/>
      <c r="W84" s="1"/>
    </row>
    <row r="85" spans="1:23">
      <c r="A85" s="1"/>
      <c r="B85" s="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8"/>
      <c r="R85" s="8"/>
      <c r="S85" s="1"/>
      <c r="T85" s="6">
        <f t="shared" ca="1" si="2"/>
        <v>0</v>
      </c>
      <c r="U85" s="1" t="str">
        <f t="shared" si="3"/>
        <v/>
      </c>
      <c r="V85" s="1"/>
      <c r="W85" s="1"/>
    </row>
    <row r="86" spans="1:23">
      <c r="A86" s="1"/>
      <c r="B86" s="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8"/>
      <c r="R86" s="8"/>
      <c r="S86" s="1"/>
      <c r="T86" s="6">
        <f t="shared" ca="1" si="2"/>
        <v>0</v>
      </c>
      <c r="U86" s="1" t="str">
        <f t="shared" si="3"/>
        <v/>
      </c>
      <c r="V86" s="1"/>
      <c r="W86" s="1"/>
    </row>
    <row r="87" spans="1:23">
      <c r="A87" s="1"/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8"/>
      <c r="R87" s="8"/>
      <c r="S87" s="1"/>
      <c r="T87" s="6">
        <f t="shared" ca="1" si="2"/>
        <v>0</v>
      </c>
      <c r="U87" s="1" t="str">
        <f t="shared" si="3"/>
        <v/>
      </c>
      <c r="V87" s="1"/>
      <c r="W87" s="1"/>
    </row>
    <row r="88" spans="1:23">
      <c r="A88" s="1"/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8"/>
      <c r="R88" s="8"/>
      <c r="S88" s="1"/>
      <c r="T88" s="6">
        <f t="shared" ca="1" si="2"/>
        <v>0</v>
      </c>
      <c r="U88" s="1" t="str">
        <f t="shared" si="3"/>
        <v/>
      </c>
      <c r="V88" s="1"/>
      <c r="W88" s="1"/>
    </row>
    <row r="89" spans="1:23">
      <c r="A89" s="1"/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8"/>
      <c r="R89" s="8"/>
      <c r="S89" s="1"/>
      <c r="T89" s="6">
        <f t="shared" ca="1" si="2"/>
        <v>0</v>
      </c>
      <c r="U89" s="1" t="str">
        <f t="shared" si="3"/>
        <v/>
      </c>
      <c r="V89" s="1"/>
      <c r="W89" s="1"/>
    </row>
    <row r="90" spans="1:23">
      <c r="A90" s="1"/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8"/>
      <c r="R90" s="8"/>
      <c r="S90" s="1"/>
      <c r="T90" s="6">
        <f t="shared" ca="1" si="2"/>
        <v>0</v>
      </c>
      <c r="U90" s="1" t="str">
        <f t="shared" si="3"/>
        <v/>
      </c>
      <c r="V90" s="1"/>
      <c r="W90" s="1"/>
    </row>
    <row r="91" spans="1:23">
      <c r="A91" s="1"/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8"/>
      <c r="R91" s="8"/>
      <c r="S91" s="1"/>
      <c r="T91" s="6">
        <f t="shared" ca="1" si="2"/>
        <v>0</v>
      </c>
      <c r="U91" s="1" t="str">
        <f t="shared" si="3"/>
        <v/>
      </c>
      <c r="V91" s="1"/>
      <c r="W91" s="1"/>
    </row>
    <row r="92" spans="1:23">
      <c r="A92" s="1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8"/>
      <c r="R92" s="8"/>
      <c r="S92" s="1"/>
      <c r="T92" s="6">
        <f t="shared" ca="1" si="2"/>
        <v>0</v>
      </c>
      <c r="U92" s="1" t="str">
        <f t="shared" si="3"/>
        <v/>
      </c>
      <c r="V92" s="1"/>
      <c r="W92" s="1"/>
    </row>
    <row r="93" spans="1:23">
      <c r="A93" s="1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8"/>
      <c r="R93" s="8"/>
      <c r="S93" s="1"/>
      <c r="T93" s="6">
        <f t="shared" ca="1" si="2"/>
        <v>0</v>
      </c>
      <c r="U93" s="1" t="str">
        <f t="shared" si="3"/>
        <v/>
      </c>
      <c r="V93" s="1"/>
      <c r="W93" s="1"/>
    </row>
    <row r="94" spans="1:23">
      <c r="A94" s="1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8"/>
      <c r="R94" s="8"/>
      <c r="S94" s="1"/>
      <c r="T94" s="6">
        <f t="shared" ca="1" si="2"/>
        <v>0</v>
      </c>
      <c r="U94" s="1" t="str">
        <f t="shared" si="3"/>
        <v/>
      </c>
      <c r="V94" s="1"/>
      <c r="W94" s="1"/>
    </row>
    <row r="95" spans="1:23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8"/>
      <c r="R95" s="8"/>
      <c r="S95" s="1"/>
      <c r="T95" s="6">
        <f t="shared" ca="1" si="2"/>
        <v>0</v>
      </c>
      <c r="U95" s="1" t="str">
        <f t="shared" si="3"/>
        <v/>
      </c>
      <c r="V95" s="1"/>
      <c r="W95" s="1"/>
    </row>
    <row r="96" spans="1:23">
      <c r="A96" s="1"/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8"/>
      <c r="R96" s="8"/>
      <c r="S96" s="1"/>
      <c r="T96" s="6">
        <f t="shared" ca="1" si="2"/>
        <v>0</v>
      </c>
      <c r="U96" s="1" t="str">
        <f t="shared" si="3"/>
        <v/>
      </c>
      <c r="V96" s="1"/>
      <c r="W96" s="1"/>
    </row>
    <row r="97" spans="1:23">
      <c r="A97" s="1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8"/>
      <c r="R97" s="8"/>
      <c r="S97" s="1"/>
      <c r="T97" s="6">
        <f t="shared" ca="1" si="2"/>
        <v>0</v>
      </c>
      <c r="U97" s="1" t="str">
        <f t="shared" si="3"/>
        <v/>
      </c>
      <c r="V97" s="1"/>
      <c r="W97" s="1"/>
    </row>
    <row r="98" spans="1:23">
      <c r="A98" s="1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8"/>
      <c r="R98" s="8"/>
      <c r="S98" s="1"/>
      <c r="T98" s="6">
        <f t="shared" ca="1" si="2"/>
        <v>0</v>
      </c>
      <c r="U98" s="1" t="str">
        <f t="shared" si="3"/>
        <v/>
      </c>
      <c r="V98" s="1"/>
      <c r="W98" s="1"/>
    </row>
    <row r="99" spans="1:23">
      <c r="A99" s="1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8"/>
      <c r="R99" s="8"/>
      <c r="S99" s="1"/>
      <c r="T99" s="6">
        <f t="shared" ca="1" si="2"/>
        <v>0</v>
      </c>
      <c r="U99" s="1" t="str">
        <f t="shared" si="3"/>
        <v/>
      </c>
      <c r="V99" s="1"/>
      <c r="W99" s="1"/>
    </row>
    <row r="100" spans="1:23">
      <c r="A100" s="1"/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8"/>
      <c r="R100" s="8"/>
      <c r="S100" s="1"/>
      <c r="T100" s="6">
        <f t="shared" ca="1" si="2"/>
        <v>0</v>
      </c>
      <c r="U100" s="1" t="str">
        <f t="shared" si="3"/>
        <v/>
      </c>
      <c r="V100" s="1"/>
      <c r="W100" s="1"/>
    </row>
    <row r="101" spans="1:23">
      <c r="A101" s="1"/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8"/>
      <c r="R101" s="8"/>
      <c r="S101" s="1"/>
      <c r="T101" s="6">
        <f t="shared" ca="1" si="2"/>
        <v>0</v>
      </c>
      <c r="U101" s="1" t="str">
        <f t="shared" si="3"/>
        <v/>
      </c>
      <c r="V101" s="1"/>
      <c r="W101" s="1"/>
    </row>
    <row r="102" spans="1:23">
      <c r="A102" s="1"/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8"/>
      <c r="R102" s="8"/>
      <c r="S102" s="1"/>
      <c r="T102" s="6">
        <f t="shared" ca="1" si="2"/>
        <v>0</v>
      </c>
      <c r="U102" s="1" t="str">
        <f t="shared" si="3"/>
        <v/>
      </c>
      <c r="V102" s="1"/>
      <c r="W102" s="1"/>
    </row>
    <row r="103" spans="1:23">
      <c r="A103" s="1"/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8"/>
      <c r="R103" s="8"/>
      <c r="S103" s="1"/>
      <c r="T103" s="6">
        <f t="shared" ca="1" si="2"/>
        <v>0</v>
      </c>
      <c r="U103" s="1" t="str">
        <f t="shared" si="3"/>
        <v/>
      </c>
      <c r="V103" s="1"/>
      <c r="W103" s="1"/>
    </row>
    <row r="104" spans="1:23">
      <c r="A104" s="1"/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8"/>
      <c r="R104" s="8"/>
      <c r="S104" s="1"/>
      <c r="T104" s="6">
        <f t="shared" ca="1" si="2"/>
        <v>0</v>
      </c>
      <c r="U104" s="1" t="str">
        <f t="shared" si="3"/>
        <v/>
      </c>
      <c r="V104" s="1"/>
      <c r="W104" s="1"/>
    </row>
    <row r="105" spans="1:23">
      <c r="A105" s="1"/>
      <c r="B105" s="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8"/>
      <c r="R105" s="8"/>
      <c r="S105" s="1"/>
      <c r="T105" s="6">
        <f t="shared" ca="1" si="2"/>
        <v>0</v>
      </c>
      <c r="U105" s="1" t="str">
        <f t="shared" si="3"/>
        <v/>
      </c>
      <c r="V105" s="1"/>
      <c r="W105" s="1"/>
    </row>
    <row r="106" spans="1:23">
      <c r="A106" s="1"/>
      <c r="B106" s="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8"/>
      <c r="R106" s="8"/>
      <c r="S106" s="1"/>
      <c r="T106" s="6">
        <f t="shared" ca="1" si="2"/>
        <v>0</v>
      </c>
      <c r="U106" s="1" t="str">
        <f t="shared" si="3"/>
        <v/>
      </c>
      <c r="V106" s="1"/>
      <c r="W106" s="1"/>
    </row>
    <row r="107" spans="1:23">
      <c r="A107" s="1"/>
      <c r="B107" s="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8"/>
      <c r="R107" s="8"/>
      <c r="S107" s="1"/>
      <c r="T107" s="6">
        <f t="shared" ca="1" si="2"/>
        <v>0</v>
      </c>
      <c r="U107" s="1" t="str">
        <f t="shared" si="3"/>
        <v/>
      </c>
      <c r="V107" s="1"/>
      <c r="W107" s="1"/>
    </row>
    <row r="108" spans="1:23">
      <c r="A108" s="1"/>
      <c r="B108" s="8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8"/>
      <c r="R108" s="8"/>
      <c r="S108" s="1"/>
      <c r="T108" s="6">
        <f t="shared" ca="1" si="2"/>
        <v>0</v>
      </c>
      <c r="U108" s="1" t="str">
        <f t="shared" si="3"/>
        <v/>
      </c>
      <c r="V108" s="1"/>
      <c r="W108" s="1"/>
    </row>
    <row r="109" spans="1:23">
      <c r="A109" s="1"/>
      <c r="B109" s="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8"/>
      <c r="R109" s="8"/>
      <c r="S109" s="1"/>
      <c r="T109" s="6">
        <f t="shared" ca="1" si="2"/>
        <v>0</v>
      </c>
      <c r="U109" s="1" t="str">
        <f t="shared" si="3"/>
        <v/>
      </c>
      <c r="V109" s="1"/>
      <c r="W109" s="1"/>
    </row>
    <row r="110" spans="1:23">
      <c r="A110" s="1"/>
      <c r="B110" s="8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8"/>
      <c r="R110" s="8"/>
      <c r="S110" s="1"/>
      <c r="T110" s="6">
        <f t="shared" ca="1" si="2"/>
        <v>0</v>
      </c>
      <c r="U110" s="1" t="str">
        <f t="shared" si="3"/>
        <v/>
      </c>
      <c r="V110" s="1"/>
      <c r="W110" s="1"/>
    </row>
    <row r="111" spans="1:23">
      <c r="A111" s="1"/>
      <c r="B111" s="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8"/>
      <c r="R111" s="8"/>
      <c r="S111" s="1"/>
      <c r="T111" s="6">
        <f t="shared" ca="1" si="2"/>
        <v>0</v>
      </c>
      <c r="U111" s="1" t="str">
        <f t="shared" si="3"/>
        <v/>
      </c>
      <c r="V111" s="1"/>
      <c r="W111" s="1"/>
    </row>
    <row r="112" spans="1:23">
      <c r="A112" s="1"/>
      <c r="B112" s="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8"/>
      <c r="R112" s="8"/>
      <c r="S112" s="1"/>
      <c r="T112" s="6">
        <f t="shared" ca="1" si="2"/>
        <v>0</v>
      </c>
      <c r="U112" s="1" t="str">
        <f t="shared" si="3"/>
        <v/>
      </c>
      <c r="V112" s="1"/>
      <c r="W112" s="1"/>
    </row>
    <row r="113" spans="1:23">
      <c r="A113" s="1"/>
      <c r="B113" s="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8"/>
      <c r="R113" s="8"/>
      <c r="S113" s="1"/>
      <c r="T113" s="6">
        <f t="shared" ca="1" si="2"/>
        <v>0</v>
      </c>
      <c r="U113" s="1" t="str">
        <f t="shared" si="3"/>
        <v/>
      </c>
      <c r="V113" s="1"/>
      <c r="W113" s="1"/>
    </row>
    <row r="114" spans="1:23">
      <c r="A114" s="1"/>
      <c r="B114" s="8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8"/>
      <c r="R114" s="8"/>
      <c r="S114" s="1"/>
      <c r="T114" s="6">
        <f t="shared" ca="1" si="2"/>
        <v>0</v>
      </c>
      <c r="U114" s="1" t="str">
        <f t="shared" si="3"/>
        <v/>
      </c>
      <c r="V114" s="1"/>
      <c r="W114" s="1"/>
    </row>
    <row r="115" spans="1:23">
      <c r="A115" s="1"/>
      <c r="B115" s="8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8"/>
      <c r="R115" s="8"/>
      <c r="S115" s="1"/>
      <c r="T115" s="6">
        <f t="shared" ca="1" si="2"/>
        <v>0</v>
      </c>
      <c r="U115" s="1" t="str">
        <f t="shared" si="3"/>
        <v/>
      </c>
      <c r="V115" s="1"/>
      <c r="W115" s="1"/>
    </row>
    <row r="116" spans="1:23">
      <c r="A116" s="1"/>
      <c r="B116" s="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8"/>
      <c r="R116" s="8"/>
      <c r="S116" s="1"/>
      <c r="T116" s="6">
        <f t="shared" ca="1" si="2"/>
        <v>0</v>
      </c>
      <c r="U116" s="1" t="str">
        <f t="shared" si="3"/>
        <v/>
      </c>
      <c r="V116" s="1"/>
      <c r="W116" s="1"/>
    </row>
    <row r="117" spans="1:23">
      <c r="A117" s="1"/>
      <c r="B117" s="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8"/>
      <c r="R117" s="8"/>
      <c r="S117" s="1"/>
      <c r="T117" s="6">
        <f t="shared" ca="1" si="2"/>
        <v>0</v>
      </c>
      <c r="U117" s="1" t="str">
        <f t="shared" si="3"/>
        <v/>
      </c>
      <c r="V117" s="1"/>
      <c r="W117" s="1"/>
    </row>
    <row r="118" spans="1:23">
      <c r="A118" s="1"/>
      <c r="B118" s="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8"/>
      <c r="R118" s="8"/>
      <c r="S118" s="1"/>
      <c r="T118" s="6">
        <f t="shared" ca="1" si="2"/>
        <v>0</v>
      </c>
      <c r="U118" s="1" t="str">
        <f t="shared" si="3"/>
        <v/>
      </c>
      <c r="V118" s="1"/>
      <c r="W118" s="1"/>
    </row>
    <row r="119" spans="1:23">
      <c r="A119" s="1"/>
      <c r="B119" s="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8"/>
      <c r="R119" s="8"/>
      <c r="S119" s="1"/>
      <c r="T119" s="6">
        <f t="shared" ca="1" si="2"/>
        <v>0</v>
      </c>
      <c r="U119" s="1" t="str">
        <f t="shared" si="3"/>
        <v/>
      </c>
      <c r="V119" s="1"/>
      <c r="W119" s="1"/>
    </row>
    <row r="120" spans="1:23">
      <c r="A120" s="1"/>
      <c r="B120" s="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8"/>
      <c r="R120" s="8"/>
      <c r="S120" s="1"/>
      <c r="T120" s="6">
        <f t="shared" ca="1" si="2"/>
        <v>0</v>
      </c>
      <c r="U120" s="1" t="str">
        <f t="shared" si="3"/>
        <v/>
      </c>
      <c r="V120" s="1"/>
      <c r="W120" s="1"/>
    </row>
    <row r="121" spans="1:23">
      <c r="A121" s="1"/>
      <c r="B121" s="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8"/>
      <c r="R121" s="8"/>
      <c r="S121" s="1"/>
      <c r="T121" s="6">
        <f t="shared" ca="1" si="2"/>
        <v>0</v>
      </c>
      <c r="U121" s="1" t="str">
        <f t="shared" si="3"/>
        <v/>
      </c>
      <c r="V121" s="1"/>
      <c r="W121" s="1"/>
    </row>
    <row r="122" spans="1:23">
      <c r="A122" s="1"/>
      <c r="B122" s="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8"/>
      <c r="R122" s="8"/>
      <c r="S122" s="1"/>
      <c r="T122" s="6">
        <f t="shared" ca="1" si="2"/>
        <v>0</v>
      </c>
      <c r="U122" s="1" t="str">
        <f t="shared" si="3"/>
        <v/>
      </c>
      <c r="V122" s="1"/>
      <c r="W122" s="1"/>
    </row>
    <row r="123" spans="1:23">
      <c r="A123" s="1"/>
      <c r="B123" s="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8"/>
      <c r="R123" s="8"/>
      <c r="S123" s="1"/>
      <c r="T123" s="6">
        <f t="shared" ca="1" si="2"/>
        <v>0</v>
      </c>
      <c r="U123" s="1" t="str">
        <f t="shared" si="3"/>
        <v/>
      </c>
      <c r="V123" s="1"/>
      <c r="W123" s="1"/>
    </row>
    <row r="124" spans="1:23">
      <c r="A124" s="1"/>
      <c r="B124" s="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8"/>
      <c r="R124" s="8"/>
      <c r="S124" s="1"/>
      <c r="T124" s="6">
        <f t="shared" ca="1" si="2"/>
        <v>0</v>
      </c>
      <c r="U124" s="1" t="str">
        <f t="shared" si="3"/>
        <v/>
      </c>
      <c r="V124" s="1"/>
      <c r="W124" s="1"/>
    </row>
    <row r="125" spans="1:23">
      <c r="A125" s="1"/>
      <c r="B125" s="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8"/>
      <c r="R125" s="8"/>
      <c r="S125" s="1"/>
      <c r="T125" s="6">
        <f t="shared" ca="1" si="2"/>
        <v>0</v>
      </c>
      <c r="U125" s="1" t="str">
        <f t="shared" si="3"/>
        <v/>
      </c>
      <c r="V125" s="1"/>
      <c r="W125" s="1"/>
    </row>
    <row r="126" spans="1:23">
      <c r="A126" s="1"/>
      <c r="B126" s="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8"/>
      <c r="R126" s="8"/>
      <c r="S126" s="1"/>
      <c r="T126" s="6">
        <f t="shared" ca="1" si="2"/>
        <v>0</v>
      </c>
      <c r="U126" s="1" t="str">
        <f t="shared" si="3"/>
        <v/>
      </c>
      <c r="V126" s="1"/>
      <c r="W126" s="1"/>
    </row>
    <row r="127" spans="1:23">
      <c r="A127" s="1"/>
      <c r="B127" s="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8"/>
      <c r="R127" s="8"/>
      <c r="S127" s="1"/>
      <c r="T127" s="6">
        <f t="shared" ca="1" si="2"/>
        <v>0</v>
      </c>
      <c r="U127" s="1" t="str">
        <f t="shared" si="3"/>
        <v/>
      </c>
      <c r="V127" s="1"/>
      <c r="W127" s="1"/>
    </row>
    <row r="128" spans="1:23">
      <c r="A128" s="1"/>
      <c r="B128" s="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8"/>
      <c r="R128" s="8"/>
      <c r="S128" s="1"/>
      <c r="T128" s="6">
        <f t="shared" ca="1" si="2"/>
        <v>0</v>
      </c>
      <c r="U128" s="1" t="str">
        <f t="shared" si="3"/>
        <v/>
      </c>
      <c r="V128" s="1"/>
      <c r="W128" s="1"/>
    </row>
    <row r="129" spans="1:23">
      <c r="A129" s="1"/>
      <c r="B129" s="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8"/>
      <c r="R129" s="8"/>
      <c r="S129" s="1"/>
      <c r="T129" s="6">
        <f t="shared" ca="1" si="2"/>
        <v>0</v>
      </c>
      <c r="U129" s="1" t="str">
        <f t="shared" si="3"/>
        <v/>
      </c>
      <c r="V129" s="1"/>
      <c r="W129" s="1"/>
    </row>
    <row r="130" spans="1:23">
      <c r="A130" s="1"/>
      <c r="B130" s="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8"/>
      <c r="R130" s="8"/>
      <c r="S130" s="1"/>
      <c r="T130" s="6">
        <f t="shared" ref="T130:T193" ca="1" si="4">IF(AND(S130&lt;&gt;"Clôturée",Q130&lt;&gt;"",TODAY()&gt;Q130),TODAY()-Q130,0)</f>
        <v>0</v>
      </c>
      <c r="U130" s="1" t="str">
        <f t="shared" ref="U130:U193" si="5">IF(M130="Critique","P1",IF(M130="Majeure","P2",IF(M130="Mineure","P3","")))</f>
        <v/>
      </c>
      <c r="V130" s="1"/>
      <c r="W130" s="1"/>
    </row>
    <row r="131" spans="1:23">
      <c r="A131" s="1"/>
      <c r="B131" s="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8"/>
      <c r="R131" s="8"/>
      <c r="S131" s="1"/>
      <c r="T131" s="6">
        <f t="shared" ca="1" si="4"/>
        <v>0</v>
      </c>
      <c r="U131" s="1" t="str">
        <f t="shared" si="5"/>
        <v/>
      </c>
      <c r="V131" s="1"/>
      <c r="W131" s="1"/>
    </row>
    <row r="132" spans="1:23">
      <c r="A132" s="1"/>
      <c r="B132" s="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8"/>
      <c r="R132" s="8"/>
      <c r="S132" s="1"/>
      <c r="T132" s="6">
        <f t="shared" ca="1" si="4"/>
        <v>0</v>
      </c>
      <c r="U132" s="1" t="str">
        <f t="shared" si="5"/>
        <v/>
      </c>
      <c r="V132" s="1"/>
      <c r="W132" s="1"/>
    </row>
    <row r="133" spans="1:23">
      <c r="A133" s="1"/>
      <c r="B133" s="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8"/>
      <c r="R133" s="8"/>
      <c r="S133" s="1"/>
      <c r="T133" s="6">
        <f t="shared" ca="1" si="4"/>
        <v>0</v>
      </c>
      <c r="U133" s="1" t="str">
        <f t="shared" si="5"/>
        <v/>
      </c>
      <c r="V133" s="1"/>
      <c r="W133" s="1"/>
    </row>
    <row r="134" spans="1:23">
      <c r="A134" s="1"/>
      <c r="B134" s="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8"/>
      <c r="R134" s="8"/>
      <c r="S134" s="1"/>
      <c r="T134" s="6">
        <f t="shared" ca="1" si="4"/>
        <v>0</v>
      </c>
      <c r="U134" s="1" t="str">
        <f t="shared" si="5"/>
        <v/>
      </c>
      <c r="V134" s="1"/>
      <c r="W134" s="1"/>
    </row>
    <row r="135" spans="1:23">
      <c r="A135" s="1"/>
      <c r="B135" s="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8"/>
      <c r="R135" s="8"/>
      <c r="S135" s="1"/>
      <c r="T135" s="6">
        <f t="shared" ca="1" si="4"/>
        <v>0</v>
      </c>
      <c r="U135" s="1" t="str">
        <f t="shared" si="5"/>
        <v/>
      </c>
      <c r="V135" s="1"/>
      <c r="W135" s="1"/>
    </row>
    <row r="136" spans="1:23">
      <c r="A136" s="1"/>
      <c r="B136" s="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8"/>
      <c r="R136" s="8"/>
      <c r="S136" s="1"/>
      <c r="T136" s="6">
        <f t="shared" ca="1" si="4"/>
        <v>0</v>
      </c>
      <c r="U136" s="1" t="str">
        <f t="shared" si="5"/>
        <v/>
      </c>
      <c r="V136" s="1"/>
      <c r="W136" s="1"/>
    </row>
    <row r="137" spans="1:23">
      <c r="A137" s="1"/>
      <c r="B137" s="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8"/>
      <c r="R137" s="8"/>
      <c r="S137" s="1"/>
      <c r="T137" s="6">
        <f t="shared" ca="1" si="4"/>
        <v>0</v>
      </c>
      <c r="U137" s="1" t="str">
        <f t="shared" si="5"/>
        <v/>
      </c>
      <c r="V137" s="1"/>
      <c r="W137" s="1"/>
    </row>
    <row r="138" spans="1:23">
      <c r="A138" s="1"/>
      <c r="B138" s="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8"/>
      <c r="R138" s="8"/>
      <c r="S138" s="1"/>
      <c r="T138" s="6">
        <f t="shared" ca="1" si="4"/>
        <v>0</v>
      </c>
      <c r="U138" s="1" t="str">
        <f t="shared" si="5"/>
        <v/>
      </c>
      <c r="V138" s="1"/>
      <c r="W138" s="1"/>
    </row>
    <row r="139" spans="1:23">
      <c r="A139" s="1"/>
      <c r="B139" s="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8"/>
      <c r="R139" s="8"/>
      <c r="S139" s="1"/>
      <c r="T139" s="6">
        <f t="shared" ca="1" si="4"/>
        <v>0</v>
      </c>
      <c r="U139" s="1" t="str">
        <f t="shared" si="5"/>
        <v/>
      </c>
      <c r="V139" s="1"/>
      <c r="W139" s="1"/>
    </row>
    <row r="140" spans="1:23">
      <c r="A140" s="1"/>
      <c r="B140" s="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8"/>
      <c r="R140" s="8"/>
      <c r="S140" s="1"/>
      <c r="T140" s="6">
        <f t="shared" ca="1" si="4"/>
        <v>0</v>
      </c>
      <c r="U140" s="1" t="str">
        <f t="shared" si="5"/>
        <v/>
      </c>
      <c r="V140" s="1"/>
      <c r="W140" s="1"/>
    </row>
    <row r="141" spans="1:23">
      <c r="A141" s="1"/>
      <c r="B141" s="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8"/>
      <c r="R141" s="8"/>
      <c r="S141" s="1"/>
      <c r="T141" s="6">
        <f t="shared" ca="1" si="4"/>
        <v>0</v>
      </c>
      <c r="U141" s="1" t="str">
        <f t="shared" si="5"/>
        <v/>
      </c>
      <c r="V141" s="1"/>
      <c r="W141" s="1"/>
    </row>
    <row r="142" spans="1:23">
      <c r="A142" s="1"/>
      <c r="B142" s="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8"/>
      <c r="R142" s="8"/>
      <c r="S142" s="1"/>
      <c r="T142" s="6">
        <f t="shared" ca="1" si="4"/>
        <v>0</v>
      </c>
      <c r="U142" s="1" t="str">
        <f t="shared" si="5"/>
        <v/>
      </c>
      <c r="V142" s="1"/>
      <c r="W142" s="1"/>
    </row>
    <row r="143" spans="1:23">
      <c r="A143" s="1"/>
      <c r="B143" s="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8"/>
      <c r="R143" s="8"/>
      <c r="S143" s="1"/>
      <c r="T143" s="6">
        <f t="shared" ca="1" si="4"/>
        <v>0</v>
      </c>
      <c r="U143" s="1" t="str">
        <f t="shared" si="5"/>
        <v/>
      </c>
      <c r="V143" s="1"/>
      <c r="W143" s="1"/>
    </row>
    <row r="144" spans="1:23">
      <c r="A144" s="1"/>
      <c r="B144" s="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8"/>
      <c r="R144" s="8"/>
      <c r="S144" s="1"/>
      <c r="T144" s="6">
        <f t="shared" ca="1" si="4"/>
        <v>0</v>
      </c>
      <c r="U144" s="1" t="str">
        <f t="shared" si="5"/>
        <v/>
      </c>
      <c r="V144" s="1"/>
      <c r="W144" s="1"/>
    </row>
    <row r="145" spans="1:23">
      <c r="A145" s="1"/>
      <c r="B145" s="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8"/>
      <c r="R145" s="8"/>
      <c r="S145" s="1"/>
      <c r="T145" s="6">
        <f t="shared" ca="1" si="4"/>
        <v>0</v>
      </c>
      <c r="U145" s="1" t="str">
        <f t="shared" si="5"/>
        <v/>
      </c>
      <c r="V145" s="1"/>
      <c r="W145" s="1"/>
    </row>
    <row r="146" spans="1:23">
      <c r="A146" s="1"/>
      <c r="B146" s="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8"/>
      <c r="R146" s="8"/>
      <c r="S146" s="1"/>
      <c r="T146" s="6">
        <f t="shared" ca="1" si="4"/>
        <v>0</v>
      </c>
      <c r="U146" s="1" t="str">
        <f t="shared" si="5"/>
        <v/>
      </c>
      <c r="V146" s="1"/>
      <c r="W146" s="1"/>
    </row>
    <row r="147" spans="1:23">
      <c r="A147" s="1"/>
      <c r="B147" s="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8"/>
      <c r="R147" s="8"/>
      <c r="S147" s="1"/>
      <c r="T147" s="6">
        <f t="shared" ca="1" si="4"/>
        <v>0</v>
      </c>
      <c r="U147" s="1" t="str">
        <f t="shared" si="5"/>
        <v/>
      </c>
      <c r="V147" s="1"/>
      <c r="W147" s="1"/>
    </row>
    <row r="148" spans="1:23">
      <c r="A148" s="1"/>
      <c r="B148" s="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8"/>
      <c r="R148" s="8"/>
      <c r="S148" s="1"/>
      <c r="T148" s="6">
        <f t="shared" ca="1" si="4"/>
        <v>0</v>
      </c>
      <c r="U148" s="1" t="str">
        <f t="shared" si="5"/>
        <v/>
      </c>
      <c r="V148" s="1"/>
      <c r="W148" s="1"/>
    </row>
    <row r="149" spans="1:23">
      <c r="A149" s="1"/>
      <c r="B149" s="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8"/>
      <c r="R149" s="8"/>
      <c r="S149" s="1"/>
      <c r="T149" s="6">
        <f t="shared" ca="1" si="4"/>
        <v>0</v>
      </c>
      <c r="U149" s="1" t="str">
        <f t="shared" si="5"/>
        <v/>
      </c>
      <c r="V149" s="1"/>
      <c r="W149" s="1"/>
    </row>
    <row r="150" spans="1:23">
      <c r="A150" s="1"/>
      <c r="B150" s="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8"/>
      <c r="R150" s="8"/>
      <c r="S150" s="1"/>
      <c r="T150" s="6">
        <f t="shared" ca="1" si="4"/>
        <v>0</v>
      </c>
      <c r="U150" s="1" t="str">
        <f t="shared" si="5"/>
        <v/>
      </c>
      <c r="V150" s="1"/>
      <c r="W150" s="1"/>
    </row>
    <row r="151" spans="1:23">
      <c r="A151" s="1"/>
      <c r="B151" s="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8"/>
      <c r="R151" s="8"/>
      <c r="S151" s="1"/>
      <c r="T151" s="6">
        <f t="shared" ca="1" si="4"/>
        <v>0</v>
      </c>
      <c r="U151" s="1" t="str">
        <f t="shared" si="5"/>
        <v/>
      </c>
      <c r="V151" s="1"/>
      <c r="W151" s="1"/>
    </row>
    <row r="152" spans="1:23">
      <c r="A152" s="1"/>
      <c r="B152" s="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8"/>
      <c r="R152" s="8"/>
      <c r="S152" s="1"/>
      <c r="T152" s="6">
        <f t="shared" ca="1" si="4"/>
        <v>0</v>
      </c>
      <c r="U152" s="1" t="str">
        <f t="shared" si="5"/>
        <v/>
      </c>
      <c r="V152" s="1"/>
      <c r="W152" s="1"/>
    </row>
    <row r="153" spans="1:23">
      <c r="A153" s="1"/>
      <c r="B153" s="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8"/>
      <c r="R153" s="8"/>
      <c r="S153" s="1"/>
      <c r="T153" s="6">
        <f t="shared" ca="1" si="4"/>
        <v>0</v>
      </c>
      <c r="U153" s="1" t="str">
        <f t="shared" si="5"/>
        <v/>
      </c>
      <c r="V153" s="1"/>
      <c r="W153" s="1"/>
    </row>
    <row r="154" spans="1:23">
      <c r="A154" s="1"/>
      <c r="B154" s="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8"/>
      <c r="R154" s="8"/>
      <c r="S154" s="1"/>
      <c r="T154" s="6">
        <f t="shared" ca="1" si="4"/>
        <v>0</v>
      </c>
      <c r="U154" s="1" t="str">
        <f t="shared" si="5"/>
        <v/>
      </c>
      <c r="V154" s="1"/>
      <c r="W154" s="1"/>
    </row>
    <row r="155" spans="1:23">
      <c r="A155" s="1"/>
      <c r="B155" s="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8"/>
      <c r="R155" s="8"/>
      <c r="S155" s="1"/>
      <c r="T155" s="6">
        <f t="shared" ca="1" si="4"/>
        <v>0</v>
      </c>
      <c r="U155" s="1" t="str">
        <f t="shared" si="5"/>
        <v/>
      </c>
      <c r="V155" s="1"/>
      <c r="W155" s="1"/>
    </row>
    <row r="156" spans="1:23">
      <c r="A156" s="1"/>
      <c r="B156" s="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8"/>
      <c r="R156" s="8"/>
      <c r="S156" s="1"/>
      <c r="T156" s="6">
        <f t="shared" ca="1" si="4"/>
        <v>0</v>
      </c>
      <c r="U156" s="1" t="str">
        <f t="shared" si="5"/>
        <v/>
      </c>
      <c r="V156" s="1"/>
      <c r="W156" s="1"/>
    </row>
    <row r="157" spans="1:23">
      <c r="A157" s="1"/>
      <c r="B157" s="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8"/>
      <c r="R157" s="8"/>
      <c r="S157" s="1"/>
      <c r="T157" s="6">
        <f t="shared" ca="1" si="4"/>
        <v>0</v>
      </c>
      <c r="U157" s="1" t="str">
        <f t="shared" si="5"/>
        <v/>
      </c>
      <c r="V157" s="1"/>
      <c r="W157" s="1"/>
    </row>
    <row r="158" spans="1:23">
      <c r="A158" s="1"/>
      <c r="B158" s="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8"/>
      <c r="R158" s="8"/>
      <c r="S158" s="1"/>
      <c r="T158" s="6">
        <f t="shared" ca="1" si="4"/>
        <v>0</v>
      </c>
      <c r="U158" s="1" t="str">
        <f t="shared" si="5"/>
        <v/>
      </c>
      <c r="V158" s="1"/>
      <c r="W158" s="1"/>
    </row>
    <row r="159" spans="1:23">
      <c r="A159" s="1"/>
      <c r="B159" s="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8"/>
      <c r="R159" s="8"/>
      <c r="S159" s="1"/>
      <c r="T159" s="6">
        <f t="shared" ca="1" si="4"/>
        <v>0</v>
      </c>
      <c r="U159" s="1" t="str">
        <f t="shared" si="5"/>
        <v/>
      </c>
      <c r="V159" s="1"/>
      <c r="W159" s="1"/>
    </row>
    <row r="160" spans="1:23">
      <c r="A160" s="1"/>
      <c r="B160" s="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8"/>
      <c r="R160" s="8"/>
      <c r="S160" s="1"/>
      <c r="T160" s="6">
        <f t="shared" ca="1" si="4"/>
        <v>0</v>
      </c>
      <c r="U160" s="1" t="str">
        <f t="shared" si="5"/>
        <v/>
      </c>
      <c r="V160" s="1"/>
      <c r="W160" s="1"/>
    </row>
    <row r="161" spans="1:23">
      <c r="A161" s="1"/>
      <c r="B161" s="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8"/>
      <c r="R161" s="8"/>
      <c r="S161" s="1"/>
      <c r="T161" s="6">
        <f t="shared" ca="1" si="4"/>
        <v>0</v>
      </c>
      <c r="U161" s="1" t="str">
        <f t="shared" si="5"/>
        <v/>
      </c>
      <c r="V161" s="1"/>
      <c r="W161" s="1"/>
    </row>
    <row r="162" spans="1:23">
      <c r="A162" s="1"/>
      <c r="B162" s="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8"/>
      <c r="R162" s="8"/>
      <c r="S162" s="1"/>
      <c r="T162" s="6">
        <f t="shared" ca="1" si="4"/>
        <v>0</v>
      </c>
      <c r="U162" s="1" t="str">
        <f t="shared" si="5"/>
        <v/>
      </c>
      <c r="V162" s="1"/>
      <c r="W162" s="1"/>
    </row>
    <row r="163" spans="1:23">
      <c r="A163" s="1"/>
      <c r="B163" s="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8"/>
      <c r="R163" s="8"/>
      <c r="S163" s="1"/>
      <c r="T163" s="6">
        <f t="shared" ca="1" si="4"/>
        <v>0</v>
      </c>
      <c r="U163" s="1" t="str">
        <f t="shared" si="5"/>
        <v/>
      </c>
      <c r="V163" s="1"/>
      <c r="W163" s="1"/>
    </row>
    <row r="164" spans="1:23">
      <c r="A164" s="1"/>
      <c r="B164" s="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8"/>
      <c r="R164" s="8"/>
      <c r="S164" s="1"/>
      <c r="T164" s="6">
        <f t="shared" ca="1" si="4"/>
        <v>0</v>
      </c>
      <c r="U164" s="1" t="str">
        <f t="shared" si="5"/>
        <v/>
      </c>
      <c r="V164" s="1"/>
      <c r="W164" s="1"/>
    </row>
    <row r="165" spans="1:23">
      <c r="A165" s="1"/>
      <c r="B165" s="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8"/>
      <c r="R165" s="8"/>
      <c r="S165" s="1"/>
      <c r="T165" s="6">
        <f t="shared" ca="1" si="4"/>
        <v>0</v>
      </c>
      <c r="U165" s="1" t="str">
        <f t="shared" si="5"/>
        <v/>
      </c>
      <c r="V165" s="1"/>
      <c r="W165" s="1"/>
    </row>
    <row r="166" spans="1:23">
      <c r="A166" s="1"/>
      <c r="B166" s="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8"/>
      <c r="R166" s="8"/>
      <c r="S166" s="1"/>
      <c r="T166" s="6">
        <f t="shared" ca="1" si="4"/>
        <v>0</v>
      </c>
      <c r="U166" s="1" t="str">
        <f t="shared" si="5"/>
        <v/>
      </c>
      <c r="V166" s="1"/>
      <c r="W166" s="1"/>
    </row>
    <row r="167" spans="1:23">
      <c r="A167" s="1"/>
      <c r="B167" s="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8"/>
      <c r="R167" s="8"/>
      <c r="S167" s="1"/>
      <c r="T167" s="6">
        <f t="shared" ca="1" si="4"/>
        <v>0</v>
      </c>
      <c r="U167" s="1" t="str">
        <f t="shared" si="5"/>
        <v/>
      </c>
      <c r="V167" s="1"/>
      <c r="W167" s="1"/>
    </row>
    <row r="168" spans="1:23">
      <c r="A168" s="1"/>
      <c r="B168" s="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8"/>
      <c r="R168" s="8"/>
      <c r="S168" s="1"/>
      <c r="T168" s="6">
        <f t="shared" ca="1" si="4"/>
        <v>0</v>
      </c>
      <c r="U168" s="1" t="str">
        <f t="shared" si="5"/>
        <v/>
      </c>
      <c r="V168" s="1"/>
      <c r="W168" s="1"/>
    </row>
    <row r="169" spans="1:23">
      <c r="A169" s="1"/>
      <c r="B169" s="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8"/>
      <c r="R169" s="8"/>
      <c r="S169" s="1"/>
      <c r="T169" s="6">
        <f t="shared" ca="1" si="4"/>
        <v>0</v>
      </c>
      <c r="U169" s="1" t="str">
        <f t="shared" si="5"/>
        <v/>
      </c>
      <c r="V169" s="1"/>
      <c r="W169" s="1"/>
    </row>
    <row r="170" spans="1:23">
      <c r="A170" s="1"/>
      <c r="B170" s="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8"/>
      <c r="R170" s="8"/>
      <c r="S170" s="1"/>
      <c r="T170" s="6">
        <f t="shared" ca="1" si="4"/>
        <v>0</v>
      </c>
      <c r="U170" s="1" t="str">
        <f t="shared" si="5"/>
        <v/>
      </c>
      <c r="V170" s="1"/>
      <c r="W170" s="1"/>
    </row>
    <row r="171" spans="1:23">
      <c r="A171" s="1"/>
      <c r="B171" s="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8"/>
      <c r="R171" s="8"/>
      <c r="S171" s="1"/>
      <c r="T171" s="6">
        <f t="shared" ca="1" si="4"/>
        <v>0</v>
      </c>
      <c r="U171" s="1" t="str">
        <f t="shared" si="5"/>
        <v/>
      </c>
      <c r="V171" s="1"/>
      <c r="W171" s="1"/>
    </row>
    <row r="172" spans="1:23">
      <c r="A172" s="1"/>
      <c r="B172" s="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8"/>
      <c r="R172" s="8"/>
      <c r="S172" s="1"/>
      <c r="T172" s="6">
        <f t="shared" ca="1" si="4"/>
        <v>0</v>
      </c>
      <c r="U172" s="1" t="str">
        <f t="shared" si="5"/>
        <v/>
      </c>
      <c r="V172" s="1"/>
      <c r="W172" s="1"/>
    </row>
    <row r="173" spans="1:23">
      <c r="A173" s="1"/>
      <c r="B173" s="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8"/>
      <c r="R173" s="8"/>
      <c r="S173" s="1"/>
      <c r="T173" s="6">
        <f t="shared" ca="1" si="4"/>
        <v>0</v>
      </c>
      <c r="U173" s="1" t="str">
        <f t="shared" si="5"/>
        <v/>
      </c>
      <c r="V173" s="1"/>
      <c r="W173" s="1"/>
    </row>
    <row r="174" spans="1:23">
      <c r="A174" s="1"/>
      <c r="B174" s="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8"/>
      <c r="R174" s="8"/>
      <c r="S174" s="1"/>
      <c r="T174" s="6">
        <f t="shared" ca="1" si="4"/>
        <v>0</v>
      </c>
      <c r="U174" s="1" t="str">
        <f t="shared" si="5"/>
        <v/>
      </c>
      <c r="V174" s="1"/>
      <c r="W174" s="1"/>
    </row>
    <row r="175" spans="1:23">
      <c r="A175" s="1"/>
      <c r="B175" s="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8"/>
      <c r="R175" s="8"/>
      <c r="S175" s="1"/>
      <c r="T175" s="6">
        <f t="shared" ca="1" si="4"/>
        <v>0</v>
      </c>
      <c r="U175" s="1" t="str">
        <f t="shared" si="5"/>
        <v/>
      </c>
      <c r="V175" s="1"/>
      <c r="W175" s="1"/>
    </row>
    <row r="176" spans="1:23">
      <c r="A176" s="1"/>
      <c r="B176" s="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8"/>
      <c r="R176" s="8"/>
      <c r="S176" s="1"/>
      <c r="T176" s="6">
        <f t="shared" ca="1" si="4"/>
        <v>0</v>
      </c>
      <c r="U176" s="1" t="str">
        <f t="shared" si="5"/>
        <v/>
      </c>
      <c r="V176" s="1"/>
      <c r="W176" s="1"/>
    </row>
    <row r="177" spans="1:23">
      <c r="A177" s="1"/>
      <c r="B177" s="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8"/>
      <c r="R177" s="8"/>
      <c r="S177" s="1"/>
      <c r="T177" s="6">
        <f t="shared" ca="1" si="4"/>
        <v>0</v>
      </c>
      <c r="U177" s="1" t="str">
        <f t="shared" si="5"/>
        <v/>
      </c>
      <c r="V177" s="1"/>
      <c r="W177" s="1"/>
    </row>
    <row r="178" spans="1:23">
      <c r="A178" s="1"/>
      <c r="B178" s="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8"/>
      <c r="R178" s="8"/>
      <c r="S178" s="1"/>
      <c r="T178" s="6">
        <f t="shared" ca="1" si="4"/>
        <v>0</v>
      </c>
      <c r="U178" s="1" t="str">
        <f t="shared" si="5"/>
        <v/>
      </c>
      <c r="V178" s="1"/>
      <c r="W178" s="1"/>
    </row>
    <row r="179" spans="1:23">
      <c r="A179" s="1"/>
      <c r="B179" s="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8"/>
      <c r="R179" s="8"/>
      <c r="S179" s="1"/>
      <c r="T179" s="6">
        <f t="shared" ca="1" si="4"/>
        <v>0</v>
      </c>
      <c r="U179" s="1" t="str">
        <f t="shared" si="5"/>
        <v/>
      </c>
      <c r="V179" s="1"/>
      <c r="W179" s="1"/>
    </row>
    <row r="180" spans="1:23">
      <c r="A180" s="1"/>
      <c r="B180" s="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8"/>
      <c r="R180" s="8"/>
      <c r="S180" s="1"/>
      <c r="T180" s="6">
        <f t="shared" ca="1" si="4"/>
        <v>0</v>
      </c>
      <c r="U180" s="1" t="str">
        <f t="shared" si="5"/>
        <v/>
      </c>
      <c r="V180" s="1"/>
      <c r="W180" s="1"/>
    </row>
    <row r="181" spans="1:23">
      <c r="A181" s="1"/>
      <c r="B181" s="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8"/>
      <c r="R181" s="8"/>
      <c r="S181" s="1"/>
      <c r="T181" s="6">
        <f t="shared" ca="1" si="4"/>
        <v>0</v>
      </c>
      <c r="U181" s="1" t="str">
        <f t="shared" si="5"/>
        <v/>
      </c>
      <c r="V181" s="1"/>
      <c r="W181" s="1"/>
    </row>
    <row r="182" spans="1:23">
      <c r="A182" s="1"/>
      <c r="B182" s="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8"/>
      <c r="R182" s="8"/>
      <c r="S182" s="1"/>
      <c r="T182" s="6">
        <f t="shared" ca="1" si="4"/>
        <v>0</v>
      </c>
      <c r="U182" s="1" t="str">
        <f t="shared" si="5"/>
        <v/>
      </c>
      <c r="V182" s="1"/>
      <c r="W182" s="1"/>
    </row>
    <row r="183" spans="1:23">
      <c r="A183" s="1"/>
      <c r="B183" s="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8"/>
      <c r="R183" s="8"/>
      <c r="S183" s="1"/>
      <c r="T183" s="6">
        <f t="shared" ca="1" si="4"/>
        <v>0</v>
      </c>
      <c r="U183" s="1" t="str">
        <f t="shared" si="5"/>
        <v/>
      </c>
      <c r="V183" s="1"/>
      <c r="W183" s="1"/>
    </row>
    <row r="184" spans="1:23">
      <c r="A184" s="1"/>
      <c r="B184" s="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8"/>
      <c r="R184" s="8"/>
      <c r="S184" s="1"/>
      <c r="T184" s="6">
        <f t="shared" ca="1" si="4"/>
        <v>0</v>
      </c>
      <c r="U184" s="1" t="str">
        <f t="shared" si="5"/>
        <v/>
      </c>
      <c r="V184" s="1"/>
      <c r="W184" s="1"/>
    </row>
    <row r="185" spans="1:23">
      <c r="A185" s="1"/>
      <c r="B185" s="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8"/>
      <c r="R185" s="8"/>
      <c r="S185" s="1"/>
      <c r="T185" s="6">
        <f t="shared" ca="1" si="4"/>
        <v>0</v>
      </c>
      <c r="U185" s="1" t="str">
        <f t="shared" si="5"/>
        <v/>
      </c>
      <c r="V185" s="1"/>
      <c r="W185" s="1"/>
    </row>
    <row r="186" spans="1:23">
      <c r="A186" s="1"/>
      <c r="B186" s="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8"/>
      <c r="R186" s="8"/>
      <c r="S186" s="1"/>
      <c r="T186" s="6">
        <f t="shared" ca="1" si="4"/>
        <v>0</v>
      </c>
      <c r="U186" s="1" t="str">
        <f t="shared" si="5"/>
        <v/>
      </c>
      <c r="V186" s="1"/>
      <c r="W186" s="1"/>
    </row>
    <row r="187" spans="1:23">
      <c r="A187" s="1"/>
      <c r="B187" s="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8"/>
      <c r="R187" s="8"/>
      <c r="S187" s="1"/>
      <c r="T187" s="6">
        <f t="shared" ca="1" si="4"/>
        <v>0</v>
      </c>
      <c r="U187" s="1" t="str">
        <f t="shared" si="5"/>
        <v/>
      </c>
      <c r="V187" s="1"/>
      <c r="W187" s="1"/>
    </row>
    <row r="188" spans="1:23">
      <c r="A188" s="1"/>
      <c r="B188" s="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8"/>
      <c r="R188" s="8"/>
      <c r="S188" s="1"/>
      <c r="T188" s="6">
        <f t="shared" ca="1" si="4"/>
        <v>0</v>
      </c>
      <c r="U188" s="1" t="str">
        <f t="shared" si="5"/>
        <v/>
      </c>
      <c r="V188" s="1"/>
      <c r="W188" s="1"/>
    </row>
    <row r="189" spans="1:23">
      <c r="A189" s="1"/>
      <c r="B189" s="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8"/>
      <c r="R189" s="8"/>
      <c r="S189" s="1"/>
      <c r="T189" s="6">
        <f t="shared" ca="1" si="4"/>
        <v>0</v>
      </c>
      <c r="U189" s="1" t="str">
        <f t="shared" si="5"/>
        <v/>
      </c>
      <c r="V189" s="1"/>
      <c r="W189" s="1"/>
    </row>
    <row r="190" spans="1:23">
      <c r="A190" s="1"/>
      <c r="B190" s="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8"/>
      <c r="R190" s="8"/>
      <c r="S190" s="1"/>
      <c r="T190" s="6">
        <f t="shared" ca="1" si="4"/>
        <v>0</v>
      </c>
      <c r="U190" s="1" t="str">
        <f t="shared" si="5"/>
        <v/>
      </c>
      <c r="V190" s="1"/>
      <c r="W190" s="1"/>
    </row>
    <row r="191" spans="1:23">
      <c r="A191" s="1"/>
      <c r="B191" s="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8"/>
      <c r="R191" s="8"/>
      <c r="S191" s="1"/>
      <c r="T191" s="6">
        <f t="shared" ca="1" si="4"/>
        <v>0</v>
      </c>
      <c r="U191" s="1" t="str">
        <f t="shared" si="5"/>
        <v/>
      </c>
      <c r="V191" s="1"/>
      <c r="W191" s="1"/>
    </row>
    <row r="192" spans="1:23">
      <c r="A192" s="1"/>
      <c r="B192" s="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8"/>
      <c r="R192" s="8"/>
      <c r="S192" s="1"/>
      <c r="T192" s="6">
        <f t="shared" ca="1" si="4"/>
        <v>0</v>
      </c>
      <c r="U192" s="1" t="str">
        <f t="shared" si="5"/>
        <v/>
      </c>
      <c r="V192" s="1"/>
      <c r="W192" s="1"/>
    </row>
    <row r="193" spans="1:23">
      <c r="A193" s="1"/>
      <c r="B193" s="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8"/>
      <c r="R193" s="8"/>
      <c r="S193" s="1"/>
      <c r="T193" s="6">
        <f t="shared" ca="1" si="4"/>
        <v>0</v>
      </c>
      <c r="U193" s="1" t="str">
        <f t="shared" si="5"/>
        <v/>
      </c>
      <c r="V193" s="1"/>
      <c r="W193" s="1"/>
    </row>
    <row r="194" spans="1:23">
      <c r="A194" s="1"/>
      <c r="B194" s="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8"/>
      <c r="R194" s="8"/>
      <c r="S194" s="1"/>
      <c r="T194" s="6">
        <f t="shared" ref="T194:T257" ca="1" si="6">IF(AND(S194&lt;&gt;"Clôturée",Q194&lt;&gt;"",TODAY()&gt;Q194),TODAY()-Q194,0)</f>
        <v>0</v>
      </c>
      <c r="U194" s="1" t="str">
        <f t="shared" ref="U194:U257" si="7">IF(M194="Critique","P1",IF(M194="Majeure","P2",IF(M194="Mineure","P3","")))</f>
        <v/>
      </c>
      <c r="V194" s="1"/>
      <c r="W194" s="1"/>
    </row>
    <row r="195" spans="1:23">
      <c r="A195" s="1"/>
      <c r="B195" s="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8"/>
      <c r="R195" s="8"/>
      <c r="S195" s="1"/>
      <c r="T195" s="6">
        <f t="shared" ca="1" si="6"/>
        <v>0</v>
      </c>
      <c r="U195" s="1" t="str">
        <f t="shared" si="7"/>
        <v/>
      </c>
      <c r="V195" s="1"/>
      <c r="W195" s="1"/>
    </row>
    <row r="196" spans="1:23">
      <c r="A196" s="1"/>
      <c r="B196" s="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8"/>
      <c r="R196" s="8"/>
      <c r="S196" s="1"/>
      <c r="T196" s="6">
        <f t="shared" ca="1" si="6"/>
        <v>0</v>
      </c>
      <c r="U196" s="1" t="str">
        <f t="shared" si="7"/>
        <v/>
      </c>
      <c r="V196" s="1"/>
      <c r="W196" s="1"/>
    </row>
    <row r="197" spans="1:23">
      <c r="A197" s="1"/>
      <c r="B197" s="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8"/>
      <c r="R197" s="8"/>
      <c r="S197" s="1"/>
      <c r="T197" s="6">
        <f t="shared" ca="1" si="6"/>
        <v>0</v>
      </c>
      <c r="U197" s="1" t="str">
        <f t="shared" si="7"/>
        <v/>
      </c>
      <c r="V197" s="1"/>
      <c r="W197" s="1"/>
    </row>
    <row r="198" spans="1:23">
      <c r="A198" s="1"/>
      <c r="B198" s="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8"/>
      <c r="R198" s="8"/>
      <c r="S198" s="1"/>
      <c r="T198" s="6">
        <f t="shared" ca="1" si="6"/>
        <v>0</v>
      </c>
      <c r="U198" s="1" t="str">
        <f t="shared" si="7"/>
        <v/>
      </c>
      <c r="V198" s="1"/>
      <c r="W198" s="1"/>
    </row>
    <row r="199" spans="1:23">
      <c r="A199" s="1"/>
      <c r="B199" s="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8"/>
      <c r="R199" s="8"/>
      <c r="S199" s="1"/>
      <c r="T199" s="6">
        <f t="shared" ca="1" si="6"/>
        <v>0</v>
      </c>
      <c r="U199" s="1" t="str">
        <f t="shared" si="7"/>
        <v/>
      </c>
      <c r="V199" s="1"/>
      <c r="W199" s="1"/>
    </row>
    <row r="200" spans="1:23">
      <c r="A200" s="1"/>
      <c r="B200" s="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8"/>
      <c r="R200" s="8"/>
      <c r="S200" s="1"/>
      <c r="T200" s="6">
        <f t="shared" ca="1" si="6"/>
        <v>0</v>
      </c>
      <c r="U200" s="1" t="str">
        <f t="shared" si="7"/>
        <v/>
      </c>
      <c r="V200" s="1"/>
      <c r="W200" s="1"/>
    </row>
    <row r="201" spans="1:23">
      <c r="A201" s="1"/>
      <c r="B201" s="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8"/>
      <c r="R201" s="8"/>
      <c r="S201" s="1"/>
      <c r="T201" s="6">
        <f t="shared" ca="1" si="6"/>
        <v>0</v>
      </c>
      <c r="U201" s="1" t="str">
        <f t="shared" si="7"/>
        <v/>
      </c>
      <c r="V201" s="1"/>
      <c r="W201" s="1"/>
    </row>
    <row r="202" spans="1:23">
      <c r="A202" s="1"/>
      <c r="B202" s="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8"/>
      <c r="R202" s="8"/>
      <c r="S202" s="1"/>
      <c r="T202" s="6">
        <f t="shared" ca="1" si="6"/>
        <v>0</v>
      </c>
      <c r="U202" s="1" t="str">
        <f t="shared" si="7"/>
        <v/>
      </c>
      <c r="V202" s="1"/>
      <c r="W202" s="1"/>
    </row>
    <row r="203" spans="1:23">
      <c r="A203" s="1"/>
      <c r="B203" s="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8"/>
      <c r="R203" s="8"/>
      <c r="S203" s="1"/>
      <c r="T203" s="6">
        <f t="shared" ca="1" si="6"/>
        <v>0</v>
      </c>
      <c r="U203" s="1" t="str">
        <f t="shared" si="7"/>
        <v/>
      </c>
      <c r="V203" s="1"/>
      <c r="W203" s="1"/>
    </row>
    <row r="204" spans="1:23">
      <c r="A204" s="1"/>
      <c r="B204" s="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8"/>
      <c r="R204" s="8"/>
      <c r="S204" s="1"/>
      <c r="T204" s="6">
        <f t="shared" ca="1" si="6"/>
        <v>0</v>
      </c>
      <c r="U204" s="1" t="str">
        <f t="shared" si="7"/>
        <v/>
      </c>
      <c r="V204" s="1"/>
      <c r="W204" s="1"/>
    </row>
    <row r="205" spans="1:23">
      <c r="A205" s="1"/>
      <c r="B205" s="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8"/>
      <c r="R205" s="8"/>
      <c r="S205" s="1"/>
      <c r="T205" s="6">
        <f t="shared" ca="1" si="6"/>
        <v>0</v>
      </c>
      <c r="U205" s="1" t="str">
        <f t="shared" si="7"/>
        <v/>
      </c>
      <c r="V205" s="1"/>
      <c r="W205" s="1"/>
    </row>
    <row r="206" spans="1:23">
      <c r="A206" s="1"/>
      <c r="B206" s="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8"/>
      <c r="R206" s="8"/>
      <c r="S206" s="1"/>
      <c r="T206" s="6">
        <f t="shared" ca="1" si="6"/>
        <v>0</v>
      </c>
      <c r="U206" s="1" t="str">
        <f t="shared" si="7"/>
        <v/>
      </c>
      <c r="V206" s="1"/>
      <c r="W206" s="1"/>
    </row>
    <row r="207" spans="1:23">
      <c r="A207" s="1"/>
      <c r="B207" s="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8"/>
      <c r="R207" s="8"/>
      <c r="S207" s="1"/>
      <c r="T207" s="6">
        <f t="shared" ca="1" si="6"/>
        <v>0</v>
      </c>
      <c r="U207" s="1" t="str">
        <f t="shared" si="7"/>
        <v/>
      </c>
      <c r="V207" s="1"/>
      <c r="W207" s="1"/>
    </row>
    <row r="208" spans="1:23">
      <c r="A208" s="1"/>
      <c r="B208" s="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8"/>
      <c r="R208" s="8"/>
      <c r="S208" s="1"/>
      <c r="T208" s="6">
        <f t="shared" ca="1" si="6"/>
        <v>0</v>
      </c>
      <c r="U208" s="1" t="str">
        <f t="shared" si="7"/>
        <v/>
      </c>
      <c r="V208" s="1"/>
      <c r="W208" s="1"/>
    </row>
    <row r="209" spans="1:23">
      <c r="A209" s="1"/>
      <c r="B209" s="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8"/>
      <c r="R209" s="8"/>
      <c r="S209" s="1"/>
      <c r="T209" s="6">
        <f t="shared" ca="1" si="6"/>
        <v>0</v>
      </c>
      <c r="U209" s="1" t="str">
        <f t="shared" si="7"/>
        <v/>
      </c>
      <c r="V209" s="1"/>
      <c r="W209" s="1"/>
    </row>
    <row r="210" spans="1:23">
      <c r="A210" s="1"/>
      <c r="B210" s="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8"/>
      <c r="R210" s="8"/>
      <c r="S210" s="1"/>
      <c r="T210" s="6">
        <f t="shared" ca="1" si="6"/>
        <v>0</v>
      </c>
      <c r="U210" s="1" t="str">
        <f t="shared" si="7"/>
        <v/>
      </c>
      <c r="V210" s="1"/>
      <c r="W210" s="1"/>
    </row>
    <row r="211" spans="1:23">
      <c r="A211" s="1"/>
      <c r="B211" s="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8"/>
      <c r="R211" s="8"/>
      <c r="S211" s="1"/>
      <c r="T211" s="6">
        <f t="shared" ca="1" si="6"/>
        <v>0</v>
      </c>
      <c r="U211" s="1" t="str">
        <f t="shared" si="7"/>
        <v/>
      </c>
      <c r="V211" s="1"/>
      <c r="W211" s="1"/>
    </row>
    <row r="212" spans="1:23">
      <c r="A212" s="1"/>
      <c r="B212" s="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8"/>
      <c r="R212" s="8"/>
      <c r="S212" s="1"/>
      <c r="T212" s="6">
        <f t="shared" ca="1" si="6"/>
        <v>0</v>
      </c>
      <c r="U212" s="1" t="str">
        <f t="shared" si="7"/>
        <v/>
      </c>
      <c r="V212" s="1"/>
      <c r="W212" s="1"/>
    </row>
    <row r="213" spans="1:23">
      <c r="A213" s="1"/>
      <c r="B213" s="8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8"/>
      <c r="R213" s="8"/>
      <c r="S213" s="1"/>
      <c r="T213" s="6">
        <f t="shared" ca="1" si="6"/>
        <v>0</v>
      </c>
      <c r="U213" s="1" t="str">
        <f t="shared" si="7"/>
        <v/>
      </c>
      <c r="V213" s="1"/>
      <c r="W213" s="1"/>
    </row>
    <row r="214" spans="1:23">
      <c r="A214" s="1"/>
      <c r="B214" s="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8"/>
      <c r="R214" s="8"/>
      <c r="S214" s="1"/>
      <c r="T214" s="6">
        <f t="shared" ca="1" si="6"/>
        <v>0</v>
      </c>
      <c r="U214" s="1" t="str">
        <f t="shared" si="7"/>
        <v/>
      </c>
      <c r="V214" s="1"/>
      <c r="W214" s="1"/>
    </row>
    <row r="215" spans="1:23">
      <c r="A215" s="1"/>
      <c r="B215" s="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8"/>
      <c r="R215" s="8"/>
      <c r="S215" s="1"/>
      <c r="T215" s="6">
        <f t="shared" ca="1" si="6"/>
        <v>0</v>
      </c>
      <c r="U215" s="1" t="str">
        <f t="shared" si="7"/>
        <v/>
      </c>
      <c r="V215" s="1"/>
      <c r="W215" s="1"/>
    </row>
    <row r="216" spans="1:23">
      <c r="A216" s="1"/>
      <c r="B216" s="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8"/>
      <c r="R216" s="8"/>
      <c r="S216" s="1"/>
      <c r="T216" s="6">
        <f t="shared" ca="1" si="6"/>
        <v>0</v>
      </c>
      <c r="U216" s="1" t="str">
        <f t="shared" si="7"/>
        <v/>
      </c>
      <c r="V216" s="1"/>
      <c r="W216" s="1"/>
    </row>
    <row r="217" spans="1:23">
      <c r="A217" s="1"/>
      <c r="B217" s="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8"/>
      <c r="R217" s="8"/>
      <c r="S217" s="1"/>
      <c r="T217" s="6">
        <f t="shared" ca="1" si="6"/>
        <v>0</v>
      </c>
      <c r="U217" s="1" t="str">
        <f t="shared" si="7"/>
        <v/>
      </c>
      <c r="V217" s="1"/>
      <c r="W217" s="1"/>
    </row>
    <row r="218" spans="1:23">
      <c r="A218" s="1"/>
      <c r="B218" s="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8"/>
      <c r="R218" s="8"/>
      <c r="S218" s="1"/>
      <c r="T218" s="6">
        <f t="shared" ca="1" si="6"/>
        <v>0</v>
      </c>
      <c r="U218" s="1" t="str">
        <f t="shared" si="7"/>
        <v/>
      </c>
      <c r="V218" s="1"/>
      <c r="W218" s="1"/>
    </row>
    <row r="219" spans="1:23">
      <c r="A219" s="1"/>
      <c r="B219" s="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8"/>
      <c r="R219" s="8"/>
      <c r="S219" s="1"/>
      <c r="T219" s="6">
        <f t="shared" ca="1" si="6"/>
        <v>0</v>
      </c>
      <c r="U219" s="1" t="str">
        <f t="shared" si="7"/>
        <v/>
      </c>
      <c r="V219" s="1"/>
      <c r="W219" s="1"/>
    </row>
    <row r="220" spans="1:23">
      <c r="A220" s="1"/>
      <c r="B220" s="8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8"/>
      <c r="R220" s="8"/>
      <c r="S220" s="1"/>
      <c r="T220" s="6">
        <f t="shared" ca="1" si="6"/>
        <v>0</v>
      </c>
      <c r="U220" s="1" t="str">
        <f t="shared" si="7"/>
        <v/>
      </c>
      <c r="V220" s="1"/>
      <c r="W220" s="1"/>
    </row>
    <row r="221" spans="1:23">
      <c r="A221" s="1"/>
      <c r="B221" s="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8"/>
      <c r="R221" s="8"/>
      <c r="S221" s="1"/>
      <c r="T221" s="6">
        <f t="shared" ca="1" si="6"/>
        <v>0</v>
      </c>
      <c r="U221" s="1" t="str">
        <f t="shared" si="7"/>
        <v/>
      </c>
      <c r="V221" s="1"/>
      <c r="W221" s="1"/>
    </row>
    <row r="222" spans="1:23">
      <c r="A222" s="1"/>
      <c r="B222" s="8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8"/>
      <c r="R222" s="8"/>
      <c r="S222" s="1"/>
      <c r="T222" s="6">
        <f t="shared" ca="1" si="6"/>
        <v>0</v>
      </c>
      <c r="U222" s="1" t="str">
        <f t="shared" si="7"/>
        <v/>
      </c>
      <c r="V222" s="1"/>
      <c r="W222" s="1"/>
    </row>
    <row r="223" spans="1:23">
      <c r="A223" s="1"/>
      <c r="B223" s="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8"/>
      <c r="R223" s="8"/>
      <c r="S223" s="1"/>
      <c r="T223" s="6">
        <f t="shared" ca="1" si="6"/>
        <v>0</v>
      </c>
      <c r="U223" s="1" t="str">
        <f t="shared" si="7"/>
        <v/>
      </c>
      <c r="V223" s="1"/>
      <c r="W223" s="1"/>
    </row>
    <row r="224" spans="1:23">
      <c r="A224" s="1"/>
      <c r="B224" s="8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8"/>
      <c r="R224" s="8"/>
      <c r="S224" s="1"/>
      <c r="T224" s="6">
        <f t="shared" ca="1" si="6"/>
        <v>0</v>
      </c>
      <c r="U224" s="1" t="str">
        <f t="shared" si="7"/>
        <v/>
      </c>
      <c r="V224" s="1"/>
      <c r="W224" s="1"/>
    </row>
    <row r="225" spans="1:23">
      <c r="A225" s="1"/>
      <c r="B225" s="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8"/>
      <c r="R225" s="8"/>
      <c r="S225" s="1"/>
      <c r="T225" s="6">
        <f t="shared" ca="1" si="6"/>
        <v>0</v>
      </c>
      <c r="U225" s="1" t="str">
        <f t="shared" si="7"/>
        <v/>
      </c>
      <c r="V225" s="1"/>
      <c r="W225" s="1"/>
    </row>
    <row r="226" spans="1:23">
      <c r="A226" s="1"/>
      <c r="B226" s="8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8"/>
      <c r="R226" s="8"/>
      <c r="S226" s="1"/>
      <c r="T226" s="6">
        <f t="shared" ca="1" si="6"/>
        <v>0</v>
      </c>
      <c r="U226" s="1" t="str">
        <f t="shared" si="7"/>
        <v/>
      </c>
      <c r="V226" s="1"/>
      <c r="W226" s="1"/>
    </row>
    <row r="227" spans="1:23">
      <c r="A227" s="1"/>
      <c r="B227" s="8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8"/>
      <c r="R227" s="8"/>
      <c r="S227" s="1"/>
      <c r="T227" s="6">
        <f t="shared" ca="1" si="6"/>
        <v>0</v>
      </c>
      <c r="U227" s="1" t="str">
        <f t="shared" si="7"/>
        <v/>
      </c>
      <c r="V227" s="1"/>
      <c r="W227" s="1"/>
    </row>
    <row r="228" spans="1:23">
      <c r="A228" s="1"/>
      <c r="B228" s="8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8"/>
      <c r="R228" s="8"/>
      <c r="S228" s="1"/>
      <c r="T228" s="6">
        <f t="shared" ca="1" si="6"/>
        <v>0</v>
      </c>
      <c r="U228" s="1" t="str">
        <f t="shared" si="7"/>
        <v/>
      </c>
      <c r="V228" s="1"/>
      <c r="W228" s="1"/>
    </row>
    <row r="229" spans="1:23">
      <c r="A229" s="1"/>
      <c r="B229" s="8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8"/>
      <c r="R229" s="8"/>
      <c r="S229" s="1"/>
      <c r="T229" s="6">
        <f t="shared" ca="1" si="6"/>
        <v>0</v>
      </c>
      <c r="U229" s="1" t="str">
        <f t="shared" si="7"/>
        <v/>
      </c>
      <c r="V229" s="1"/>
      <c r="W229" s="1"/>
    </row>
    <row r="230" spans="1:23">
      <c r="A230" s="1"/>
      <c r="B230" s="8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8"/>
      <c r="R230" s="8"/>
      <c r="S230" s="1"/>
      <c r="T230" s="6">
        <f t="shared" ca="1" si="6"/>
        <v>0</v>
      </c>
      <c r="U230" s="1" t="str">
        <f t="shared" si="7"/>
        <v/>
      </c>
      <c r="V230" s="1"/>
      <c r="W230" s="1"/>
    </row>
    <row r="231" spans="1:23">
      <c r="A231" s="1"/>
      <c r="B231" s="8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8"/>
      <c r="R231" s="8"/>
      <c r="S231" s="1"/>
      <c r="T231" s="6">
        <f t="shared" ca="1" si="6"/>
        <v>0</v>
      </c>
      <c r="U231" s="1" t="str">
        <f t="shared" si="7"/>
        <v/>
      </c>
      <c r="V231" s="1"/>
      <c r="W231" s="1"/>
    </row>
    <row r="232" spans="1:23">
      <c r="A232" s="1"/>
      <c r="B232" s="8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8"/>
      <c r="R232" s="8"/>
      <c r="S232" s="1"/>
      <c r="T232" s="6">
        <f t="shared" ca="1" si="6"/>
        <v>0</v>
      </c>
      <c r="U232" s="1" t="str">
        <f t="shared" si="7"/>
        <v/>
      </c>
      <c r="V232" s="1"/>
      <c r="W232" s="1"/>
    </row>
    <row r="233" spans="1:23">
      <c r="A233" s="1"/>
      <c r="B233" s="8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8"/>
      <c r="R233" s="8"/>
      <c r="S233" s="1"/>
      <c r="T233" s="6">
        <f t="shared" ca="1" si="6"/>
        <v>0</v>
      </c>
      <c r="U233" s="1" t="str">
        <f t="shared" si="7"/>
        <v/>
      </c>
      <c r="V233" s="1"/>
      <c r="W233" s="1"/>
    </row>
    <row r="234" spans="1:23">
      <c r="A234" s="1"/>
      <c r="B234" s="8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8"/>
      <c r="R234" s="8"/>
      <c r="S234" s="1"/>
      <c r="T234" s="6">
        <f t="shared" ca="1" si="6"/>
        <v>0</v>
      </c>
      <c r="U234" s="1" t="str">
        <f t="shared" si="7"/>
        <v/>
      </c>
      <c r="V234" s="1"/>
      <c r="W234" s="1"/>
    </row>
    <row r="235" spans="1:23">
      <c r="A235" s="1"/>
      <c r="B235" s="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8"/>
      <c r="R235" s="8"/>
      <c r="S235" s="1"/>
      <c r="T235" s="6">
        <f t="shared" ca="1" si="6"/>
        <v>0</v>
      </c>
      <c r="U235" s="1" t="str">
        <f t="shared" si="7"/>
        <v/>
      </c>
      <c r="V235" s="1"/>
      <c r="W235" s="1"/>
    </row>
    <row r="236" spans="1:23">
      <c r="A236" s="1"/>
      <c r="B236" s="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8"/>
      <c r="R236" s="8"/>
      <c r="S236" s="1"/>
      <c r="T236" s="6">
        <f t="shared" ca="1" si="6"/>
        <v>0</v>
      </c>
      <c r="U236" s="1" t="str">
        <f t="shared" si="7"/>
        <v/>
      </c>
      <c r="V236" s="1"/>
      <c r="W236" s="1"/>
    </row>
    <row r="237" spans="1:23">
      <c r="A237" s="1"/>
      <c r="B237" s="8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8"/>
      <c r="R237" s="8"/>
      <c r="S237" s="1"/>
      <c r="T237" s="6">
        <f t="shared" ca="1" si="6"/>
        <v>0</v>
      </c>
      <c r="U237" s="1" t="str">
        <f t="shared" si="7"/>
        <v/>
      </c>
      <c r="V237" s="1"/>
      <c r="W237" s="1"/>
    </row>
    <row r="238" spans="1:23">
      <c r="A238" s="1"/>
      <c r="B238" s="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8"/>
      <c r="R238" s="8"/>
      <c r="S238" s="1"/>
      <c r="T238" s="6">
        <f t="shared" ca="1" si="6"/>
        <v>0</v>
      </c>
      <c r="U238" s="1" t="str">
        <f t="shared" si="7"/>
        <v/>
      </c>
      <c r="V238" s="1"/>
      <c r="W238" s="1"/>
    </row>
    <row r="239" spans="1:23">
      <c r="A239" s="1"/>
      <c r="B239" s="8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8"/>
      <c r="R239" s="8"/>
      <c r="S239" s="1"/>
      <c r="T239" s="6">
        <f t="shared" ca="1" si="6"/>
        <v>0</v>
      </c>
      <c r="U239" s="1" t="str">
        <f t="shared" si="7"/>
        <v/>
      </c>
      <c r="V239" s="1"/>
      <c r="W239" s="1"/>
    </row>
    <row r="240" spans="1:23">
      <c r="A240" s="1"/>
      <c r="B240" s="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8"/>
      <c r="R240" s="8"/>
      <c r="S240" s="1"/>
      <c r="T240" s="6">
        <f t="shared" ca="1" si="6"/>
        <v>0</v>
      </c>
      <c r="U240" s="1" t="str">
        <f t="shared" si="7"/>
        <v/>
      </c>
      <c r="V240" s="1"/>
      <c r="W240" s="1"/>
    </row>
    <row r="241" spans="1:23">
      <c r="A241" s="1"/>
      <c r="B241" s="8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8"/>
      <c r="R241" s="8"/>
      <c r="S241" s="1"/>
      <c r="T241" s="6">
        <f t="shared" ca="1" si="6"/>
        <v>0</v>
      </c>
      <c r="U241" s="1" t="str">
        <f t="shared" si="7"/>
        <v/>
      </c>
      <c r="V241" s="1"/>
      <c r="W241" s="1"/>
    </row>
    <row r="242" spans="1:23">
      <c r="A242" s="1"/>
      <c r="B242" s="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8"/>
      <c r="R242" s="8"/>
      <c r="S242" s="1"/>
      <c r="T242" s="6">
        <f t="shared" ca="1" si="6"/>
        <v>0</v>
      </c>
      <c r="U242" s="1" t="str">
        <f t="shared" si="7"/>
        <v/>
      </c>
      <c r="V242" s="1"/>
      <c r="W242" s="1"/>
    </row>
    <row r="243" spans="1:23">
      <c r="A243" s="1"/>
      <c r="B243" s="8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8"/>
      <c r="R243" s="8"/>
      <c r="S243" s="1"/>
      <c r="T243" s="6">
        <f t="shared" ca="1" si="6"/>
        <v>0</v>
      </c>
      <c r="U243" s="1" t="str">
        <f t="shared" si="7"/>
        <v/>
      </c>
      <c r="V243" s="1"/>
      <c r="W243" s="1"/>
    </row>
    <row r="244" spans="1:23">
      <c r="A244" s="1"/>
      <c r="B244" s="8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8"/>
      <c r="R244" s="8"/>
      <c r="S244" s="1"/>
      <c r="T244" s="6">
        <f t="shared" ca="1" si="6"/>
        <v>0</v>
      </c>
      <c r="U244" s="1" t="str">
        <f t="shared" si="7"/>
        <v/>
      </c>
      <c r="V244" s="1"/>
      <c r="W244" s="1"/>
    </row>
    <row r="245" spans="1:23">
      <c r="A245" s="1"/>
      <c r="B245" s="8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8"/>
      <c r="R245" s="8"/>
      <c r="S245" s="1"/>
      <c r="T245" s="6">
        <f t="shared" ca="1" si="6"/>
        <v>0</v>
      </c>
      <c r="U245" s="1" t="str">
        <f t="shared" si="7"/>
        <v/>
      </c>
      <c r="V245" s="1"/>
      <c r="W245" s="1"/>
    </row>
    <row r="246" spans="1:23">
      <c r="A246" s="1"/>
      <c r="B246" s="8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8"/>
      <c r="R246" s="8"/>
      <c r="S246" s="1"/>
      <c r="T246" s="6">
        <f t="shared" ca="1" si="6"/>
        <v>0</v>
      </c>
      <c r="U246" s="1" t="str">
        <f t="shared" si="7"/>
        <v/>
      </c>
      <c r="V246" s="1"/>
      <c r="W246" s="1"/>
    </row>
    <row r="247" spans="1:23">
      <c r="A247" s="1"/>
      <c r="B247" s="8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8"/>
      <c r="R247" s="8"/>
      <c r="S247" s="1"/>
      <c r="T247" s="6">
        <f t="shared" ca="1" si="6"/>
        <v>0</v>
      </c>
      <c r="U247" s="1" t="str">
        <f t="shared" si="7"/>
        <v/>
      </c>
      <c r="V247" s="1"/>
      <c r="W247" s="1"/>
    </row>
    <row r="248" spans="1:23">
      <c r="A248" s="1"/>
      <c r="B248" s="8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8"/>
      <c r="R248" s="8"/>
      <c r="S248" s="1"/>
      <c r="T248" s="6">
        <f t="shared" ca="1" si="6"/>
        <v>0</v>
      </c>
      <c r="U248" s="1" t="str">
        <f t="shared" si="7"/>
        <v/>
      </c>
      <c r="V248" s="1"/>
      <c r="W248" s="1"/>
    </row>
    <row r="249" spans="1:23">
      <c r="A249" s="1"/>
      <c r="B249" s="8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8"/>
      <c r="R249" s="8"/>
      <c r="S249" s="1"/>
      <c r="T249" s="6">
        <f t="shared" ca="1" si="6"/>
        <v>0</v>
      </c>
      <c r="U249" s="1" t="str">
        <f t="shared" si="7"/>
        <v/>
      </c>
      <c r="V249" s="1"/>
      <c r="W249" s="1"/>
    </row>
    <row r="250" spans="1:23">
      <c r="A250" s="1"/>
      <c r="B250" s="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8"/>
      <c r="R250" s="8"/>
      <c r="S250" s="1"/>
      <c r="T250" s="6">
        <f t="shared" ca="1" si="6"/>
        <v>0</v>
      </c>
      <c r="U250" s="1" t="str">
        <f t="shared" si="7"/>
        <v/>
      </c>
      <c r="V250" s="1"/>
      <c r="W250" s="1"/>
    </row>
    <row r="251" spans="1:23">
      <c r="A251" s="1"/>
      <c r="B251" s="8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8"/>
      <c r="R251" s="8"/>
      <c r="S251" s="1"/>
      <c r="T251" s="6">
        <f t="shared" ca="1" si="6"/>
        <v>0</v>
      </c>
      <c r="U251" s="1" t="str">
        <f t="shared" si="7"/>
        <v/>
      </c>
      <c r="V251" s="1"/>
      <c r="W251" s="1"/>
    </row>
    <row r="252" spans="1:23">
      <c r="A252" s="1"/>
      <c r="B252" s="8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8"/>
      <c r="R252" s="8"/>
      <c r="S252" s="1"/>
      <c r="T252" s="6">
        <f t="shared" ca="1" si="6"/>
        <v>0</v>
      </c>
      <c r="U252" s="1" t="str">
        <f t="shared" si="7"/>
        <v/>
      </c>
      <c r="V252" s="1"/>
      <c r="W252" s="1"/>
    </row>
    <row r="253" spans="1:23">
      <c r="A253" s="1"/>
      <c r="B253" s="8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8"/>
      <c r="R253" s="8"/>
      <c r="S253" s="1"/>
      <c r="T253" s="6">
        <f t="shared" ca="1" si="6"/>
        <v>0</v>
      </c>
      <c r="U253" s="1" t="str">
        <f t="shared" si="7"/>
        <v/>
      </c>
      <c r="V253" s="1"/>
      <c r="W253" s="1"/>
    </row>
    <row r="254" spans="1:23">
      <c r="A254" s="1"/>
      <c r="B254" s="8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8"/>
      <c r="R254" s="8"/>
      <c r="S254" s="1"/>
      <c r="T254" s="6">
        <f t="shared" ca="1" si="6"/>
        <v>0</v>
      </c>
      <c r="U254" s="1" t="str">
        <f t="shared" si="7"/>
        <v/>
      </c>
      <c r="V254" s="1"/>
      <c r="W254" s="1"/>
    </row>
    <row r="255" spans="1:23">
      <c r="A255" s="1"/>
      <c r="B255" s="8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8"/>
      <c r="R255" s="8"/>
      <c r="S255" s="1"/>
      <c r="T255" s="6">
        <f t="shared" ca="1" si="6"/>
        <v>0</v>
      </c>
      <c r="U255" s="1" t="str">
        <f t="shared" si="7"/>
        <v/>
      </c>
      <c r="V255" s="1"/>
      <c r="W255" s="1"/>
    </row>
    <row r="256" spans="1:23">
      <c r="A256" s="1"/>
      <c r="B256" s="8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8"/>
      <c r="R256" s="8"/>
      <c r="S256" s="1"/>
      <c r="T256" s="6">
        <f t="shared" ca="1" si="6"/>
        <v>0</v>
      </c>
      <c r="U256" s="1" t="str">
        <f t="shared" si="7"/>
        <v/>
      </c>
      <c r="V256" s="1"/>
      <c r="W256" s="1"/>
    </row>
    <row r="257" spans="1:23">
      <c r="A257" s="1"/>
      <c r="B257" s="8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8"/>
      <c r="R257" s="8"/>
      <c r="S257" s="1"/>
      <c r="T257" s="6">
        <f t="shared" ca="1" si="6"/>
        <v>0</v>
      </c>
      <c r="U257" s="1" t="str">
        <f t="shared" si="7"/>
        <v/>
      </c>
      <c r="V257" s="1"/>
      <c r="W257" s="1"/>
    </row>
    <row r="258" spans="1:23">
      <c r="A258" s="1"/>
      <c r="B258" s="8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8"/>
      <c r="R258" s="8"/>
      <c r="S258" s="1"/>
      <c r="T258" s="6">
        <f t="shared" ref="T258:T297" ca="1" si="8">IF(AND(S258&lt;&gt;"Clôturée",Q258&lt;&gt;"",TODAY()&gt;Q258),TODAY()-Q258,0)</f>
        <v>0</v>
      </c>
      <c r="U258" s="1" t="str">
        <f t="shared" ref="U258:U297" si="9">IF(M258="Critique","P1",IF(M258="Majeure","P2",IF(M258="Mineure","P3","")))</f>
        <v/>
      </c>
      <c r="V258" s="1"/>
      <c r="W258" s="1"/>
    </row>
    <row r="259" spans="1:23">
      <c r="A259" s="1"/>
      <c r="B259" s="8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8"/>
      <c r="R259" s="8"/>
      <c r="S259" s="1"/>
      <c r="T259" s="6">
        <f t="shared" ca="1" si="8"/>
        <v>0</v>
      </c>
      <c r="U259" s="1" t="str">
        <f t="shared" si="9"/>
        <v/>
      </c>
      <c r="V259" s="1"/>
      <c r="W259" s="1"/>
    </row>
    <row r="260" spans="1:23">
      <c r="A260" s="1"/>
      <c r="B260" s="8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8"/>
      <c r="R260" s="8"/>
      <c r="S260" s="1"/>
      <c r="T260" s="6">
        <f t="shared" ca="1" si="8"/>
        <v>0</v>
      </c>
      <c r="U260" s="1" t="str">
        <f t="shared" si="9"/>
        <v/>
      </c>
      <c r="V260" s="1"/>
      <c r="W260" s="1"/>
    </row>
    <row r="261" spans="1:23">
      <c r="A261" s="1"/>
      <c r="B261" s="8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8"/>
      <c r="R261" s="8"/>
      <c r="S261" s="1"/>
      <c r="T261" s="6">
        <f t="shared" ca="1" si="8"/>
        <v>0</v>
      </c>
      <c r="U261" s="1" t="str">
        <f t="shared" si="9"/>
        <v/>
      </c>
      <c r="V261" s="1"/>
      <c r="W261" s="1"/>
    </row>
    <row r="262" spans="1:23">
      <c r="A262" s="1"/>
      <c r="B262" s="8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8"/>
      <c r="R262" s="8"/>
      <c r="S262" s="1"/>
      <c r="T262" s="6">
        <f t="shared" ca="1" si="8"/>
        <v>0</v>
      </c>
      <c r="U262" s="1" t="str">
        <f t="shared" si="9"/>
        <v/>
      </c>
      <c r="V262" s="1"/>
      <c r="W262" s="1"/>
    </row>
    <row r="263" spans="1:23">
      <c r="A263" s="1"/>
      <c r="B263" s="8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8"/>
      <c r="R263" s="8"/>
      <c r="S263" s="1"/>
      <c r="T263" s="6">
        <f t="shared" ca="1" si="8"/>
        <v>0</v>
      </c>
      <c r="U263" s="1" t="str">
        <f t="shared" si="9"/>
        <v/>
      </c>
      <c r="V263" s="1"/>
      <c r="W263" s="1"/>
    </row>
    <row r="264" spans="1:23">
      <c r="A264" s="1"/>
      <c r="B264" s="8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8"/>
      <c r="R264" s="8"/>
      <c r="S264" s="1"/>
      <c r="T264" s="6">
        <f t="shared" ca="1" si="8"/>
        <v>0</v>
      </c>
      <c r="U264" s="1" t="str">
        <f t="shared" si="9"/>
        <v/>
      </c>
      <c r="V264" s="1"/>
      <c r="W264" s="1"/>
    </row>
    <row r="265" spans="1:23">
      <c r="A265" s="1"/>
      <c r="B265" s="8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8"/>
      <c r="R265" s="8"/>
      <c r="S265" s="1"/>
      <c r="T265" s="6">
        <f t="shared" ca="1" si="8"/>
        <v>0</v>
      </c>
      <c r="U265" s="1" t="str">
        <f t="shared" si="9"/>
        <v/>
      </c>
      <c r="V265" s="1"/>
      <c r="W265" s="1"/>
    </row>
    <row r="266" spans="1:23">
      <c r="A266" s="1"/>
      <c r="B266" s="8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8"/>
      <c r="R266" s="8"/>
      <c r="S266" s="1"/>
      <c r="T266" s="6">
        <f t="shared" ca="1" si="8"/>
        <v>0</v>
      </c>
      <c r="U266" s="1" t="str">
        <f t="shared" si="9"/>
        <v/>
      </c>
      <c r="V266" s="1"/>
      <c r="W266" s="1"/>
    </row>
    <row r="267" spans="1:23">
      <c r="A267" s="1"/>
      <c r="B267" s="8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8"/>
      <c r="R267" s="8"/>
      <c r="S267" s="1"/>
      <c r="T267" s="6">
        <f t="shared" ca="1" si="8"/>
        <v>0</v>
      </c>
      <c r="U267" s="1" t="str">
        <f t="shared" si="9"/>
        <v/>
      </c>
      <c r="V267" s="1"/>
      <c r="W267" s="1"/>
    </row>
    <row r="268" spans="1:23">
      <c r="A268" s="1"/>
      <c r="B268" s="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8"/>
      <c r="R268" s="8"/>
      <c r="S268" s="1"/>
      <c r="T268" s="6">
        <f t="shared" ca="1" si="8"/>
        <v>0</v>
      </c>
      <c r="U268" s="1" t="str">
        <f t="shared" si="9"/>
        <v/>
      </c>
      <c r="V268" s="1"/>
      <c r="W268" s="1"/>
    </row>
    <row r="269" spans="1:23">
      <c r="A269" s="1"/>
      <c r="B269" s="8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8"/>
      <c r="R269" s="8"/>
      <c r="S269" s="1"/>
      <c r="T269" s="6">
        <f t="shared" ca="1" si="8"/>
        <v>0</v>
      </c>
      <c r="U269" s="1" t="str">
        <f t="shared" si="9"/>
        <v/>
      </c>
      <c r="V269" s="1"/>
      <c r="W269" s="1"/>
    </row>
    <row r="270" spans="1:23">
      <c r="A270" s="1"/>
      <c r="B270" s="8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8"/>
      <c r="R270" s="8"/>
      <c r="S270" s="1"/>
      <c r="T270" s="6">
        <f t="shared" ca="1" si="8"/>
        <v>0</v>
      </c>
      <c r="U270" s="1" t="str">
        <f t="shared" si="9"/>
        <v/>
      </c>
      <c r="V270" s="1"/>
      <c r="W270" s="1"/>
    </row>
    <row r="271" spans="1:23">
      <c r="A271" s="1"/>
      <c r="B271" s="8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8"/>
      <c r="R271" s="8"/>
      <c r="S271" s="1"/>
      <c r="T271" s="6">
        <f t="shared" ca="1" si="8"/>
        <v>0</v>
      </c>
      <c r="U271" s="1" t="str">
        <f t="shared" si="9"/>
        <v/>
      </c>
      <c r="V271" s="1"/>
      <c r="W271" s="1"/>
    </row>
    <row r="272" spans="1:23">
      <c r="A272" s="1"/>
      <c r="B272" s="8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8"/>
      <c r="R272" s="8"/>
      <c r="S272" s="1"/>
      <c r="T272" s="6">
        <f t="shared" ca="1" si="8"/>
        <v>0</v>
      </c>
      <c r="U272" s="1" t="str">
        <f t="shared" si="9"/>
        <v/>
      </c>
      <c r="V272" s="1"/>
      <c r="W272" s="1"/>
    </row>
    <row r="273" spans="1:23">
      <c r="A273" s="1"/>
      <c r="B273" s="8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8"/>
      <c r="R273" s="8"/>
      <c r="S273" s="1"/>
      <c r="T273" s="6">
        <f t="shared" ca="1" si="8"/>
        <v>0</v>
      </c>
      <c r="U273" s="1" t="str">
        <f t="shared" si="9"/>
        <v/>
      </c>
      <c r="V273" s="1"/>
      <c r="W273" s="1"/>
    </row>
    <row r="274" spans="1:23">
      <c r="A274" s="1"/>
      <c r="B274" s="8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8"/>
      <c r="R274" s="8"/>
      <c r="S274" s="1"/>
      <c r="T274" s="6">
        <f t="shared" ca="1" si="8"/>
        <v>0</v>
      </c>
      <c r="U274" s="1" t="str">
        <f t="shared" si="9"/>
        <v/>
      </c>
      <c r="V274" s="1"/>
      <c r="W274" s="1"/>
    </row>
    <row r="275" spans="1:23">
      <c r="A275" s="1"/>
      <c r="B275" s="8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8"/>
      <c r="R275" s="8"/>
      <c r="S275" s="1"/>
      <c r="T275" s="6">
        <f t="shared" ca="1" si="8"/>
        <v>0</v>
      </c>
      <c r="U275" s="1" t="str">
        <f t="shared" si="9"/>
        <v/>
      </c>
      <c r="V275" s="1"/>
      <c r="W275" s="1"/>
    </row>
    <row r="276" spans="1:23">
      <c r="A276" s="1"/>
      <c r="B276" s="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8"/>
      <c r="R276" s="8"/>
      <c r="S276" s="1"/>
      <c r="T276" s="6">
        <f t="shared" ca="1" si="8"/>
        <v>0</v>
      </c>
      <c r="U276" s="1" t="str">
        <f t="shared" si="9"/>
        <v/>
      </c>
      <c r="V276" s="1"/>
      <c r="W276" s="1"/>
    </row>
    <row r="277" spans="1:23">
      <c r="A277" s="1"/>
      <c r="B277" s="8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8"/>
      <c r="R277" s="8"/>
      <c r="S277" s="1"/>
      <c r="T277" s="6">
        <f t="shared" ca="1" si="8"/>
        <v>0</v>
      </c>
      <c r="U277" s="1" t="str">
        <f t="shared" si="9"/>
        <v/>
      </c>
      <c r="V277" s="1"/>
      <c r="W277" s="1"/>
    </row>
    <row r="278" spans="1:23">
      <c r="A278" s="1"/>
      <c r="B278" s="8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8"/>
      <c r="R278" s="8"/>
      <c r="S278" s="1"/>
      <c r="T278" s="6">
        <f t="shared" ca="1" si="8"/>
        <v>0</v>
      </c>
      <c r="U278" s="1" t="str">
        <f t="shared" si="9"/>
        <v/>
      </c>
      <c r="V278" s="1"/>
      <c r="W278" s="1"/>
    </row>
    <row r="279" spans="1:23">
      <c r="A279" s="1"/>
      <c r="B279" s="8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8"/>
      <c r="R279" s="8"/>
      <c r="S279" s="1"/>
      <c r="T279" s="6">
        <f t="shared" ca="1" si="8"/>
        <v>0</v>
      </c>
      <c r="U279" s="1" t="str">
        <f t="shared" si="9"/>
        <v/>
      </c>
      <c r="V279" s="1"/>
      <c r="W279" s="1"/>
    </row>
    <row r="280" spans="1:23">
      <c r="A280" s="1"/>
      <c r="B280" s="8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8"/>
      <c r="R280" s="8"/>
      <c r="S280" s="1"/>
      <c r="T280" s="6">
        <f t="shared" ca="1" si="8"/>
        <v>0</v>
      </c>
      <c r="U280" s="1" t="str">
        <f t="shared" si="9"/>
        <v/>
      </c>
      <c r="V280" s="1"/>
      <c r="W280" s="1"/>
    </row>
    <row r="281" spans="1:23">
      <c r="A281" s="1"/>
      <c r="B281" s="8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8"/>
      <c r="R281" s="8"/>
      <c r="S281" s="1"/>
      <c r="T281" s="6">
        <f t="shared" ca="1" si="8"/>
        <v>0</v>
      </c>
      <c r="U281" s="1" t="str">
        <f t="shared" si="9"/>
        <v/>
      </c>
      <c r="V281" s="1"/>
      <c r="W281" s="1"/>
    </row>
    <row r="282" spans="1:23">
      <c r="A282" s="1"/>
      <c r="B282" s="8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8"/>
      <c r="R282" s="8"/>
      <c r="S282" s="1"/>
      <c r="T282" s="6">
        <f t="shared" ca="1" si="8"/>
        <v>0</v>
      </c>
      <c r="U282" s="1" t="str">
        <f t="shared" si="9"/>
        <v/>
      </c>
      <c r="V282" s="1"/>
      <c r="W282" s="1"/>
    </row>
    <row r="283" spans="1:23">
      <c r="A283" s="1"/>
      <c r="B283" s="8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8"/>
      <c r="R283" s="8"/>
      <c r="S283" s="1"/>
      <c r="T283" s="6">
        <f t="shared" ca="1" si="8"/>
        <v>0</v>
      </c>
      <c r="U283" s="1" t="str">
        <f t="shared" si="9"/>
        <v/>
      </c>
      <c r="V283" s="1"/>
      <c r="W283" s="1"/>
    </row>
    <row r="284" spans="1:23">
      <c r="A284" s="1"/>
      <c r="B284" s="8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8"/>
      <c r="R284" s="8"/>
      <c r="S284" s="1"/>
      <c r="T284" s="6">
        <f t="shared" ca="1" si="8"/>
        <v>0</v>
      </c>
      <c r="U284" s="1" t="str">
        <f t="shared" si="9"/>
        <v/>
      </c>
      <c r="V284" s="1"/>
      <c r="W284" s="1"/>
    </row>
    <row r="285" spans="1:23">
      <c r="A285" s="1"/>
      <c r="B285" s="8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8"/>
      <c r="R285" s="8"/>
      <c r="S285" s="1"/>
      <c r="T285" s="6">
        <f t="shared" ca="1" si="8"/>
        <v>0</v>
      </c>
      <c r="U285" s="1" t="str">
        <f t="shared" si="9"/>
        <v/>
      </c>
      <c r="V285" s="1"/>
      <c r="W285" s="1"/>
    </row>
    <row r="286" spans="1:23">
      <c r="A286" s="1"/>
      <c r="B286" s="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8"/>
      <c r="R286" s="8"/>
      <c r="S286" s="1"/>
      <c r="T286" s="6">
        <f t="shared" ca="1" si="8"/>
        <v>0</v>
      </c>
      <c r="U286" s="1" t="str">
        <f t="shared" si="9"/>
        <v/>
      </c>
      <c r="V286" s="1"/>
      <c r="W286" s="1"/>
    </row>
    <row r="287" spans="1:23">
      <c r="A287" s="1"/>
      <c r="B287" s="8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8"/>
      <c r="R287" s="8"/>
      <c r="S287" s="1"/>
      <c r="T287" s="6">
        <f t="shared" ca="1" si="8"/>
        <v>0</v>
      </c>
      <c r="U287" s="1" t="str">
        <f t="shared" si="9"/>
        <v/>
      </c>
      <c r="V287" s="1"/>
      <c r="W287" s="1"/>
    </row>
    <row r="288" spans="1:23">
      <c r="A288" s="1"/>
      <c r="B288" s="8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8"/>
      <c r="R288" s="8"/>
      <c r="S288" s="1"/>
      <c r="T288" s="6">
        <f t="shared" ca="1" si="8"/>
        <v>0</v>
      </c>
      <c r="U288" s="1" t="str">
        <f t="shared" si="9"/>
        <v/>
      </c>
      <c r="V288" s="1"/>
      <c r="W288" s="1"/>
    </row>
    <row r="289" spans="1:23">
      <c r="A289" s="1"/>
      <c r="B289" s="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8"/>
      <c r="R289" s="8"/>
      <c r="S289" s="1"/>
      <c r="T289" s="6">
        <f t="shared" ca="1" si="8"/>
        <v>0</v>
      </c>
      <c r="U289" s="1" t="str">
        <f t="shared" si="9"/>
        <v/>
      </c>
      <c r="V289" s="1"/>
      <c r="W289" s="1"/>
    </row>
    <row r="290" spans="1:23">
      <c r="A290" s="1"/>
      <c r="B290" s="8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8"/>
      <c r="R290" s="8"/>
      <c r="S290" s="1"/>
      <c r="T290" s="6">
        <f t="shared" ca="1" si="8"/>
        <v>0</v>
      </c>
      <c r="U290" s="1" t="str">
        <f t="shared" si="9"/>
        <v/>
      </c>
      <c r="V290" s="1"/>
      <c r="W290" s="1"/>
    </row>
    <row r="291" spans="1:23">
      <c r="A291" s="1"/>
      <c r="B291" s="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8"/>
      <c r="R291" s="8"/>
      <c r="S291" s="1"/>
      <c r="T291" s="6">
        <f t="shared" ca="1" si="8"/>
        <v>0</v>
      </c>
      <c r="U291" s="1" t="str">
        <f t="shared" si="9"/>
        <v/>
      </c>
      <c r="V291" s="1"/>
      <c r="W291" s="1"/>
    </row>
    <row r="292" spans="1:23">
      <c r="A292" s="1"/>
      <c r="B292" s="8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8"/>
      <c r="R292" s="8"/>
      <c r="S292" s="1"/>
      <c r="T292" s="6">
        <f t="shared" ca="1" si="8"/>
        <v>0</v>
      </c>
      <c r="U292" s="1" t="str">
        <f t="shared" si="9"/>
        <v/>
      </c>
      <c r="V292" s="1"/>
      <c r="W292" s="1"/>
    </row>
    <row r="293" spans="1:23">
      <c r="A293" s="1"/>
      <c r="B293" s="8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8"/>
      <c r="R293" s="8"/>
      <c r="S293" s="1"/>
      <c r="T293" s="6">
        <f t="shared" ca="1" si="8"/>
        <v>0</v>
      </c>
      <c r="U293" s="1" t="str">
        <f t="shared" si="9"/>
        <v/>
      </c>
      <c r="V293" s="1"/>
      <c r="W293" s="1"/>
    </row>
    <row r="294" spans="1:23">
      <c r="A294" s="1"/>
      <c r="B294" s="8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8"/>
      <c r="R294" s="8"/>
      <c r="S294" s="1"/>
      <c r="T294" s="6">
        <f t="shared" ca="1" si="8"/>
        <v>0</v>
      </c>
      <c r="U294" s="1" t="str">
        <f t="shared" si="9"/>
        <v/>
      </c>
      <c r="V294" s="1"/>
      <c r="W294" s="1"/>
    </row>
    <row r="295" spans="1:23">
      <c r="A295" s="1"/>
      <c r="B295" s="8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8"/>
      <c r="R295" s="8"/>
      <c r="S295" s="1"/>
      <c r="T295" s="6">
        <f t="shared" ca="1" si="8"/>
        <v>0</v>
      </c>
      <c r="U295" s="1" t="str">
        <f t="shared" si="9"/>
        <v/>
      </c>
      <c r="V295" s="1"/>
      <c r="W295" s="1"/>
    </row>
    <row r="296" spans="1:23">
      <c r="A296" s="1"/>
      <c r="B296" s="8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8"/>
      <c r="R296" s="8"/>
      <c r="S296" s="1"/>
      <c r="T296" s="6">
        <f t="shared" ca="1" si="8"/>
        <v>0</v>
      </c>
      <c r="U296" s="1" t="str">
        <f t="shared" si="9"/>
        <v/>
      </c>
      <c r="V296" s="1"/>
      <c r="W296" s="1"/>
    </row>
    <row r="297" spans="1:23">
      <c r="A297" s="1"/>
      <c r="B297" s="8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8"/>
      <c r="R297" s="8"/>
      <c r="S297" s="1"/>
      <c r="T297" s="6">
        <f t="shared" ca="1" si="8"/>
        <v>0</v>
      </c>
      <c r="U297" s="1" t="str">
        <f t="shared" si="9"/>
        <v/>
      </c>
      <c r="V297" s="1"/>
      <c r="W297" s="1"/>
    </row>
  </sheetData>
  <conditionalFormatting sqref="L2:L297">
    <cfRule type="expression" dxfId="11" priority="1">
      <formula>L2="Non conforme"</formula>
    </cfRule>
    <cfRule type="expression" dxfId="10" priority="2">
      <formula>L2="Conforme"</formula>
    </cfRule>
  </conditionalFormatting>
  <conditionalFormatting sqref="M2:M297">
    <cfRule type="expression" dxfId="9" priority="3">
      <formula>M2="Critique"</formula>
    </cfRule>
  </conditionalFormatting>
  <conditionalFormatting sqref="T2:T297">
    <cfRule type="cellIs" dxfId="8" priority="4" operator="greaterThan">
      <formula>0</formula>
    </cfRule>
  </conditionalFormatting>
  <dataValidations count="9">
    <dataValidation type="list" allowBlank="1" showErrorMessage="1" errorTitle="Valeur non autorisée" error="Veuillez choisir une valeur depuis la liste dynamique REF_AGENCES." sqref="C2:C1000" xr:uid="{00000000-0002-0000-0E00-000000000000}">
      <formula1>REF_AGENCES</formula1>
    </dataValidation>
    <dataValidation type="list" allowBlank="1" showErrorMessage="1" errorTitle="Valeur non autorisée" error="Veuillez choisir une valeur depuis la liste dynamique REF_CYCLES." sqref="D2:D1000" xr:uid="{00000000-0002-0000-0E00-000001000000}">
      <formula1>REF_CYCLES</formula1>
    </dataValidation>
    <dataValidation type="list" allowBlank="1" showErrorMessage="1" errorTitle="Valeur non autorisée" error="Veuillez choisir une valeur depuis la liste dynamique REF_FREQUENCES." sqref="H2:H1000" xr:uid="{00000000-0002-0000-0E00-000002000000}">
      <formula1>REF_FREQUENCES</formula1>
    </dataValidation>
    <dataValidation type="list" allowBlank="1" showErrorMessage="1" errorTitle="Valeur non autorisée" error="Veuillez choisir une valeur depuis la liste dynamique REF_RESPONSABLES." sqref="I2:I1000 P2:P1000" xr:uid="{00000000-0002-0000-0E00-000003000000}">
      <formula1>REF_RESPONSABLES</formula1>
    </dataValidation>
    <dataValidation type="list" allowBlank="1" showErrorMessage="1" errorTitle="Valeur non autorisée" error="Veuillez choisir une valeur depuis la liste dynamique REF_NIVEAUX_RISQUE." sqref="J2:J1000" xr:uid="{00000000-0002-0000-0E00-000004000000}">
      <formula1>REF_NIVEAUX_RISQUE</formula1>
    </dataValidation>
    <dataValidation type="list" allowBlank="1" showErrorMessage="1" errorTitle="Valeur non autorisée" error="Veuillez choisir une valeur depuis la liste dynamique REF_RESULTATS_CONTROLE." sqref="L2:L1000" xr:uid="{00000000-0002-0000-0E00-000005000000}">
      <formula1>REF_RESULTATS_CONTROLE</formula1>
    </dataValidation>
    <dataValidation type="list" allowBlank="1" showErrorMessage="1" errorTitle="Valeur non autorisée" error="Veuillez choisir une valeur depuis la liste dynamique REF_GRAVITES_ANOMALIE." sqref="M2:M1000" xr:uid="{00000000-0002-0000-0E00-000006000000}">
      <formula1>REF_GRAVITES_ANOMALIE</formula1>
    </dataValidation>
    <dataValidation type="list" allowBlank="1" showErrorMessage="1" errorTitle="Valeur non autorisée" error="Veuillez choisir une valeur depuis la liste dynamique REF_STATUTS_ACTION." sqref="S2:S1000" xr:uid="{00000000-0002-0000-0E00-000008000000}">
      <formula1>REF_STATUTS_ACTION</formula1>
    </dataValidation>
    <dataValidation type="list" allowBlank="1" showErrorMessage="1" errorTitle="Valeur non autorisée" error="Veuillez choisir une valeur depuis la liste dynamique REF_PRIORITES." sqref="U2:U1000" xr:uid="{00000000-0002-0000-0E00-000009000000}">
      <formula1>REF_PRIORITES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297"/>
  <sheetViews>
    <sheetView workbookViewId="0"/>
  </sheetViews>
  <sheetFormatPr baseColWidth="10" defaultColWidth="9" defaultRowHeight="14.25"/>
  <cols>
    <col min="1" max="2" width="14" customWidth="1"/>
    <col min="3" max="3" width="18" customWidth="1"/>
    <col min="4" max="4" width="28" customWidth="1"/>
    <col min="5" max="5" width="26" customWidth="1"/>
    <col min="6" max="6" width="42" customWidth="1"/>
    <col min="7" max="7" width="48" customWidth="1"/>
    <col min="8" max="8" width="16" customWidth="1"/>
    <col min="9" max="9" width="24" customWidth="1"/>
    <col min="10" max="10" width="14" customWidth="1"/>
    <col min="11" max="11" width="34" customWidth="1"/>
    <col min="12" max="12" width="18" customWidth="1"/>
    <col min="13" max="13" width="16" customWidth="1"/>
    <col min="14" max="14" width="42" customWidth="1"/>
    <col min="15" max="15" width="48" customWidth="1"/>
    <col min="16" max="16" width="22" customWidth="1"/>
    <col min="17" max="18" width="14" customWidth="1"/>
    <col min="19" max="19" width="16" customWidth="1"/>
    <col min="20" max="20" width="12" customWidth="1"/>
    <col min="21" max="21" width="10" customWidth="1"/>
    <col min="22" max="22" width="20" customWidth="1"/>
    <col min="23" max="23" width="36" customWidth="1"/>
  </cols>
  <sheetData>
    <row r="1" spans="1:23" ht="32.1" customHeight="1">
      <c r="A1" s="2" t="s">
        <v>39</v>
      </c>
      <c r="B1" s="2" t="s">
        <v>166</v>
      </c>
      <c r="C1" s="2" t="s">
        <v>167</v>
      </c>
      <c r="D1" s="2" t="s">
        <v>18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47</v>
      </c>
      <c r="N1" s="2" t="s">
        <v>176</v>
      </c>
      <c r="O1" s="2" t="s">
        <v>177</v>
      </c>
      <c r="P1" s="2" t="s">
        <v>178</v>
      </c>
      <c r="Q1" s="2" t="s">
        <v>179</v>
      </c>
      <c r="R1" s="2" t="s">
        <v>180</v>
      </c>
      <c r="S1" s="2" t="s">
        <v>181</v>
      </c>
      <c r="T1" s="2" t="s">
        <v>182</v>
      </c>
      <c r="U1" s="2" t="s">
        <v>183</v>
      </c>
      <c r="V1" s="2" t="s">
        <v>184</v>
      </c>
      <c r="W1" s="2" t="s">
        <v>185</v>
      </c>
    </row>
    <row r="2" spans="1:23" ht="28.5">
      <c r="A2" s="1" t="s">
        <v>498</v>
      </c>
      <c r="B2" s="8"/>
      <c r="C2" s="1"/>
      <c r="D2" s="1" t="s">
        <v>122</v>
      </c>
      <c r="E2" s="1" t="s">
        <v>499</v>
      </c>
      <c r="F2" s="1" t="s">
        <v>500</v>
      </c>
      <c r="G2" s="1" t="s">
        <v>501</v>
      </c>
      <c r="H2" s="1" t="s">
        <v>84</v>
      </c>
      <c r="I2" s="1" t="s">
        <v>220</v>
      </c>
      <c r="J2" s="1" t="s">
        <v>85</v>
      </c>
      <c r="K2" s="1" t="s">
        <v>502</v>
      </c>
      <c r="L2" s="1"/>
      <c r="M2" s="1" t="s">
        <v>61</v>
      </c>
      <c r="N2" s="1"/>
      <c r="O2" s="1"/>
      <c r="P2" s="1"/>
      <c r="Q2" s="8"/>
      <c r="R2" s="8"/>
      <c r="S2" s="1" t="s">
        <v>62</v>
      </c>
      <c r="T2" s="6">
        <f t="shared" ref="T2:T65" ca="1" si="0">IF(AND(S2&lt;&gt;"Clôturée",Q2&lt;&gt;"",TODAY()&gt;Q2),TODAY()-Q2,0)</f>
        <v>0</v>
      </c>
      <c r="U2" s="1" t="str">
        <f t="shared" ref="U2:U65" si="1">IF(M2="Critique","P1",IF(M2="Majeure","P2",IF(M2="Mineure","P3","")))</f>
        <v/>
      </c>
      <c r="V2" s="1" t="s">
        <v>503</v>
      </c>
      <c r="W2" s="1"/>
    </row>
    <row r="3" spans="1:23" ht="28.5">
      <c r="A3" s="1" t="s">
        <v>504</v>
      </c>
      <c r="B3" s="8"/>
      <c r="C3" s="1"/>
      <c r="D3" s="1" t="s">
        <v>122</v>
      </c>
      <c r="E3" s="1" t="s">
        <v>499</v>
      </c>
      <c r="F3" s="1" t="s">
        <v>505</v>
      </c>
      <c r="G3" s="1" t="s">
        <v>506</v>
      </c>
      <c r="H3" s="1" t="s">
        <v>84</v>
      </c>
      <c r="I3" s="1" t="s">
        <v>220</v>
      </c>
      <c r="J3" s="1" t="s">
        <v>85</v>
      </c>
      <c r="K3" s="1" t="s">
        <v>507</v>
      </c>
      <c r="L3" s="1"/>
      <c r="M3" s="1" t="s">
        <v>61</v>
      </c>
      <c r="N3" s="1"/>
      <c r="O3" s="1"/>
      <c r="P3" s="1"/>
      <c r="Q3" s="8"/>
      <c r="R3" s="8"/>
      <c r="S3" s="1" t="s">
        <v>62</v>
      </c>
      <c r="T3" s="6">
        <f t="shared" ca="1" si="0"/>
        <v>0</v>
      </c>
      <c r="U3" s="1" t="str">
        <f t="shared" si="1"/>
        <v/>
      </c>
      <c r="V3" s="1" t="s">
        <v>503</v>
      </c>
      <c r="W3" s="1"/>
    </row>
    <row r="4" spans="1:23" ht="28.5">
      <c r="A4" s="1" t="s">
        <v>508</v>
      </c>
      <c r="B4" s="8"/>
      <c r="C4" s="1"/>
      <c r="D4" s="1" t="s">
        <v>122</v>
      </c>
      <c r="E4" s="1" t="s">
        <v>499</v>
      </c>
      <c r="F4" s="1" t="s">
        <v>509</v>
      </c>
      <c r="G4" s="1" t="s">
        <v>510</v>
      </c>
      <c r="H4" s="1" t="s">
        <v>84</v>
      </c>
      <c r="I4" s="1" t="s">
        <v>220</v>
      </c>
      <c r="J4" s="1" t="s">
        <v>85</v>
      </c>
      <c r="K4" s="1" t="s">
        <v>511</v>
      </c>
      <c r="L4" s="1"/>
      <c r="M4" s="1" t="s">
        <v>61</v>
      </c>
      <c r="N4" s="1"/>
      <c r="O4" s="1"/>
      <c r="P4" s="1"/>
      <c r="Q4" s="8"/>
      <c r="R4" s="8"/>
      <c r="S4" s="1" t="s">
        <v>62</v>
      </c>
      <c r="T4" s="6">
        <f t="shared" ca="1" si="0"/>
        <v>0</v>
      </c>
      <c r="U4" s="1" t="str">
        <f t="shared" si="1"/>
        <v/>
      </c>
      <c r="V4" s="1" t="s">
        <v>503</v>
      </c>
      <c r="W4" s="1"/>
    </row>
    <row r="5" spans="1:23" ht="28.5">
      <c r="A5" s="1" t="s">
        <v>512</v>
      </c>
      <c r="B5" s="8"/>
      <c r="C5" s="1"/>
      <c r="D5" s="1" t="s">
        <v>122</v>
      </c>
      <c r="E5" s="1" t="s">
        <v>513</v>
      </c>
      <c r="F5" s="1" t="s">
        <v>514</v>
      </c>
      <c r="G5" s="1" t="s">
        <v>515</v>
      </c>
      <c r="H5" s="1" t="s">
        <v>84</v>
      </c>
      <c r="I5" s="1" t="s">
        <v>220</v>
      </c>
      <c r="J5" s="1" t="s">
        <v>85</v>
      </c>
      <c r="K5" s="1" t="s">
        <v>516</v>
      </c>
      <c r="L5" s="1"/>
      <c r="M5" s="1" t="s">
        <v>61</v>
      </c>
      <c r="N5" s="1"/>
      <c r="O5" s="1"/>
      <c r="P5" s="1"/>
      <c r="Q5" s="8"/>
      <c r="R5" s="8"/>
      <c r="S5" s="1" t="s">
        <v>62</v>
      </c>
      <c r="T5" s="6">
        <f t="shared" ca="1" si="0"/>
        <v>0</v>
      </c>
      <c r="U5" s="1" t="str">
        <f t="shared" si="1"/>
        <v/>
      </c>
      <c r="V5" s="1" t="s">
        <v>503</v>
      </c>
      <c r="W5" s="1"/>
    </row>
    <row r="6" spans="1:23" ht="28.5">
      <c r="A6" s="1" t="s">
        <v>517</v>
      </c>
      <c r="B6" s="8"/>
      <c r="C6" s="1"/>
      <c r="D6" s="1" t="s">
        <v>122</v>
      </c>
      <c r="E6" s="1" t="s">
        <v>518</v>
      </c>
      <c r="F6" s="1" t="s">
        <v>519</v>
      </c>
      <c r="G6" s="1" t="s">
        <v>520</v>
      </c>
      <c r="H6" s="1" t="s">
        <v>84</v>
      </c>
      <c r="I6" s="1" t="s">
        <v>220</v>
      </c>
      <c r="J6" s="1" t="s">
        <v>85</v>
      </c>
      <c r="K6" s="1" t="s">
        <v>521</v>
      </c>
      <c r="L6" s="1"/>
      <c r="M6" s="1" t="s">
        <v>61</v>
      </c>
      <c r="N6" s="1"/>
      <c r="O6" s="1"/>
      <c r="P6" s="1"/>
      <c r="Q6" s="8"/>
      <c r="R6" s="8"/>
      <c r="S6" s="1" t="s">
        <v>62</v>
      </c>
      <c r="T6" s="6">
        <f t="shared" ca="1" si="0"/>
        <v>0</v>
      </c>
      <c r="U6" s="1" t="str">
        <f t="shared" si="1"/>
        <v/>
      </c>
      <c r="V6" s="1" t="s">
        <v>503</v>
      </c>
      <c r="W6" s="1"/>
    </row>
    <row r="7" spans="1:23" ht="28.5">
      <c r="A7" s="1" t="s">
        <v>522</v>
      </c>
      <c r="B7" s="8"/>
      <c r="C7" s="1"/>
      <c r="D7" s="1" t="s">
        <v>122</v>
      </c>
      <c r="E7" s="1" t="s">
        <v>523</v>
      </c>
      <c r="F7" s="1" t="s">
        <v>524</v>
      </c>
      <c r="G7" s="1" t="s">
        <v>525</v>
      </c>
      <c r="H7" s="1" t="s">
        <v>84</v>
      </c>
      <c r="I7" s="1" t="s">
        <v>220</v>
      </c>
      <c r="J7" s="1" t="s">
        <v>85</v>
      </c>
      <c r="K7" s="1" t="s">
        <v>526</v>
      </c>
      <c r="L7" s="1"/>
      <c r="M7" s="1" t="s">
        <v>61</v>
      </c>
      <c r="N7" s="1"/>
      <c r="O7" s="1"/>
      <c r="P7" s="1"/>
      <c r="Q7" s="8"/>
      <c r="R7" s="8"/>
      <c r="S7" s="1" t="s">
        <v>62</v>
      </c>
      <c r="T7" s="6">
        <f t="shared" ca="1" si="0"/>
        <v>0</v>
      </c>
      <c r="U7" s="1" t="str">
        <f t="shared" si="1"/>
        <v/>
      </c>
      <c r="V7" s="1" t="s">
        <v>503</v>
      </c>
      <c r="W7" s="1"/>
    </row>
    <row r="8" spans="1:23" ht="28.5">
      <c r="A8" s="1" t="s">
        <v>527</v>
      </c>
      <c r="B8" s="8"/>
      <c r="C8" s="1"/>
      <c r="D8" s="1" t="s">
        <v>122</v>
      </c>
      <c r="E8" s="1" t="s">
        <v>528</v>
      </c>
      <c r="F8" s="1" t="s">
        <v>529</v>
      </c>
      <c r="G8" s="1" t="s">
        <v>530</v>
      </c>
      <c r="H8" s="1" t="s">
        <v>84</v>
      </c>
      <c r="I8" s="1" t="s">
        <v>220</v>
      </c>
      <c r="J8" s="1" t="s">
        <v>85</v>
      </c>
      <c r="K8" s="1" t="s">
        <v>531</v>
      </c>
      <c r="L8" s="1"/>
      <c r="M8" s="1" t="s">
        <v>61</v>
      </c>
      <c r="N8" s="1"/>
      <c r="O8" s="1"/>
      <c r="P8" s="1"/>
      <c r="Q8" s="8"/>
      <c r="R8" s="8"/>
      <c r="S8" s="1" t="s">
        <v>62</v>
      </c>
      <c r="T8" s="6">
        <f t="shared" ca="1" si="0"/>
        <v>0</v>
      </c>
      <c r="U8" s="1" t="str">
        <f t="shared" si="1"/>
        <v/>
      </c>
      <c r="V8" s="1" t="s">
        <v>503</v>
      </c>
      <c r="W8" s="1"/>
    </row>
    <row r="9" spans="1:23" ht="28.5">
      <c r="A9" s="1" t="s">
        <v>532</v>
      </c>
      <c r="B9" s="8"/>
      <c r="C9" s="1"/>
      <c r="D9" s="1" t="s">
        <v>122</v>
      </c>
      <c r="E9" s="1" t="s">
        <v>533</v>
      </c>
      <c r="F9" s="1" t="s">
        <v>534</v>
      </c>
      <c r="G9" s="1" t="s">
        <v>535</v>
      </c>
      <c r="H9" s="1" t="s">
        <v>84</v>
      </c>
      <c r="I9" s="1" t="s">
        <v>220</v>
      </c>
      <c r="J9" s="1" t="s">
        <v>85</v>
      </c>
      <c r="K9" s="1" t="s">
        <v>536</v>
      </c>
      <c r="L9" s="1"/>
      <c r="M9" s="1" t="s">
        <v>61</v>
      </c>
      <c r="N9" s="1"/>
      <c r="O9" s="1"/>
      <c r="P9" s="1"/>
      <c r="Q9" s="8"/>
      <c r="R9" s="8"/>
      <c r="S9" s="1" t="s">
        <v>62</v>
      </c>
      <c r="T9" s="6">
        <f t="shared" ca="1" si="0"/>
        <v>0</v>
      </c>
      <c r="U9" s="1" t="str">
        <f t="shared" si="1"/>
        <v/>
      </c>
      <c r="V9" s="1" t="s">
        <v>503</v>
      </c>
      <c r="W9" s="1"/>
    </row>
    <row r="10" spans="1:23">
      <c r="A10" s="1"/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8"/>
      <c r="R10" s="8"/>
      <c r="S10" s="1"/>
      <c r="T10" s="6">
        <f t="shared" ca="1" si="0"/>
        <v>0</v>
      </c>
      <c r="U10" s="1" t="str">
        <f t="shared" si="1"/>
        <v/>
      </c>
      <c r="V10" s="1"/>
      <c r="W10" s="1"/>
    </row>
    <row r="11" spans="1:23">
      <c r="A11" s="1"/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8"/>
      <c r="R11" s="8"/>
      <c r="S11" s="1"/>
      <c r="T11" s="6">
        <f t="shared" ca="1" si="0"/>
        <v>0</v>
      </c>
      <c r="U11" s="1" t="str">
        <f t="shared" si="1"/>
        <v/>
      </c>
      <c r="V11" s="1"/>
      <c r="W11" s="1"/>
    </row>
    <row r="12" spans="1:23">
      <c r="A12" s="1"/>
      <c r="B12" s="8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8"/>
      <c r="R12" s="8"/>
      <c r="S12" s="1"/>
      <c r="T12" s="6">
        <f t="shared" ca="1" si="0"/>
        <v>0</v>
      </c>
      <c r="U12" s="1" t="str">
        <f t="shared" si="1"/>
        <v/>
      </c>
      <c r="V12" s="1"/>
      <c r="W12" s="1"/>
    </row>
    <row r="13" spans="1:23">
      <c r="A13" s="1"/>
      <c r="B13" s="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8"/>
      <c r="R13" s="8"/>
      <c r="S13" s="1"/>
      <c r="T13" s="6">
        <f t="shared" ca="1" si="0"/>
        <v>0</v>
      </c>
      <c r="U13" s="1" t="str">
        <f t="shared" si="1"/>
        <v/>
      </c>
      <c r="V13" s="1"/>
      <c r="W13" s="1"/>
    </row>
    <row r="14" spans="1:23">
      <c r="A14" s="1"/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8"/>
      <c r="R14" s="8"/>
      <c r="S14" s="1"/>
      <c r="T14" s="6">
        <f t="shared" ca="1" si="0"/>
        <v>0</v>
      </c>
      <c r="U14" s="1" t="str">
        <f t="shared" si="1"/>
        <v/>
      </c>
      <c r="V14" s="1"/>
      <c r="W14" s="1"/>
    </row>
    <row r="15" spans="1:23">
      <c r="A15" s="1"/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8"/>
      <c r="R15" s="8"/>
      <c r="S15" s="1"/>
      <c r="T15" s="6">
        <f t="shared" ca="1" si="0"/>
        <v>0</v>
      </c>
      <c r="U15" s="1" t="str">
        <f t="shared" si="1"/>
        <v/>
      </c>
      <c r="V15" s="1"/>
      <c r="W15" s="1"/>
    </row>
    <row r="16" spans="1:23">
      <c r="A16" s="1"/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8"/>
      <c r="R16" s="8"/>
      <c r="S16" s="1"/>
      <c r="T16" s="6">
        <f t="shared" ca="1" si="0"/>
        <v>0</v>
      </c>
      <c r="U16" s="1" t="str">
        <f t="shared" si="1"/>
        <v/>
      </c>
      <c r="V16" s="1"/>
      <c r="W16" s="1"/>
    </row>
    <row r="17" spans="1:23">
      <c r="A17" s="1"/>
      <c r="B17" s="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8"/>
      <c r="R17" s="8"/>
      <c r="S17" s="1"/>
      <c r="T17" s="6">
        <f t="shared" ca="1" si="0"/>
        <v>0</v>
      </c>
      <c r="U17" s="1" t="str">
        <f t="shared" si="1"/>
        <v/>
      </c>
      <c r="V17" s="1"/>
      <c r="W17" s="1"/>
    </row>
    <row r="18" spans="1:23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8"/>
      <c r="R18" s="8"/>
      <c r="S18" s="1"/>
      <c r="T18" s="6">
        <f t="shared" ca="1" si="0"/>
        <v>0</v>
      </c>
      <c r="U18" s="1" t="str">
        <f t="shared" si="1"/>
        <v/>
      </c>
      <c r="V18" s="1"/>
      <c r="W18" s="1"/>
    </row>
    <row r="19" spans="1:23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8"/>
      <c r="R19" s="8"/>
      <c r="S19" s="1"/>
      <c r="T19" s="6">
        <f t="shared" ca="1" si="0"/>
        <v>0</v>
      </c>
      <c r="U19" s="1" t="str">
        <f t="shared" si="1"/>
        <v/>
      </c>
      <c r="V19" s="1"/>
      <c r="W19" s="1"/>
    </row>
    <row r="20" spans="1:23">
      <c r="A20" s="1"/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8"/>
      <c r="R20" s="8"/>
      <c r="S20" s="1"/>
      <c r="T20" s="6">
        <f t="shared" ca="1" si="0"/>
        <v>0</v>
      </c>
      <c r="U20" s="1" t="str">
        <f t="shared" si="1"/>
        <v/>
      </c>
      <c r="V20" s="1"/>
      <c r="W20" s="1"/>
    </row>
    <row r="21" spans="1:23">
      <c r="A21" s="1"/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8"/>
      <c r="R21" s="8"/>
      <c r="S21" s="1"/>
      <c r="T21" s="6">
        <f t="shared" ca="1" si="0"/>
        <v>0</v>
      </c>
      <c r="U21" s="1" t="str">
        <f t="shared" si="1"/>
        <v/>
      </c>
      <c r="V21" s="1"/>
      <c r="W21" s="1"/>
    </row>
    <row r="22" spans="1:23">
      <c r="A22" s="1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8"/>
      <c r="R22" s="8"/>
      <c r="S22" s="1"/>
      <c r="T22" s="6">
        <f t="shared" ca="1" si="0"/>
        <v>0</v>
      </c>
      <c r="U22" s="1" t="str">
        <f t="shared" si="1"/>
        <v/>
      </c>
      <c r="V22" s="1"/>
      <c r="W22" s="1"/>
    </row>
    <row r="23" spans="1:23">
      <c r="A23" s="1"/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8"/>
      <c r="R23" s="8"/>
      <c r="S23" s="1"/>
      <c r="T23" s="6">
        <f t="shared" ca="1" si="0"/>
        <v>0</v>
      </c>
      <c r="U23" s="1" t="str">
        <f t="shared" si="1"/>
        <v/>
      </c>
      <c r="V23" s="1"/>
      <c r="W23" s="1"/>
    </row>
    <row r="24" spans="1:23">
      <c r="A24" s="1"/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8"/>
      <c r="R24" s="8"/>
      <c r="S24" s="1"/>
      <c r="T24" s="6">
        <f t="shared" ca="1" si="0"/>
        <v>0</v>
      </c>
      <c r="U24" s="1" t="str">
        <f t="shared" si="1"/>
        <v/>
      </c>
      <c r="V24" s="1"/>
      <c r="W24" s="1"/>
    </row>
    <row r="25" spans="1:23">
      <c r="A25" s="1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8"/>
      <c r="R25" s="8"/>
      <c r="S25" s="1"/>
      <c r="T25" s="6">
        <f t="shared" ca="1" si="0"/>
        <v>0</v>
      </c>
      <c r="U25" s="1" t="str">
        <f t="shared" si="1"/>
        <v/>
      </c>
      <c r="V25" s="1"/>
      <c r="W25" s="1"/>
    </row>
    <row r="26" spans="1:23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8"/>
      <c r="R26" s="8"/>
      <c r="S26" s="1"/>
      <c r="T26" s="6">
        <f t="shared" ca="1" si="0"/>
        <v>0</v>
      </c>
      <c r="U26" s="1" t="str">
        <f t="shared" si="1"/>
        <v/>
      </c>
      <c r="V26" s="1"/>
      <c r="W26" s="1"/>
    </row>
    <row r="27" spans="1:23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8"/>
      <c r="R27" s="8"/>
      <c r="S27" s="1"/>
      <c r="T27" s="6">
        <f t="shared" ca="1" si="0"/>
        <v>0</v>
      </c>
      <c r="U27" s="1" t="str">
        <f t="shared" si="1"/>
        <v/>
      </c>
      <c r="V27" s="1"/>
      <c r="W27" s="1"/>
    </row>
    <row r="28" spans="1:23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8"/>
      <c r="R28" s="8"/>
      <c r="S28" s="1"/>
      <c r="T28" s="6">
        <f t="shared" ca="1" si="0"/>
        <v>0</v>
      </c>
      <c r="U28" s="1" t="str">
        <f t="shared" si="1"/>
        <v/>
      </c>
      <c r="V28" s="1"/>
      <c r="W28" s="1"/>
    </row>
    <row r="29" spans="1:23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8"/>
      <c r="R29" s="8"/>
      <c r="S29" s="1"/>
      <c r="T29" s="6">
        <f t="shared" ca="1" si="0"/>
        <v>0</v>
      </c>
      <c r="U29" s="1" t="str">
        <f t="shared" si="1"/>
        <v/>
      </c>
      <c r="V29" s="1"/>
      <c r="W29" s="1"/>
    </row>
    <row r="30" spans="1:23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8"/>
      <c r="R30" s="8"/>
      <c r="S30" s="1"/>
      <c r="T30" s="6">
        <f t="shared" ca="1" si="0"/>
        <v>0</v>
      </c>
      <c r="U30" s="1" t="str">
        <f t="shared" si="1"/>
        <v/>
      </c>
      <c r="V30" s="1"/>
      <c r="W30" s="1"/>
    </row>
    <row r="31" spans="1:23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8"/>
      <c r="R31" s="8"/>
      <c r="S31" s="1"/>
      <c r="T31" s="6">
        <f t="shared" ca="1" si="0"/>
        <v>0</v>
      </c>
      <c r="U31" s="1" t="str">
        <f t="shared" si="1"/>
        <v/>
      </c>
      <c r="V31" s="1"/>
      <c r="W31" s="1"/>
    </row>
    <row r="32" spans="1:23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8"/>
      <c r="R32" s="8"/>
      <c r="S32" s="1"/>
      <c r="T32" s="6">
        <f t="shared" ca="1" si="0"/>
        <v>0</v>
      </c>
      <c r="U32" s="1" t="str">
        <f t="shared" si="1"/>
        <v/>
      </c>
      <c r="V32" s="1"/>
      <c r="W32" s="1"/>
    </row>
    <row r="33" spans="1:23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8"/>
      <c r="R33" s="8"/>
      <c r="S33" s="1"/>
      <c r="T33" s="6">
        <f t="shared" ca="1" si="0"/>
        <v>0</v>
      </c>
      <c r="U33" s="1" t="str">
        <f t="shared" si="1"/>
        <v/>
      </c>
      <c r="V33" s="1"/>
      <c r="W33" s="1"/>
    </row>
    <row r="34" spans="1:23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8"/>
      <c r="R34" s="8"/>
      <c r="S34" s="1"/>
      <c r="T34" s="6">
        <f t="shared" ca="1" si="0"/>
        <v>0</v>
      </c>
      <c r="U34" s="1" t="str">
        <f t="shared" si="1"/>
        <v/>
      </c>
      <c r="V34" s="1"/>
      <c r="W34" s="1"/>
    </row>
    <row r="35" spans="1:23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8"/>
      <c r="R35" s="8"/>
      <c r="S35" s="1"/>
      <c r="T35" s="6">
        <f t="shared" ca="1" si="0"/>
        <v>0</v>
      </c>
      <c r="U35" s="1" t="str">
        <f t="shared" si="1"/>
        <v/>
      </c>
      <c r="V35" s="1"/>
      <c r="W35" s="1"/>
    </row>
    <row r="36" spans="1:23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8"/>
      <c r="R36" s="8"/>
      <c r="S36" s="1"/>
      <c r="T36" s="6">
        <f t="shared" ca="1" si="0"/>
        <v>0</v>
      </c>
      <c r="U36" s="1" t="str">
        <f t="shared" si="1"/>
        <v/>
      </c>
      <c r="V36" s="1"/>
      <c r="W36" s="1"/>
    </row>
    <row r="37" spans="1:23">
      <c r="A37" s="1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8"/>
      <c r="R37" s="8"/>
      <c r="S37" s="1"/>
      <c r="T37" s="6">
        <f t="shared" ca="1" si="0"/>
        <v>0</v>
      </c>
      <c r="U37" s="1" t="str">
        <f t="shared" si="1"/>
        <v/>
      </c>
      <c r="V37" s="1"/>
      <c r="W37" s="1"/>
    </row>
    <row r="38" spans="1:23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8"/>
      <c r="R38" s="8"/>
      <c r="S38" s="1"/>
      <c r="T38" s="6">
        <f t="shared" ca="1" si="0"/>
        <v>0</v>
      </c>
      <c r="U38" s="1" t="str">
        <f t="shared" si="1"/>
        <v/>
      </c>
      <c r="V38" s="1"/>
      <c r="W38" s="1"/>
    </row>
    <row r="39" spans="1:23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8"/>
      <c r="R39" s="8"/>
      <c r="S39" s="1"/>
      <c r="T39" s="6">
        <f t="shared" ca="1" si="0"/>
        <v>0</v>
      </c>
      <c r="U39" s="1" t="str">
        <f t="shared" si="1"/>
        <v/>
      </c>
      <c r="V39" s="1"/>
      <c r="W39" s="1"/>
    </row>
    <row r="40" spans="1:23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1"/>
      <c r="T40" s="6">
        <f t="shared" ca="1" si="0"/>
        <v>0</v>
      </c>
      <c r="U40" s="1" t="str">
        <f t="shared" si="1"/>
        <v/>
      </c>
      <c r="V40" s="1"/>
      <c r="W40" s="1"/>
    </row>
    <row r="41" spans="1:23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1"/>
      <c r="T41" s="6">
        <f t="shared" ca="1" si="0"/>
        <v>0</v>
      </c>
      <c r="U41" s="1" t="str">
        <f t="shared" si="1"/>
        <v/>
      </c>
      <c r="V41" s="1"/>
      <c r="W41" s="1"/>
    </row>
    <row r="42" spans="1:23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1"/>
      <c r="T42" s="6">
        <f t="shared" ca="1" si="0"/>
        <v>0</v>
      </c>
      <c r="U42" s="1" t="str">
        <f t="shared" si="1"/>
        <v/>
      </c>
      <c r="V42" s="1"/>
      <c r="W42" s="1"/>
    </row>
    <row r="43" spans="1:23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1"/>
      <c r="T43" s="6">
        <f t="shared" ca="1" si="0"/>
        <v>0</v>
      </c>
      <c r="U43" s="1" t="str">
        <f t="shared" si="1"/>
        <v/>
      </c>
      <c r="V43" s="1"/>
      <c r="W43" s="1"/>
    </row>
    <row r="44" spans="1:23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1"/>
      <c r="T44" s="6">
        <f t="shared" ca="1" si="0"/>
        <v>0</v>
      </c>
      <c r="U44" s="1" t="str">
        <f t="shared" si="1"/>
        <v/>
      </c>
      <c r="V44" s="1"/>
      <c r="W44" s="1"/>
    </row>
    <row r="45" spans="1:23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1"/>
      <c r="T45" s="6">
        <f t="shared" ca="1" si="0"/>
        <v>0</v>
      </c>
      <c r="U45" s="1" t="str">
        <f t="shared" si="1"/>
        <v/>
      </c>
      <c r="V45" s="1"/>
      <c r="W45" s="1"/>
    </row>
    <row r="46" spans="1:23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8"/>
      <c r="R46" s="8"/>
      <c r="S46" s="1"/>
      <c r="T46" s="6">
        <f t="shared" ca="1" si="0"/>
        <v>0</v>
      </c>
      <c r="U46" s="1" t="str">
        <f t="shared" si="1"/>
        <v/>
      </c>
      <c r="V46" s="1"/>
      <c r="W46" s="1"/>
    </row>
    <row r="47" spans="1:23">
      <c r="A47" s="1"/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8"/>
      <c r="R47" s="8"/>
      <c r="S47" s="1"/>
      <c r="T47" s="6">
        <f t="shared" ca="1" si="0"/>
        <v>0</v>
      </c>
      <c r="U47" s="1" t="str">
        <f t="shared" si="1"/>
        <v/>
      </c>
      <c r="V47" s="1"/>
      <c r="W47" s="1"/>
    </row>
    <row r="48" spans="1:23">
      <c r="A48" s="1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8"/>
      <c r="R48" s="8"/>
      <c r="S48" s="1"/>
      <c r="T48" s="6">
        <f t="shared" ca="1" si="0"/>
        <v>0</v>
      </c>
      <c r="U48" s="1" t="str">
        <f t="shared" si="1"/>
        <v/>
      </c>
      <c r="V48" s="1"/>
      <c r="W48" s="1"/>
    </row>
    <row r="49" spans="1:23">
      <c r="A49" s="1"/>
      <c r="B49" s="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8"/>
      <c r="R49" s="8"/>
      <c r="S49" s="1"/>
      <c r="T49" s="6">
        <f t="shared" ca="1" si="0"/>
        <v>0</v>
      </c>
      <c r="U49" s="1" t="str">
        <f t="shared" si="1"/>
        <v/>
      </c>
      <c r="V49" s="1"/>
      <c r="W49" s="1"/>
    </row>
    <row r="50" spans="1:23">
      <c r="A50" s="1"/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8"/>
      <c r="R50" s="8"/>
      <c r="S50" s="1"/>
      <c r="T50" s="6">
        <f t="shared" ca="1" si="0"/>
        <v>0</v>
      </c>
      <c r="U50" s="1" t="str">
        <f t="shared" si="1"/>
        <v/>
      </c>
      <c r="V50" s="1"/>
      <c r="W50" s="1"/>
    </row>
    <row r="51" spans="1:23">
      <c r="A51" s="1"/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8"/>
      <c r="R51" s="8"/>
      <c r="S51" s="1"/>
      <c r="T51" s="6">
        <f t="shared" ca="1" si="0"/>
        <v>0</v>
      </c>
      <c r="U51" s="1" t="str">
        <f t="shared" si="1"/>
        <v/>
      </c>
      <c r="V51" s="1"/>
      <c r="W51" s="1"/>
    </row>
    <row r="52" spans="1:23">
      <c r="A52" s="1"/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8"/>
      <c r="R52" s="8"/>
      <c r="S52" s="1"/>
      <c r="T52" s="6">
        <f t="shared" ca="1" si="0"/>
        <v>0</v>
      </c>
      <c r="U52" s="1" t="str">
        <f t="shared" si="1"/>
        <v/>
      </c>
      <c r="V52" s="1"/>
      <c r="W52" s="1"/>
    </row>
    <row r="53" spans="1:23">
      <c r="A53" s="1"/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8"/>
      <c r="R53" s="8"/>
      <c r="S53" s="1"/>
      <c r="T53" s="6">
        <f t="shared" ca="1" si="0"/>
        <v>0</v>
      </c>
      <c r="U53" s="1" t="str">
        <f t="shared" si="1"/>
        <v/>
      </c>
      <c r="V53" s="1"/>
      <c r="W53" s="1"/>
    </row>
    <row r="54" spans="1:23">
      <c r="A54" s="1"/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8"/>
      <c r="R54" s="8"/>
      <c r="S54" s="1"/>
      <c r="T54" s="6">
        <f t="shared" ca="1" si="0"/>
        <v>0</v>
      </c>
      <c r="U54" s="1" t="str">
        <f t="shared" si="1"/>
        <v/>
      </c>
      <c r="V54" s="1"/>
      <c r="W54" s="1"/>
    </row>
    <row r="55" spans="1:23">
      <c r="A55" s="1"/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8"/>
      <c r="R55" s="8"/>
      <c r="S55" s="1"/>
      <c r="T55" s="6">
        <f t="shared" ca="1" si="0"/>
        <v>0</v>
      </c>
      <c r="U55" s="1" t="str">
        <f t="shared" si="1"/>
        <v/>
      </c>
      <c r="V55" s="1"/>
      <c r="W55" s="1"/>
    </row>
    <row r="56" spans="1:23">
      <c r="A56" s="1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8"/>
      <c r="R56" s="8"/>
      <c r="S56" s="1"/>
      <c r="T56" s="6">
        <f t="shared" ca="1" si="0"/>
        <v>0</v>
      </c>
      <c r="U56" s="1" t="str">
        <f t="shared" si="1"/>
        <v/>
      </c>
      <c r="V56" s="1"/>
      <c r="W56" s="1"/>
    </row>
    <row r="57" spans="1:23">
      <c r="A57" s="1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8"/>
      <c r="R57" s="8"/>
      <c r="S57" s="1"/>
      <c r="T57" s="6">
        <f t="shared" ca="1" si="0"/>
        <v>0</v>
      </c>
      <c r="U57" s="1" t="str">
        <f t="shared" si="1"/>
        <v/>
      </c>
      <c r="V57" s="1"/>
      <c r="W57" s="1"/>
    </row>
    <row r="58" spans="1:23">
      <c r="A58" s="1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8"/>
      <c r="R58" s="8"/>
      <c r="S58" s="1"/>
      <c r="T58" s="6">
        <f t="shared" ca="1" si="0"/>
        <v>0</v>
      </c>
      <c r="U58" s="1" t="str">
        <f t="shared" si="1"/>
        <v/>
      </c>
      <c r="V58" s="1"/>
      <c r="W58" s="1"/>
    </row>
    <row r="59" spans="1:23">
      <c r="A59" s="1"/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8"/>
      <c r="R59" s="8"/>
      <c r="S59" s="1"/>
      <c r="T59" s="6">
        <f t="shared" ca="1" si="0"/>
        <v>0</v>
      </c>
      <c r="U59" s="1" t="str">
        <f t="shared" si="1"/>
        <v/>
      </c>
      <c r="V59" s="1"/>
      <c r="W59" s="1"/>
    </row>
    <row r="60" spans="1:23">
      <c r="A60" s="1"/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8"/>
      <c r="R60" s="8"/>
      <c r="S60" s="1"/>
      <c r="T60" s="6">
        <f t="shared" ca="1" si="0"/>
        <v>0</v>
      </c>
      <c r="U60" s="1" t="str">
        <f t="shared" si="1"/>
        <v/>
      </c>
      <c r="V60" s="1"/>
      <c r="W60" s="1"/>
    </row>
    <row r="61" spans="1:23">
      <c r="A61" s="1"/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8"/>
      <c r="R61" s="8"/>
      <c r="S61" s="1"/>
      <c r="T61" s="6">
        <f t="shared" ca="1" si="0"/>
        <v>0</v>
      </c>
      <c r="U61" s="1" t="str">
        <f t="shared" si="1"/>
        <v/>
      </c>
      <c r="V61" s="1"/>
      <c r="W61" s="1"/>
    </row>
    <row r="62" spans="1:23">
      <c r="A62" s="1"/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8"/>
      <c r="R62" s="8"/>
      <c r="S62" s="1"/>
      <c r="T62" s="6">
        <f t="shared" ca="1" si="0"/>
        <v>0</v>
      </c>
      <c r="U62" s="1" t="str">
        <f t="shared" si="1"/>
        <v/>
      </c>
      <c r="V62" s="1"/>
      <c r="W62" s="1"/>
    </row>
    <row r="63" spans="1:23">
      <c r="A63" s="1"/>
      <c r="B63" s="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8"/>
      <c r="R63" s="8"/>
      <c r="S63" s="1"/>
      <c r="T63" s="6">
        <f t="shared" ca="1" si="0"/>
        <v>0</v>
      </c>
      <c r="U63" s="1" t="str">
        <f t="shared" si="1"/>
        <v/>
      </c>
      <c r="V63" s="1"/>
      <c r="W63" s="1"/>
    </row>
    <row r="64" spans="1:23">
      <c r="A64" s="1"/>
      <c r="B64" s="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8"/>
      <c r="R64" s="8"/>
      <c r="S64" s="1"/>
      <c r="T64" s="6">
        <f t="shared" ca="1" si="0"/>
        <v>0</v>
      </c>
      <c r="U64" s="1" t="str">
        <f t="shared" si="1"/>
        <v/>
      </c>
      <c r="V64" s="1"/>
      <c r="W64" s="1"/>
    </row>
    <row r="65" spans="1:23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8"/>
      <c r="R65" s="8"/>
      <c r="S65" s="1"/>
      <c r="T65" s="6">
        <f t="shared" ca="1" si="0"/>
        <v>0</v>
      </c>
      <c r="U65" s="1" t="str">
        <f t="shared" si="1"/>
        <v/>
      </c>
      <c r="V65" s="1"/>
      <c r="W65" s="1"/>
    </row>
    <row r="66" spans="1:23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8"/>
      <c r="R66" s="8"/>
      <c r="S66" s="1"/>
      <c r="T66" s="6">
        <f t="shared" ref="T66:T129" ca="1" si="2">IF(AND(S66&lt;&gt;"Clôturée",Q66&lt;&gt;"",TODAY()&gt;Q66),TODAY()-Q66,0)</f>
        <v>0</v>
      </c>
      <c r="U66" s="1" t="str">
        <f t="shared" ref="U66:U129" si="3">IF(M66="Critique","P1",IF(M66="Majeure","P2",IF(M66="Mineure","P3","")))</f>
        <v/>
      </c>
      <c r="V66" s="1"/>
      <c r="W66" s="1"/>
    </row>
    <row r="67" spans="1:23">
      <c r="A67" s="1"/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8"/>
      <c r="R67" s="8"/>
      <c r="S67" s="1"/>
      <c r="T67" s="6">
        <f t="shared" ca="1" si="2"/>
        <v>0</v>
      </c>
      <c r="U67" s="1" t="str">
        <f t="shared" si="3"/>
        <v/>
      </c>
      <c r="V67" s="1"/>
      <c r="W67" s="1"/>
    </row>
    <row r="68" spans="1:23">
      <c r="A68" s="1"/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8"/>
      <c r="R68" s="8"/>
      <c r="S68" s="1"/>
      <c r="T68" s="6">
        <f t="shared" ca="1" si="2"/>
        <v>0</v>
      </c>
      <c r="U68" s="1" t="str">
        <f t="shared" si="3"/>
        <v/>
      </c>
      <c r="V68" s="1"/>
      <c r="W68" s="1"/>
    </row>
    <row r="69" spans="1:23">
      <c r="A69" s="1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8"/>
      <c r="R69" s="8"/>
      <c r="S69" s="1"/>
      <c r="T69" s="6">
        <f t="shared" ca="1" si="2"/>
        <v>0</v>
      </c>
      <c r="U69" s="1" t="str">
        <f t="shared" si="3"/>
        <v/>
      </c>
      <c r="V69" s="1"/>
      <c r="W69" s="1"/>
    </row>
    <row r="70" spans="1:23">
      <c r="A70" s="1"/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8"/>
      <c r="R70" s="8"/>
      <c r="S70" s="1"/>
      <c r="T70" s="6">
        <f t="shared" ca="1" si="2"/>
        <v>0</v>
      </c>
      <c r="U70" s="1" t="str">
        <f t="shared" si="3"/>
        <v/>
      </c>
      <c r="V70" s="1"/>
      <c r="W70" s="1"/>
    </row>
    <row r="71" spans="1:23">
      <c r="A71" s="1"/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8"/>
      <c r="R71" s="8"/>
      <c r="S71" s="1"/>
      <c r="T71" s="6">
        <f t="shared" ca="1" si="2"/>
        <v>0</v>
      </c>
      <c r="U71" s="1" t="str">
        <f t="shared" si="3"/>
        <v/>
      </c>
      <c r="V71" s="1"/>
      <c r="W71" s="1"/>
    </row>
    <row r="72" spans="1:23">
      <c r="A72" s="1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8"/>
      <c r="R72" s="8"/>
      <c r="S72" s="1"/>
      <c r="T72" s="6">
        <f t="shared" ca="1" si="2"/>
        <v>0</v>
      </c>
      <c r="U72" s="1" t="str">
        <f t="shared" si="3"/>
        <v/>
      </c>
      <c r="V72" s="1"/>
      <c r="W72" s="1"/>
    </row>
    <row r="73" spans="1:23">
      <c r="A73" s="1"/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8"/>
      <c r="R73" s="8"/>
      <c r="S73" s="1"/>
      <c r="T73" s="6">
        <f t="shared" ca="1" si="2"/>
        <v>0</v>
      </c>
      <c r="U73" s="1" t="str">
        <f t="shared" si="3"/>
        <v/>
      </c>
      <c r="V73" s="1"/>
      <c r="W73" s="1"/>
    </row>
    <row r="74" spans="1:23">
      <c r="A74" s="1"/>
      <c r="B74" s="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8"/>
      <c r="R74" s="8"/>
      <c r="S74" s="1"/>
      <c r="T74" s="6">
        <f t="shared" ca="1" si="2"/>
        <v>0</v>
      </c>
      <c r="U74" s="1" t="str">
        <f t="shared" si="3"/>
        <v/>
      </c>
      <c r="V74" s="1"/>
      <c r="W74" s="1"/>
    </row>
    <row r="75" spans="1:23">
      <c r="A75" s="1"/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8"/>
      <c r="R75" s="8"/>
      <c r="S75" s="1"/>
      <c r="T75" s="6">
        <f t="shared" ca="1" si="2"/>
        <v>0</v>
      </c>
      <c r="U75" s="1" t="str">
        <f t="shared" si="3"/>
        <v/>
      </c>
      <c r="V75" s="1"/>
      <c r="W75" s="1"/>
    </row>
    <row r="76" spans="1:23">
      <c r="A76" s="1"/>
      <c r="B76" s="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8"/>
      <c r="R76" s="8"/>
      <c r="S76" s="1"/>
      <c r="T76" s="6">
        <f t="shared" ca="1" si="2"/>
        <v>0</v>
      </c>
      <c r="U76" s="1" t="str">
        <f t="shared" si="3"/>
        <v/>
      </c>
      <c r="V76" s="1"/>
      <c r="W76" s="1"/>
    </row>
    <row r="77" spans="1:23">
      <c r="A77" s="1"/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8"/>
      <c r="R77" s="8"/>
      <c r="S77" s="1"/>
      <c r="T77" s="6">
        <f t="shared" ca="1" si="2"/>
        <v>0</v>
      </c>
      <c r="U77" s="1" t="str">
        <f t="shared" si="3"/>
        <v/>
      </c>
      <c r="V77" s="1"/>
      <c r="W77" s="1"/>
    </row>
    <row r="78" spans="1:23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8"/>
      <c r="R78" s="8"/>
      <c r="S78" s="1"/>
      <c r="T78" s="6">
        <f t="shared" ca="1" si="2"/>
        <v>0</v>
      </c>
      <c r="U78" s="1" t="str">
        <f t="shared" si="3"/>
        <v/>
      </c>
      <c r="V78" s="1"/>
      <c r="W78" s="1"/>
    </row>
    <row r="79" spans="1:23">
      <c r="A79" s="1"/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8"/>
      <c r="R79" s="8"/>
      <c r="S79" s="1"/>
      <c r="T79" s="6">
        <f t="shared" ca="1" si="2"/>
        <v>0</v>
      </c>
      <c r="U79" s="1" t="str">
        <f t="shared" si="3"/>
        <v/>
      </c>
      <c r="V79" s="1"/>
      <c r="W79" s="1"/>
    </row>
    <row r="80" spans="1:23">
      <c r="A80" s="1"/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8"/>
      <c r="R80" s="8"/>
      <c r="S80" s="1"/>
      <c r="T80" s="6">
        <f t="shared" ca="1" si="2"/>
        <v>0</v>
      </c>
      <c r="U80" s="1" t="str">
        <f t="shared" si="3"/>
        <v/>
      </c>
      <c r="V80" s="1"/>
      <c r="W80" s="1"/>
    </row>
    <row r="81" spans="1:23">
      <c r="A81" s="1"/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8"/>
      <c r="R81" s="8"/>
      <c r="S81" s="1"/>
      <c r="T81" s="6">
        <f t="shared" ca="1" si="2"/>
        <v>0</v>
      </c>
      <c r="U81" s="1" t="str">
        <f t="shared" si="3"/>
        <v/>
      </c>
      <c r="V81" s="1"/>
      <c r="W81" s="1"/>
    </row>
    <row r="82" spans="1:23">
      <c r="A82" s="1"/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8"/>
      <c r="R82" s="8"/>
      <c r="S82" s="1"/>
      <c r="T82" s="6">
        <f t="shared" ca="1" si="2"/>
        <v>0</v>
      </c>
      <c r="U82" s="1" t="str">
        <f t="shared" si="3"/>
        <v/>
      </c>
      <c r="V82" s="1"/>
      <c r="W82" s="1"/>
    </row>
    <row r="83" spans="1:23">
      <c r="A83" s="1"/>
      <c r="B83" s="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8"/>
      <c r="R83" s="8"/>
      <c r="S83" s="1"/>
      <c r="T83" s="6">
        <f t="shared" ca="1" si="2"/>
        <v>0</v>
      </c>
      <c r="U83" s="1" t="str">
        <f t="shared" si="3"/>
        <v/>
      </c>
      <c r="V83" s="1"/>
      <c r="W83" s="1"/>
    </row>
    <row r="84" spans="1:23">
      <c r="A84" s="1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8"/>
      <c r="R84" s="8"/>
      <c r="S84" s="1"/>
      <c r="T84" s="6">
        <f t="shared" ca="1" si="2"/>
        <v>0</v>
      </c>
      <c r="U84" s="1" t="str">
        <f t="shared" si="3"/>
        <v/>
      </c>
      <c r="V84" s="1"/>
      <c r="W84" s="1"/>
    </row>
    <row r="85" spans="1:23">
      <c r="A85" s="1"/>
      <c r="B85" s="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8"/>
      <c r="R85" s="8"/>
      <c r="S85" s="1"/>
      <c r="T85" s="6">
        <f t="shared" ca="1" si="2"/>
        <v>0</v>
      </c>
      <c r="U85" s="1" t="str">
        <f t="shared" si="3"/>
        <v/>
      </c>
      <c r="V85" s="1"/>
      <c r="W85" s="1"/>
    </row>
    <row r="86" spans="1:23">
      <c r="A86" s="1"/>
      <c r="B86" s="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8"/>
      <c r="R86" s="8"/>
      <c r="S86" s="1"/>
      <c r="T86" s="6">
        <f t="shared" ca="1" si="2"/>
        <v>0</v>
      </c>
      <c r="U86" s="1" t="str">
        <f t="shared" si="3"/>
        <v/>
      </c>
      <c r="V86" s="1"/>
      <c r="W86" s="1"/>
    </row>
    <row r="87" spans="1:23">
      <c r="A87" s="1"/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8"/>
      <c r="R87" s="8"/>
      <c r="S87" s="1"/>
      <c r="T87" s="6">
        <f t="shared" ca="1" si="2"/>
        <v>0</v>
      </c>
      <c r="U87" s="1" t="str">
        <f t="shared" si="3"/>
        <v/>
      </c>
      <c r="V87" s="1"/>
      <c r="W87" s="1"/>
    </row>
    <row r="88" spans="1:23">
      <c r="A88" s="1"/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8"/>
      <c r="R88" s="8"/>
      <c r="S88" s="1"/>
      <c r="T88" s="6">
        <f t="shared" ca="1" si="2"/>
        <v>0</v>
      </c>
      <c r="U88" s="1" t="str">
        <f t="shared" si="3"/>
        <v/>
      </c>
      <c r="V88" s="1"/>
      <c r="W88" s="1"/>
    </row>
    <row r="89" spans="1:23">
      <c r="A89" s="1"/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8"/>
      <c r="R89" s="8"/>
      <c r="S89" s="1"/>
      <c r="T89" s="6">
        <f t="shared" ca="1" si="2"/>
        <v>0</v>
      </c>
      <c r="U89" s="1" t="str">
        <f t="shared" si="3"/>
        <v/>
      </c>
      <c r="V89" s="1"/>
      <c r="W89" s="1"/>
    </row>
    <row r="90" spans="1:23">
      <c r="A90" s="1"/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8"/>
      <c r="R90" s="8"/>
      <c r="S90" s="1"/>
      <c r="T90" s="6">
        <f t="shared" ca="1" si="2"/>
        <v>0</v>
      </c>
      <c r="U90" s="1" t="str">
        <f t="shared" si="3"/>
        <v/>
      </c>
      <c r="V90" s="1"/>
      <c r="W90" s="1"/>
    </row>
    <row r="91" spans="1:23">
      <c r="A91" s="1"/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8"/>
      <c r="R91" s="8"/>
      <c r="S91" s="1"/>
      <c r="T91" s="6">
        <f t="shared" ca="1" si="2"/>
        <v>0</v>
      </c>
      <c r="U91" s="1" t="str">
        <f t="shared" si="3"/>
        <v/>
      </c>
      <c r="V91" s="1"/>
      <c r="W91" s="1"/>
    </row>
    <row r="92" spans="1:23">
      <c r="A92" s="1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8"/>
      <c r="R92" s="8"/>
      <c r="S92" s="1"/>
      <c r="T92" s="6">
        <f t="shared" ca="1" si="2"/>
        <v>0</v>
      </c>
      <c r="U92" s="1" t="str">
        <f t="shared" si="3"/>
        <v/>
      </c>
      <c r="V92" s="1"/>
      <c r="W92" s="1"/>
    </row>
    <row r="93" spans="1:23">
      <c r="A93" s="1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8"/>
      <c r="R93" s="8"/>
      <c r="S93" s="1"/>
      <c r="T93" s="6">
        <f t="shared" ca="1" si="2"/>
        <v>0</v>
      </c>
      <c r="U93" s="1" t="str">
        <f t="shared" si="3"/>
        <v/>
      </c>
      <c r="V93" s="1"/>
      <c r="W93" s="1"/>
    </row>
    <row r="94" spans="1:23">
      <c r="A94" s="1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8"/>
      <c r="R94" s="8"/>
      <c r="S94" s="1"/>
      <c r="T94" s="6">
        <f t="shared" ca="1" si="2"/>
        <v>0</v>
      </c>
      <c r="U94" s="1" t="str">
        <f t="shared" si="3"/>
        <v/>
      </c>
      <c r="V94" s="1"/>
      <c r="W94" s="1"/>
    </row>
    <row r="95" spans="1:23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8"/>
      <c r="R95" s="8"/>
      <c r="S95" s="1"/>
      <c r="T95" s="6">
        <f t="shared" ca="1" si="2"/>
        <v>0</v>
      </c>
      <c r="U95" s="1" t="str">
        <f t="shared" si="3"/>
        <v/>
      </c>
      <c r="V95" s="1"/>
      <c r="W95" s="1"/>
    </row>
    <row r="96" spans="1:23">
      <c r="A96" s="1"/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8"/>
      <c r="R96" s="8"/>
      <c r="S96" s="1"/>
      <c r="T96" s="6">
        <f t="shared" ca="1" si="2"/>
        <v>0</v>
      </c>
      <c r="U96" s="1" t="str">
        <f t="shared" si="3"/>
        <v/>
      </c>
      <c r="V96" s="1"/>
      <c r="W96" s="1"/>
    </row>
    <row r="97" spans="1:23">
      <c r="A97" s="1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8"/>
      <c r="R97" s="8"/>
      <c r="S97" s="1"/>
      <c r="T97" s="6">
        <f t="shared" ca="1" si="2"/>
        <v>0</v>
      </c>
      <c r="U97" s="1" t="str">
        <f t="shared" si="3"/>
        <v/>
      </c>
      <c r="V97" s="1"/>
      <c r="W97" s="1"/>
    </row>
    <row r="98" spans="1:23">
      <c r="A98" s="1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8"/>
      <c r="R98" s="8"/>
      <c r="S98" s="1"/>
      <c r="T98" s="6">
        <f t="shared" ca="1" si="2"/>
        <v>0</v>
      </c>
      <c r="U98" s="1" t="str">
        <f t="shared" si="3"/>
        <v/>
      </c>
      <c r="V98" s="1"/>
      <c r="W98" s="1"/>
    </row>
    <row r="99" spans="1:23">
      <c r="A99" s="1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8"/>
      <c r="R99" s="8"/>
      <c r="S99" s="1"/>
      <c r="T99" s="6">
        <f t="shared" ca="1" si="2"/>
        <v>0</v>
      </c>
      <c r="U99" s="1" t="str">
        <f t="shared" si="3"/>
        <v/>
      </c>
      <c r="V99" s="1"/>
      <c r="W99" s="1"/>
    </row>
    <row r="100" spans="1:23">
      <c r="A100" s="1"/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8"/>
      <c r="R100" s="8"/>
      <c r="S100" s="1"/>
      <c r="T100" s="6">
        <f t="shared" ca="1" si="2"/>
        <v>0</v>
      </c>
      <c r="U100" s="1" t="str">
        <f t="shared" si="3"/>
        <v/>
      </c>
      <c r="V100" s="1"/>
      <c r="W100" s="1"/>
    </row>
    <row r="101" spans="1:23">
      <c r="A101" s="1"/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8"/>
      <c r="R101" s="8"/>
      <c r="S101" s="1"/>
      <c r="T101" s="6">
        <f t="shared" ca="1" si="2"/>
        <v>0</v>
      </c>
      <c r="U101" s="1" t="str">
        <f t="shared" si="3"/>
        <v/>
      </c>
      <c r="V101" s="1"/>
      <c r="W101" s="1"/>
    </row>
    <row r="102" spans="1:23">
      <c r="A102" s="1"/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8"/>
      <c r="R102" s="8"/>
      <c r="S102" s="1"/>
      <c r="T102" s="6">
        <f t="shared" ca="1" si="2"/>
        <v>0</v>
      </c>
      <c r="U102" s="1" t="str">
        <f t="shared" si="3"/>
        <v/>
      </c>
      <c r="V102" s="1"/>
      <c r="W102" s="1"/>
    </row>
    <row r="103" spans="1:23">
      <c r="A103" s="1"/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8"/>
      <c r="R103" s="8"/>
      <c r="S103" s="1"/>
      <c r="T103" s="6">
        <f t="shared" ca="1" si="2"/>
        <v>0</v>
      </c>
      <c r="U103" s="1" t="str">
        <f t="shared" si="3"/>
        <v/>
      </c>
      <c r="V103" s="1"/>
      <c r="W103" s="1"/>
    </row>
    <row r="104" spans="1:23">
      <c r="A104" s="1"/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8"/>
      <c r="R104" s="8"/>
      <c r="S104" s="1"/>
      <c r="T104" s="6">
        <f t="shared" ca="1" si="2"/>
        <v>0</v>
      </c>
      <c r="U104" s="1" t="str">
        <f t="shared" si="3"/>
        <v/>
      </c>
      <c r="V104" s="1"/>
      <c r="W104" s="1"/>
    </row>
    <row r="105" spans="1:23">
      <c r="A105" s="1"/>
      <c r="B105" s="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8"/>
      <c r="R105" s="8"/>
      <c r="S105" s="1"/>
      <c r="T105" s="6">
        <f t="shared" ca="1" si="2"/>
        <v>0</v>
      </c>
      <c r="U105" s="1" t="str">
        <f t="shared" si="3"/>
        <v/>
      </c>
      <c r="V105" s="1"/>
      <c r="W105" s="1"/>
    </row>
    <row r="106" spans="1:23">
      <c r="A106" s="1"/>
      <c r="B106" s="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8"/>
      <c r="R106" s="8"/>
      <c r="S106" s="1"/>
      <c r="T106" s="6">
        <f t="shared" ca="1" si="2"/>
        <v>0</v>
      </c>
      <c r="U106" s="1" t="str">
        <f t="shared" si="3"/>
        <v/>
      </c>
      <c r="V106" s="1"/>
      <c r="W106" s="1"/>
    </row>
    <row r="107" spans="1:23">
      <c r="A107" s="1"/>
      <c r="B107" s="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8"/>
      <c r="R107" s="8"/>
      <c r="S107" s="1"/>
      <c r="T107" s="6">
        <f t="shared" ca="1" si="2"/>
        <v>0</v>
      </c>
      <c r="U107" s="1" t="str">
        <f t="shared" si="3"/>
        <v/>
      </c>
      <c r="V107" s="1"/>
      <c r="W107" s="1"/>
    </row>
    <row r="108" spans="1:23">
      <c r="A108" s="1"/>
      <c r="B108" s="8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8"/>
      <c r="R108" s="8"/>
      <c r="S108" s="1"/>
      <c r="T108" s="6">
        <f t="shared" ca="1" si="2"/>
        <v>0</v>
      </c>
      <c r="U108" s="1" t="str">
        <f t="shared" si="3"/>
        <v/>
      </c>
      <c r="V108" s="1"/>
      <c r="W108" s="1"/>
    </row>
    <row r="109" spans="1:23">
      <c r="A109" s="1"/>
      <c r="B109" s="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8"/>
      <c r="R109" s="8"/>
      <c r="S109" s="1"/>
      <c r="T109" s="6">
        <f t="shared" ca="1" si="2"/>
        <v>0</v>
      </c>
      <c r="U109" s="1" t="str">
        <f t="shared" si="3"/>
        <v/>
      </c>
      <c r="V109" s="1"/>
      <c r="W109" s="1"/>
    </row>
    <row r="110" spans="1:23">
      <c r="A110" s="1"/>
      <c r="B110" s="8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8"/>
      <c r="R110" s="8"/>
      <c r="S110" s="1"/>
      <c r="T110" s="6">
        <f t="shared" ca="1" si="2"/>
        <v>0</v>
      </c>
      <c r="U110" s="1" t="str">
        <f t="shared" si="3"/>
        <v/>
      </c>
      <c r="V110" s="1"/>
      <c r="W110" s="1"/>
    </row>
    <row r="111" spans="1:23">
      <c r="A111" s="1"/>
      <c r="B111" s="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8"/>
      <c r="R111" s="8"/>
      <c r="S111" s="1"/>
      <c r="T111" s="6">
        <f t="shared" ca="1" si="2"/>
        <v>0</v>
      </c>
      <c r="U111" s="1" t="str">
        <f t="shared" si="3"/>
        <v/>
      </c>
      <c r="V111" s="1"/>
      <c r="W111" s="1"/>
    </row>
    <row r="112" spans="1:23">
      <c r="A112" s="1"/>
      <c r="B112" s="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8"/>
      <c r="R112" s="8"/>
      <c r="S112" s="1"/>
      <c r="T112" s="6">
        <f t="shared" ca="1" si="2"/>
        <v>0</v>
      </c>
      <c r="U112" s="1" t="str">
        <f t="shared" si="3"/>
        <v/>
      </c>
      <c r="V112" s="1"/>
      <c r="W112" s="1"/>
    </row>
    <row r="113" spans="1:23">
      <c r="A113" s="1"/>
      <c r="B113" s="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8"/>
      <c r="R113" s="8"/>
      <c r="S113" s="1"/>
      <c r="T113" s="6">
        <f t="shared" ca="1" si="2"/>
        <v>0</v>
      </c>
      <c r="U113" s="1" t="str">
        <f t="shared" si="3"/>
        <v/>
      </c>
      <c r="V113" s="1"/>
      <c r="W113" s="1"/>
    </row>
    <row r="114" spans="1:23">
      <c r="A114" s="1"/>
      <c r="B114" s="8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8"/>
      <c r="R114" s="8"/>
      <c r="S114" s="1"/>
      <c r="T114" s="6">
        <f t="shared" ca="1" si="2"/>
        <v>0</v>
      </c>
      <c r="U114" s="1" t="str">
        <f t="shared" si="3"/>
        <v/>
      </c>
      <c r="V114" s="1"/>
      <c r="W114" s="1"/>
    </row>
    <row r="115" spans="1:23">
      <c r="A115" s="1"/>
      <c r="B115" s="8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8"/>
      <c r="R115" s="8"/>
      <c r="S115" s="1"/>
      <c r="T115" s="6">
        <f t="shared" ca="1" si="2"/>
        <v>0</v>
      </c>
      <c r="U115" s="1" t="str">
        <f t="shared" si="3"/>
        <v/>
      </c>
      <c r="V115" s="1"/>
      <c r="W115" s="1"/>
    </row>
    <row r="116" spans="1:23">
      <c r="A116" s="1"/>
      <c r="B116" s="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8"/>
      <c r="R116" s="8"/>
      <c r="S116" s="1"/>
      <c r="T116" s="6">
        <f t="shared" ca="1" si="2"/>
        <v>0</v>
      </c>
      <c r="U116" s="1" t="str">
        <f t="shared" si="3"/>
        <v/>
      </c>
      <c r="V116" s="1"/>
      <c r="W116" s="1"/>
    </row>
    <row r="117" spans="1:23">
      <c r="A117" s="1"/>
      <c r="B117" s="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8"/>
      <c r="R117" s="8"/>
      <c r="S117" s="1"/>
      <c r="T117" s="6">
        <f t="shared" ca="1" si="2"/>
        <v>0</v>
      </c>
      <c r="U117" s="1" t="str">
        <f t="shared" si="3"/>
        <v/>
      </c>
      <c r="V117" s="1"/>
      <c r="W117" s="1"/>
    </row>
    <row r="118" spans="1:23">
      <c r="A118" s="1"/>
      <c r="B118" s="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8"/>
      <c r="R118" s="8"/>
      <c r="S118" s="1"/>
      <c r="T118" s="6">
        <f t="shared" ca="1" si="2"/>
        <v>0</v>
      </c>
      <c r="U118" s="1" t="str">
        <f t="shared" si="3"/>
        <v/>
      </c>
      <c r="V118" s="1"/>
      <c r="W118" s="1"/>
    </row>
    <row r="119" spans="1:23">
      <c r="A119" s="1"/>
      <c r="B119" s="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8"/>
      <c r="R119" s="8"/>
      <c r="S119" s="1"/>
      <c r="T119" s="6">
        <f t="shared" ca="1" si="2"/>
        <v>0</v>
      </c>
      <c r="U119" s="1" t="str">
        <f t="shared" si="3"/>
        <v/>
      </c>
      <c r="V119" s="1"/>
      <c r="W119" s="1"/>
    </row>
    <row r="120" spans="1:23">
      <c r="A120" s="1"/>
      <c r="B120" s="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8"/>
      <c r="R120" s="8"/>
      <c r="S120" s="1"/>
      <c r="T120" s="6">
        <f t="shared" ca="1" si="2"/>
        <v>0</v>
      </c>
      <c r="U120" s="1" t="str">
        <f t="shared" si="3"/>
        <v/>
      </c>
      <c r="V120" s="1"/>
      <c r="W120" s="1"/>
    </row>
    <row r="121" spans="1:23">
      <c r="A121" s="1"/>
      <c r="B121" s="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8"/>
      <c r="R121" s="8"/>
      <c r="S121" s="1"/>
      <c r="T121" s="6">
        <f t="shared" ca="1" si="2"/>
        <v>0</v>
      </c>
      <c r="U121" s="1" t="str">
        <f t="shared" si="3"/>
        <v/>
      </c>
      <c r="V121" s="1"/>
      <c r="W121" s="1"/>
    </row>
    <row r="122" spans="1:23">
      <c r="A122" s="1"/>
      <c r="B122" s="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8"/>
      <c r="R122" s="8"/>
      <c r="S122" s="1"/>
      <c r="T122" s="6">
        <f t="shared" ca="1" si="2"/>
        <v>0</v>
      </c>
      <c r="U122" s="1" t="str">
        <f t="shared" si="3"/>
        <v/>
      </c>
      <c r="V122" s="1"/>
      <c r="W122" s="1"/>
    </row>
    <row r="123" spans="1:23">
      <c r="A123" s="1"/>
      <c r="B123" s="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8"/>
      <c r="R123" s="8"/>
      <c r="S123" s="1"/>
      <c r="T123" s="6">
        <f t="shared" ca="1" si="2"/>
        <v>0</v>
      </c>
      <c r="U123" s="1" t="str">
        <f t="shared" si="3"/>
        <v/>
      </c>
      <c r="V123" s="1"/>
      <c r="W123" s="1"/>
    </row>
    <row r="124" spans="1:23">
      <c r="A124" s="1"/>
      <c r="B124" s="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8"/>
      <c r="R124" s="8"/>
      <c r="S124" s="1"/>
      <c r="T124" s="6">
        <f t="shared" ca="1" si="2"/>
        <v>0</v>
      </c>
      <c r="U124" s="1" t="str">
        <f t="shared" si="3"/>
        <v/>
      </c>
      <c r="V124" s="1"/>
      <c r="W124" s="1"/>
    </row>
    <row r="125" spans="1:23">
      <c r="A125" s="1"/>
      <c r="B125" s="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8"/>
      <c r="R125" s="8"/>
      <c r="S125" s="1"/>
      <c r="T125" s="6">
        <f t="shared" ca="1" si="2"/>
        <v>0</v>
      </c>
      <c r="U125" s="1" t="str">
        <f t="shared" si="3"/>
        <v/>
      </c>
      <c r="V125" s="1"/>
      <c r="W125" s="1"/>
    </row>
    <row r="126" spans="1:23">
      <c r="A126" s="1"/>
      <c r="B126" s="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8"/>
      <c r="R126" s="8"/>
      <c r="S126" s="1"/>
      <c r="T126" s="6">
        <f t="shared" ca="1" si="2"/>
        <v>0</v>
      </c>
      <c r="U126" s="1" t="str">
        <f t="shared" si="3"/>
        <v/>
      </c>
      <c r="V126" s="1"/>
      <c r="W126" s="1"/>
    </row>
    <row r="127" spans="1:23">
      <c r="A127" s="1"/>
      <c r="B127" s="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8"/>
      <c r="R127" s="8"/>
      <c r="S127" s="1"/>
      <c r="T127" s="6">
        <f t="shared" ca="1" si="2"/>
        <v>0</v>
      </c>
      <c r="U127" s="1" t="str">
        <f t="shared" si="3"/>
        <v/>
      </c>
      <c r="V127" s="1"/>
      <c r="W127" s="1"/>
    </row>
    <row r="128" spans="1:23">
      <c r="A128" s="1"/>
      <c r="B128" s="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8"/>
      <c r="R128" s="8"/>
      <c r="S128" s="1"/>
      <c r="T128" s="6">
        <f t="shared" ca="1" si="2"/>
        <v>0</v>
      </c>
      <c r="U128" s="1" t="str">
        <f t="shared" si="3"/>
        <v/>
      </c>
      <c r="V128" s="1"/>
      <c r="W128" s="1"/>
    </row>
    <row r="129" spans="1:23">
      <c r="A129" s="1"/>
      <c r="B129" s="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8"/>
      <c r="R129" s="8"/>
      <c r="S129" s="1"/>
      <c r="T129" s="6">
        <f t="shared" ca="1" si="2"/>
        <v>0</v>
      </c>
      <c r="U129" s="1" t="str">
        <f t="shared" si="3"/>
        <v/>
      </c>
      <c r="V129" s="1"/>
      <c r="W129" s="1"/>
    </row>
    <row r="130" spans="1:23">
      <c r="A130" s="1"/>
      <c r="B130" s="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8"/>
      <c r="R130" s="8"/>
      <c r="S130" s="1"/>
      <c r="T130" s="6">
        <f t="shared" ref="T130:T193" ca="1" si="4">IF(AND(S130&lt;&gt;"Clôturée",Q130&lt;&gt;"",TODAY()&gt;Q130),TODAY()-Q130,0)</f>
        <v>0</v>
      </c>
      <c r="U130" s="1" t="str">
        <f t="shared" ref="U130:U193" si="5">IF(M130="Critique","P1",IF(M130="Majeure","P2",IF(M130="Mineure","P3","")))</f>
        <v/>
      </c>
      <c r="V130" s="1"/>
      <c r="W130" s="1"/>
    </row>
    <row r="131" spans="1:23">
      <c r="A131" s="1"/>
      <c r="B131" s="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8"/>
      <c r="R131" s="8"/>
      <c r="S131" s="1"/>
      <c r="T131" s="6">
        <f t="shared" ca="1" si="4"/>
        <v>0</v>
      </c>
      <c r="U131" s="1" t="str">
        <f t="shared" si="5"/>
        <v/>
      </c>
      <c r="V131" s="1"/>
      <c r="W131" s="1"/>
    </row>
    <row r="132" spans="1:23">
      <c r="A132" s="1"/>
      <c r="B132" s="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8"/>
      <c r="R132" s="8"/>
      <c r="S132" s="1"/>
      <c r="T132" s="6">
        <f t="shared" ca="1" si="4"/>
        <v>0</v>
      </c>
      <c r="U132" s="1" t="str">
        <f t="shared" si="5"/>
        <v/>
      </c>
      <c r="V132" s="1"/>
      <c r="W132" s="1"/>
    </row>
    <row r="133" spans="1:23">
      <c r="A133" s="1"/>
      <c r="B133" s="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8"/>
      <c r="R133" s="8"/>
      <c r="S133" s="1"/>
      <c r="T133" s="6">
        <f t="shared" ca="1" si="4"/>
        <v>0</v>
      </c>
      <c r="U133" s="1" t="str">
        <f t="shared" si="5"/>
        <v/>
      </c>
      <c r="V133" s="1"/>
      <c r="W133" s="1"/>
    </row>
    <row r="134" spans="1:23">
      <c r="A134" s="1"/>
      <c r="B134" s="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8"/>
      <c r="R134" s="8"/>
      <c r="S134" s="1"/>
      <c r="T134" s="6">
        <f t="shared" ca="1" si="4"/>
        <v>0</v>
      </c>
      <c r="U134" s="1" t="str">
        <f t="shared" si="5"/>
        <v/>
      </c>
      <c r="V134" s="1"/>
      <c r="W134" s="1"/>
    </row>
    <row r="135" spans="1:23">
      <c r="A135" s="1"/>
      <c r="B135" s="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8"/>
      <c r="R135" s="8"/>
      <c r="S135" s="1"/>
      <c r="T135" s="6">
        <f t="shared" ca="1" si="4"/>
        <v>0</v>
      </c>
      <c r="U135" s="1" t="str">
        <f t="shared" si="5"/>
        <v/>
      </c>
      <c r="V135" s="1"/>
      <c r="W135" s="1"/>
    </row>
    <row r="136" spans="1:23">
      <c r="A136" s="1"/>
      <c r="B136" s="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8"/>
      <c r="R136" s="8"/>
      <c r="S136" s="1"/>
      <c r="T136" s="6">
        <f t="shared" ca="1" si="4"/>
        <v>0</v>
      </c>
      <c r="U136" s="1" t="str">
        <f t="shared" si="5"/>
        <v/>
      </c>
      <c r="V136" s="1"/>
      <c r="W136" s="1"/>
    </row>
    <row r="137" spans="1:23">
      <c r="A137" s="1"/>
      <c r="B137" s="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8"/>
      <c r="R137" s="8"/>
      <c r="S137" s="1"/>
      <c r="T137" s="6">
        <f t="shared" ca="1" si="4"/>
        <v>0</v>
      </c>
      <c r="U137" s="1" t="str">
        <f t="shared" si="5"/>
        <v/>
      </c>
      <c r="V137" s="1"/>
      <c r="W137" s="1"/>
    </row>
    <row r="138" spans="1:23">
      <c r="A138" s="1"/>
      <c r="B138" s="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8"/>
      <c r="R138" s="8"/>
      <c r="S138" s="1"/>
      <c r="T138" s="6">
        <f t="shared" ca="1" si="4"/>
        <v>0</v>
      </c>
      <c r="U138" s="1" t="str">
        <f t="shared" si="5"/>
        <v/>
      </c>
      <c r="V138" s="1"/>
      <c r="W138" s="1"/>
    </row>
    <row r="139" spans="1:23">
      <c r="A139" s="1"/>
      <c r="B139" s="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8"/>
      <c r="R139" s="8"/>
      <c r="S139" s="1"/>
      <c r="T139" s="6">
        <f t="shared" ca="1" si="4"/>
        <v>0</v>
      </c>
      <c r="U139" s="1" t="str">
        <f t="shared" si="5"/>
        <v/>
      </c>
      <c r="V139" s="1"/>
      <c r="W139" s="1"/>
    </row>
    <row r="140" spans="1:23">
      <c r="A140" s="1"/>
      <c r="B140" s="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8"/>
      <c r="R140" s="8"/>
      <c r="S140" s="1"/>
      <c r="T140" s="6">
        <f t="shared" ca="1" si="4"/>
        <v>0</v>
      </c>
      <c r="U140" s="1" t="str">
        <f t="shared" si="5"/>
        <v/>
      </c>
      <c r="V140" s="1"/>
      <c r="W140" s="1"/>
    </row>
    <row r="141" spans="1:23">
      <c r="A141" s="1"/>
      <c r="B141" s="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8"/>
      <c r="R141" s="8"/>
      <c r="S141" s="1"/>
      <c r="T141" s="6">
        <f t="shared" ca="1" si="4"/>
        <v>0</v>
      </c>
      <c r="U141" s="1" t="str">
        <f t="shared" si="5"/>
        <v/>
      </c>
      <c r="V141" s="1"/>
      <c r="W141" s="1"/>
    </row>
    <row r="142" spans="1:23">
      <c r="A142" s="1"/>
      <c r="B142" s="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8"/>
      <c r="R142" s="8"/>
      <c r="S142" s="1"/>
      <c r="T142" s="6">
        <f t="shared" ca="1" si="4"/>
        <v>0</v>
      </c>
      <c r="U142" s="1" t="str">
        <f t="shared" si="5"/>
        <v/>
      </c>
      <c r="V142" s="1"/>
      <c r="W142" s="1"/>
    </row>
    <row r="143" spans="1:23">
      <c r="A143" s="1"/>
      <c r="B143" s="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8"/>
      <c r="R143" s="8"/>
      <c r="S143" s="1"/>
      <c r="T143" s="6">
        <f t="shared" ca="1" si="4"/>
        <v>0</v>
      </c>
      <c r="U143" s="1" t="str">
        <f t="shared" si="5"/>
        <v/>
      </c>
      <c r="V143" s="1"/>
      <c r="W143" s="1"/>
    </row>
    <row r="144" spans="1:23">
      <c r="A144" s="1"/>
      <c r="B144" s="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8"/>
      <c r="R144" s="8"/>
      <c r="S144" s="1"/>
      <c r="T144" s="6">
        <f t="shared" ca="1" si="4"/>
        <v>0</v>
      </c>
      <c r="U144" s="1" t="str">
        <f t="shared" si="5"/>
        <v/>
      </c>
      <c r="V144" s="1"/>
      <c r="W144" s="1"/>
    </row>
    <row r="145" spans="1:23">
      <c r="A145" s="1"/>
      <c r="B145" s="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8"/>
      <c r="R145" s="8"/>
      <c r="S145" s="1"/>
      <c r="T145" s="6">
        <f t="shared" ca="1" si="4"/>
        <v>0</v>
      </c>
      <c r="U145" s="1" t="str">
        <f t="shared" si="5"/>
        <v/>
      </c>
      <c r="V145" s="1"/>
      <c r="W145" s="1"/>
    </row>
    <row r="146" spans="1:23">
      <c r="A146" s="1"/>
      <c r="B146" s="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8"/>
      <c r="R146" s="8"/>
      <c r="S146" s="1"/>
      <c r="T146" s="6">
        <f t="shared" ca="1" si="4"/>
        <v>0</v>
      </c>
      <c r="U146" s="1" t="str">
        <f t="shared" si="5"/>
        <v/>
      </c>
      <c r="V146" s="1"/>
      <c r="W146" s="1"/>
    </row>
    <row r="147" spans="1:23">
      <c r="A147" s="1"/>
      <c r="B147" s="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8"/>
      <c r="R147" s="8"/>
      <c r="S147" s="1"/>
      <c r="T147" s="6">
        <f t="shared" ca="1" si="4"/>
        <v>0</v>
      </c>
      <c r="U147" s="1" t="str">
        <f t="shared" si="5"/>
        <v/>
      </c>
      <c r="V147" s="1"/>
      <c r="W147" s="1"/>
    </row>
    <row r="148" spans="1:23">
      <c r="A148" s="1"/>
      <c r="B148" s="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8"/>
      <c r="R148" s="8"/>
      <c r="S148" s="1"/>
      <c r="T148" s="6">
        <f t="shared" ca="1" si="4"/>
        <v>0</v>
      </c>
      <c r="U148" s="1" t="str">
        <f t="shared" si="5"/>
        <v/>
      </c>
      <c r="V148" s="1"/>
      <c r="W148" s="1"/>
    </row>
    <row r="149" spans="1:23">
      <c r="A149" s="1"/>
      <c r="B149" s="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8"/>
      <c r="R149" s="8"/>
      <c r="S149" s="1"/>
      <c r="T149" s="6">
        <f t="shared" ca="1" si="4"/>
        <v>0</v>
      </c>
      <c r="U149" s="1" t="str">
        <f t="shared" si="5"/>
        <v/>
      </c>
      <c r="V149" s="1"/>
      <c r="W149" s="1"/>
    </row>
    <row r="150" spans="1:23">
      <c r="A150" s="1"/>
      <c r="B150" s="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8"/>
      <c r="R150" s="8"/>
      <c r="S150" s="1"/>
      <c r="T150" s="6">
        <f t="shared" ca="1" si="4"/>
        <v>0</v>
      </c>
      <c r="U150" s="1" t="str">
        <f t="shared" si="5"/>
        <v/>
      </c>
      <c r="V150" s="1"/>
      <c r="W150" s="1"/>
    </row>
    <row r="151" spans="1:23">
      <c r="A151" s="1"/>
      <c r="B151" s="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8"/>
      <c r="R151" s="8"/>
      <c r="S151" s="1"/>
      <c r="T151" s="6">
        <f t="shared" ca="1" si="4"/>
        <v>0</v>
      </c>
      <c r="U151" s="1" t="str">
        <f t="shared" si="5"/>
        <v/>
      </c>
      <c r="V151" s="1"/>
      <c r="W151" s="1"/>
    </row>
    <row r="152" spans="1:23">
      <c r="A152" s="1"/>
      <c r="B152" s="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8"/>
      <c r="R152" s="8"/>
      <c r="S152" s="1"/>
      <c r="T152" s="6">
        <f t="shared" ca="1" si="4"/>
        <v>0</v>
      </c>
      <c r="U152" s="1" t="str">
        <f t="shared" si="5"/>
        <v/>
      </c>
      <c r="V152" s="1"/>
      <c r="W152" s="1"/>
    </row>
    <row r="153" spans="1:23">
      <c r="A153" s="1"/>
      <c r="B153" s="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8"/>
      <c r="R153" s="8"/>
      <c r="S153" s="1"/>
      <c r="T153" s="6">
        <f t="shared" ca="1" si="4"/>
        <v>0</v>
      </c>
      <c r="U153" s="1" t="str">
        <f t="shared" si="5"/>
        <v/>
      </c>
      <c r="V153" s="1"/>
      <c r="W153" s="1"/>
    </row>
    <row r="154" spans="1:23">
      <c r="A154" s="1"/>
      <c r="B154" s="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8"/>
      <c r="R154" s="8"/>
      <c r="S154" s="1"/>
      <c r="T154" s="6">
        <f t="shared" ca="1" si="4"/>
        <v>0</v>
      </c>
      <c r="U154" s="1" t="str">
        <f t="shared" si="5"/>
        <v/>
      </c>
      <c r="V154" s="1"/>
      <c r="W154" s="1"/>
    </row>
    <row r="155" spans="1:23">
      <c r="A155" s="1"/>
      <c r="B155" s="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8"/>
      <c r="R155" s="8"/>
      <c r="S155" s="1"/>
      <c r="T155" s="6">
        <f t="shared" ca="1" si="4"/>
        <v>0</v>
      </c>
      <c r="U155" s="1" t="str">
        <f t="shared" si="5"/>
        <v/>
      </c>
      <c r="V155" s="1"/>
      <c r="W155" s="1"/>
    </row>
    <row r="156" spans="1:23">
      <c r="A156" s="1"/>
      <c r="B156" s="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8"/>
      <c r="R156" s="8"/>
      <c r="S156" s="1"/>
      <c r="T156" s="6">
        <f t="shared" ca="1" si="4"/>
        <v>0</v>
      </c>
      <c r="U156" s="1" t="str">
        <f t="shared" si="5"/>
        <v/>
      </c>
      <c r="V156" s="1"/>
      <c r="W156" s="1"/>
    </row>
    <row r="157" spans="1:23">
      <c r="A157" s="1"/>
      <c r="B157" s="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8"/>
      <c r="R157" s="8"/>
      <c r="S157" s="1"/>
      <c r="T157" s="6">
        <f t="shared" ca="1" si="4"/>
        <v>0</v>
      </c>
      <c r="U157" s="1" t="str">
        <f t="shared" si="5"/>
        <v/>
      </c>
      <c r="V157" s="1"/>
      <c r="W157" s="1"/>
    </row>
    <row r="158" spans="1:23">
      <c r="A158" s="1"/>
      <c r="B158" s="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8"/>
      <c r="R158" s="8"/>
      <c r="S158" s="1"/>
      <c r="T158" s="6">
        <f t="shared" ca="1" si="4"/>
        <v>0</v>
      </c>
      <c r="U158" s="1" t="str">
        <f t="shared" si="5"/>
        <v/>
      </c>
      <c r="V158" s="1"/>
      <c r="W158" s="1"/>
    </row>
    <row r="159" spans="1:23">
      <c r="A159" s="1"/>
      <c r="B159" s="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8"/>
      <c r="R159" s="8"/>
      <c r="S159" s="1"/>
      <c r="T159" s="6">
        <f t="shared" ca="1" si="4"/>
        <v>0</v>
      </c>
      <c r="U159" s="1" t="str">
        <f t="shared" si="5"/>
        <v/>
      </c>
      <c r="V159" s="1"/>
      <c r="W159" s="1"/>
    </row>
    <row r="160" spans="1:23">
      <c r="A160" s="1"/>
      <c r="B160" s="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8"/>
      <c r="R160" s="8"/>
      <c r="S160" s="1"/>
      <c r="T160" s="6">
        <f t="shared" ca="1" si="4"/>
        <v>0</v>
      </c>
      <c r="U160" s="1" t="str">
        <f t="shared" si="5"/>
        <v/>
      </c>
      <c r="V160" s="1"/>
      <c r="W160" s="1"/>
    </row>
    <row r="161" spans="1:23">
      <c r="A161" s="1"/>
      <c r="B161" s="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8"/>
      <c r="R161" s="8"/>
      <c r="S161" s="1"/>
      <c r="T161" s="6">
        <f t="shared" ca="1" si="4"/>
        <v>0</v>
      </c>
      <c r="U161" s="1" t="str">
        <f t="shared" si="5"/>
        <v/>
      </c>
      <c r="V161" s="1"/>
      <c r="W161" s="1"/>
    </row>
    <row r="162" spans="1:23">
      <c r="A162" s="1"/>
      <c r="B162" s="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8"/>
      <c r="R162" s="8"/>
      <c r="S162" s="1"/>
      <c r="T162" s="6">
        <f t="shared" ca="1" si="4"/>
        <v>0</v>
      </c>
      <c r="U162" s="1" t="str">
        <f t="shared" si="5"/>
        <v/>
      </c>
      <c r="V162" s="1"/>
      <c r="W162" s="1"/>
    </row>
    <row r="163" spans="1:23">
      <c r="A163" s="1"/>
      <c r="B163" s="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8"/>
      <c r="R163" s="8"/>
      <c r="S163" s="1"/>
      <c r="T163" s="6">
        <f t="shared" ca="1" si="4"/>
        <v>0</v>
      </c>
      <c r="U163" s="1" t="str">
        <f t="shared" si="5"/>
        <v/>
      </c>
      <c r="V163" s="1"/>
      <c r="W163" s="1"/>
    </row>
    <row r="164" spans="1:23">
      <c r="A164" s="1"/>
      <c r="B164" s="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8"/>
      <c r="R164" s="8"/>
      <c r="S164" s="1"/>
      <c r="T164" s="6">
        <f t="shared" ca="1" si="4"/>
        <v>0</v>
      </c>
      <c r="U164" s="1" t="str">
        <f t="shared" si="5"/>
        <v/>
      </c>
      <c r="V164" s="1"/>
      <c r="W164" s="1"/>
    </row>
    <row r="165" spans="1:23">
      <c r="A165" s="1"/>
      <c r="B165" s="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8"/>
      <c r="R165" s="8"/>
      <c r="S165" s="1"/>
      <c r="T165" s="6">
        <f t="shared" ca="1" si="4"/>
        <v>0</v>
      </c>
      <c r="U165" s="1" t="str">
        <f t="shared" si="5"/>
        <v/>
      </c>
      <c r="V165" s="1"/>
      <c r="W165" s="1"/>
    </row>
    <row r="166" spans="1:23">
      <c r="A166" s="1"/>
      <c r="B166" s="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8"/>
      <c r="R166" s="8"/>
      <c r="S166" s="1"/>
      <c r="T166" s="6">
        <f t="shared" ca="1" si="4"/>
        <v>0</v>
      </c>
      <c r="U166" s="1" t="str">
        <f t="shared" si="5"/>
        <v/>
      </c>
      <c r="V166" s="1"/>
      <c r="W166" s="1"/>
    </row>
    <row r="167" spans="1:23">
      <c r="A167" s="1"/>
      <c r="B167" s="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8"/>
      <c r="R167" s="8"/>
      <c r="S167" s="1"/>
      <c r="T167" s="6">
        <f t="shared" ca="1" si="4"/>
        <v>0</v>
      </c>
      <c r="U167" s="1" t="str">
        <f t="shared" si="5"/>
        <v/>
      </c>
      <c r="V167" s="1"/>
      <c r="W167" s="1"/>
    </row>
    <row r="168" spans="1:23">
      <c r="A168" s="1"/>
      <c r="B168" s="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8"/>
      <c r="R168" s="8"/>
      <c r="S168" s="1"/>
      <c r="T168" s="6">
        <f t="shared" ca="1" si="4"/>
        <v>0</v>
      </c>
      <c r="U168" s="1" t="str">
        <f t="shared" si="5"/>
        <v/>
      </c>
      <c r="V168" s="1"/>
      <c r="W168" s="1"/>
    </row>
    <row r="169" spans="1:23">
      <c r="A169" s="1"/>
      <c r="B169" s="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8"/>
      <c r="R169" s="8"/>
      <c r="S169" s="1"/>
      <c r="T169" s="6">
        <f t="shared" ca="1" si="4"/>
        <v>0</v>
      </c>
      <c r="U169" s="1" t="str">
        <f t="shared" si="5"/>
        <v/>
      </c>
      <c r="V169" s="1"/>
      <c r="W169" s="1"/>
    </row>
    <row r="170" spans="1:23">
      <c r="A170" s="1"/>
      <c r="B170" s="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8"/>
      <c r="R170" s="8"/>
      <c r="S170" s="1"/>
      <c r="T170" s="6">
        <f t="shared" ca="1" si="4"/>
        <v>0</v>
      </c>
      <c r="U170" s="1" t="str">
        <f t="shared" si="5"/>
        <v/>
      </c>
      <c r="V170" s="1"/>
      <c r="W170" s="1"/>
    </row>
    <row r="171" spans="1:23">
      <c r="A171" s="1"/>
      <c r="B171" s="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8"/>
      <c r="R171" s="8"/>
      <c r="S171" s="1"/>
      <c r="T171" s="6">
        <f t="shared" ca="1" si="4"/>
        <v>0</v>
      </c>
      <c r="U171" s="1" t="str">
        <f t="shared" si="5"/>
        <v/>
      </c>
      <c r="V171" s="1"/>
      <c r="W171" s="1"/>
    </row>
    <row r="172" spans="1:23">
      <c r="A172" s="1"/>
      <c r="B172" s="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8"/>
      <c r="R172" s="8"/>
      <c r="S172" s="1"/>
      <c r="T172" s="6">
        <f t="shared" ca="1" si="4"/>
        <v>0</v>
      </c>
      <c r="U172" s="1" t="str">
        <f t="shared" si="5"/>
        <v/>
      </c>
      <c r="V172" s="1"/>
      <c r="W172" s="1"/>
    </row>
    <row r="173" spans="1:23">
      <c r="A173" s="1"/>
      <c r="B173" s="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8"/>
      <c r="R173" s="8"/>
      <c r="S173" s="1"/>
      <c r="T173" s="6">
        <f t="shared" ca="1" si="4"/>
        <v>0</v>
      </c>
      <c r="U173" s="1" t="str">
        <f t="shared" si="5"/>
        <v/>
      </c>
      <c r="V173" s="1"/>
      <c r="W173" s="1"/>
    </row>
    <row r="174" spans="1:23">
      <c r="A174" s="1"/>
      <c r="B174" s="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8"/>
      <c r="R174" s="8"/>
      <c r="S174" s="1"/>
      <c r="T174" s="6">
        <f t="shared" ca="1" si="4"/>
        <v>0</v>
      </c>
      <c r="U174" s="1" t="str">
        <f t="shared" si="5"/>
        <v/>
      </c>
      <c r="V174" s="1"/>
      <c r="W174" s="1"/>
    </row>
    <row r="175" spans="1:23">
      <c r="A175" s="1"/>
      <c r="B175" s="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8"/>
      <c r="R175" s="8"/>
      <c r="S175" s="1"/>
      <c r="T175" s="6">
        <f t="shared" ca="1" si="4"/>
        <v>0</v>
      </c>
      <c r="U175" s="1" t="str">
        <f t="shared" si="5"/>
        <v/>
      </c>
      <c r="V175" s="1"/>
      <c r="W175" s="1"/>
    </row>
    <row r="176" spans="1:23">
      <c r="A176" s="1"/>
      <c r="B176" s="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8"/>
      <c r="R176" s="8"/>
      <c r="S176" s="1"/>
      <c r="T176" s="6">
        <f t="shared" ca="1" si="4"/>
        <v>0</v>
      </c>
      <c r="U176" s="1" t="str">
        <f t="shared" si="5"/>
        <v/>
      </c>
      <c r="V176" s="1"/>
      <c r="W176" s="1"/>
    </row>
    <row r="177" spans="1:23">
      <c r="A177" s="1"/>
      <c r="B177" s="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8"/>
      <c r="R177" s="8"/>
      <c r="S177" s="1"/>
      <c r="T177" s="6">
        <f t="shared" ca="1" si="4"/>
        <v>0</v>
      </c>
      <c r="U177" s="1" t="str">
        <f t="shared" si="5"/>
        <v/>
      </c>
      <c r="V177" s="1"/>
      <c r="W177" s="1"/>
    </row>
    <row r="178" spans="1:23">
      <c r="A178" s="1"/>
      <c r="B178" s="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8"/>
      <c r="R178" s="8"/>
      <c r="S178" s="1"/>
      <c r="T178" s="6">
        <f t="shared" ca="1" si="4"/>
        <v>0</v>
      </c>
      <c r="U178" s="1" t="str">
        <f t="shared" si="5"/>
        <v/>
      </c>
      <c r="V178" s="1"/>
      <c r="W178" s="1"/>
    </row>
    <row r="179" spans="1:23">
      <c r="A179" s="1"/>
      <c r="B179" s="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8"/>
      <c r="R179" s="8"/>
      <c r="S179" s="1"/>
      <c r="T179" s="6">
        <f t="shared" ca="1" si="4"/>
        <v>0</v>
      </c>
      <c r="U179" s="1" t="str">
        <f t="shared" si="5"/>
        <v/>
      </c>
      <c r="V179" s="1"/>
      <c r="W179" s="1"/>
    </row>
    <row r="180" spans="1:23">
      <c r="A180" s="1"/>
      <c r="B180" s="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8"/>
      <c r="R180" s="8"/>
      <c r="S180" s="1"/>
      <c r="T180" s="6">
        <f t="shared" ca="1" si="4"/>
        <v>0</v>
      </c>
      <c r="U180" s="1" t="str">
        <f t="shared" si="5"/>
        <v/>
      </c>
      <c r="V180" s="1"/>
      <c r="W180" s="1"/>
    </row>
    <row r="181" spans="1:23">
      <c r="A181" s="1"/>
      <c r="B181" s="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8"/>
      <c r="R181" s="8"/>
      <c r="S181" s="1"/>
      <c r="T181" s="6">
        <f t="shared" ca="1" si="4"/>
        <v>0</v>
      </c>
      <c r="U181" s="1" t="str">
        <f t="shared" si="5"/>
        <v/>
      </c>
      <c r="V181" s="1"/>
      <c r="W181" s="1"/>
    </row>
    <row r="182" spans="1:23">
      <c r="A182" s="1"/>
      <c r="B182" s="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8"/>
      <c r="R182" s="8"/>
      <c r="S182" s="1"/>
      <c r="T182" s="6">
        <f t="shared" ca="1" si="4"/>
        <v>0</v>
      </c>
      <c r="U182" s="1" t="str">
        <f t="shared" si="5"/>
        <v/>
      </c>
      <c r="V182" s="1"/>
      <c r="W182" s="1"/>
    </row>
    <row r="183" spans="1:23">
      <c r="A183" s="1"/>
      <c r="B183" s="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8"/>
      <c r="R183" s="8"/>
      <c r="S183" s="1"/>
      <c r="T183" s="6">
        <f t="shared" ca="1" si="4"/>
        <v>0</v>
      </c>
      <c r="U183" s="1" t="str">
        <f t="shared" si="5"/>
        <v/>
      </c>
      <c r="V183" s="1"/>
      <c r="W183" s="1"/>
    </row>
    <row r="184" spans="1:23">
      <c r="A184" s="1"/>
      <c r="B184" s="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8"/>
      <c r="R184" s="8"/>
      <c r="S184" s="1"/>
      <c r="T184" s="6">
        <f t="shared" ca="1" si="4"/>
        <v>0</v>
      </c>
      <c r="U184" s="1" t="str">
        <f t="shared" si="5"/>
        <v/>
      </c>
      <c r="V184" s="1"/>
      <c r="W184" s="1"/>
    </row>
    <row r="185" spans="1:23">
      <c r="A185" s="1"/>
      <c r="B185" s="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8"/>
      <c r="R185" s="8"/>
      <c r="S185" s="1"/>
      <c r="T185" s="6">
        <f t="shared" ca="1" si="4"/>
        <v>0</v>
      </c>
      <c r="U185" s="1" t="str">
        <f t="shared" si="5"/>
        <v/>
      </c>
      <c r="V185" s="1"/>
      <c r="W185" s="1"/>
    </row>
    <row r="186" spans="1:23">
      <c r="A186" s="1"/>
      <c r="B186" s="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8"/>
      <c r="R186" s="8"/>
      <c r="S186" s="1"/>
      <c r="T186" s="6">
        <f t="shared" ca="1" si="4"/>
        <v>0</v>
      </c>
      <c r="U186" s="1" t="str">
        <f t="shared" si="5"/>
        <v/>
      </c>
      <c r="V186" s="1"/>
      <c r="W186" s="1"/>
    </row>
    <row r="187" spans="1:23">
      <c r="A187" s="1"/>
      <c r="B187" s="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8"/>
      <c r="R187" s="8"/>
      <c r="S187" s="1"/>
      <c r="T187" s="6">
        <f t="shared" ca="1" si="4"/>
        <v>0</v>
      </c>
      <c r="U187" s="1" t="str">
        <f t="shared" si="5"/>
        <v/>
      </c>
      <c r="V187" s="1"/>
      <c r="W187" s="1"/>
    </row>
    <row r="188" spans="1:23">
      <c r="A188" s="1"/>
      <c r="B188" s="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8"/>
      <c r="R188" s="8"/>
      <c r="S188" s="1"/>
      <c r="T188" s="6">
        <f t="shared" ca="1" si="4"/>
        <v>0</v>
      </c>
      <c r="U188" s="1" t="str">
        <f t="shared" si="5"/>
        <v/>
      </c>
      <c r="V188" s="1"/>
      <c r="W188" s="1"/>
    </row>
    <row r="189" spans="1:23">
      <c r="A189" s="1"/>
      <c r="B189" s="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8"/>
      <c r="R189" s="8"/>
      <c r="S189" s="1"/>
      <c r="T189" s="6">
        <f t="shared" ca="1" si="4"/>
        <v>0</v>
      </c>
      <c r="U189" s="1" t="str">
        <f t="shared" si="5"/>
        <v/>
      </c>
      <c r="V189" s="1"/>
      <c r="W189" s="1"/>
    </row>
    <row r="190" spans="1:23">
      <c r="A190" s="1"/>
      <c r="B190" s="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8"/>
      <c r="R190" s="8"/>
      <c r="S190" s="1"/>
      <c r="T190" s="6">
        <f t="shared" ca="1" si="4"/>
        <v>0</v>
      </c>
      <c r="U190" s="1" t="str">
        <f t="shared" si="5"/>
        <v/>
      </c>
      <c r="V190" s="1"/>
      <c r="W190" s="1"/>
    </row>
    <row r="191" spans="1:23">
      <c r="A191" s="1"/>
      <c r="B191" s="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8"/>
      <c r="R191" s="8"/>
      <c r="S191" s="1"/>
      <c r="T191" s="6">
        <f t="shared" ca="1" si="4"/>
        <v>0</v>
      </c>
      <c r="U191" s="1" t="str">
        <f t="shared" si="5"/>
        <v/>
      </c>
      <c r="V191" s="1"/>
      <c r="W191" s="1"/>
    </row>
    <row r="192" spans="1:23">
      <c r="A192" s="1"/>
      <c r="B192" s="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8"/>
      <c r="R192" s="8"/>
      <c r="S192" s="1"/>
      <c r="T192" s="6">
        <f t="shared" ca="1" si="4"/>
        <v>0</v>
      </c>
      <c r="U192" s="1" t="str">
        <f t="shared" si="5"/>
        <v/>
      </c>
      <c r="V192" s="1"/>
      <c r="W192" s="1"/>
    </row>
    <row r="193" spans="1:23">
      <c r="A193" s="1"/>
      <c r="B193" s="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8"/>
      <c r="R193" s="8"/>
      <c r="S193" s="1"/>
      <c r="T193" s="6">
        <f t="shared" ca="1" si="4"/>
        <v>0</v>
      </c>
      <c r="U193" s="1" t="str">
        <f t="shared" si="5"/>
        <v/>
      </c>
      <c r="V193" s="1"/>
      <c r="W193" s="1"/>
    </row>
    <row r="194" spans="1:23">
      <c r="A194" s="1"/>
      <c r="B194" s="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8"/>
      <c r="R194" s="8"/>
      <c r="S194" s="1"/>
      <c r="T194" s="6">
        <f t="shared" ref="T194:T257" ca="1" si="6">IF(AND(S194&lt;&gt;"Clôturée",Q194&lt;&gt;"",TODAY()&gt;Q194),TODAY()-Q194,0)</f>
        <v>0</v>
      </c>
      <c r="U194" s="1" t="str">
        <f t="shared" ref="U194:U257" si="7">IF(M194="Critique","P1",IF(M194="Majeure","P2",IF(M194="Mineure","P3","")))</f>
        <v/>
      </c>
      <c r="V194" s="1"/>
      <c r="W194" s="1"/>
    </row>
    <row r="195" spans="1:23">
      <c r="A195" s="1"/>
      <c r="B195" s="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8"/>
      <c r="R195" s="8"/>
      <c r="S195" s="1"/>
      <c r="T195" s="6">
        <f t="shared" ca="1" si="6"/>
        <v>0</v>
      </c>
      <c r="U195" s="1" t="str">
        <f t="shared" si="7"/>
        <v/>
      </c>
      <c r="V195" s="1"/>
      <c r="W195" s="1"/>
    </row>
    <row r="196" spans="1:23">
      <c r="A196" s="1"/>
      <c r="B196" s="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8"/>
      <c r="R196" s="8"/>
      <c r="S196" s="1"/>
      <c r="T196" s="6">
        <f t="shared" ca="1" si="6"/>
        <v>0</v>
      </c>
      <c r="U196" s="1" t="str">
        <f t="shared" si="7"/>
        <v/>
      </c>
      <c r="V196" s="1"/>
      <c r="W196" s="1"/>
    </row>
    <row r="197" spans="1:23">
      <c r="A197" s="1"/>
      <c r="B197" s="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8"/>
      <c r="R197" s="8"/>
      <c r="S197" s="1"/>
      <c r="T197" s="6">
        <f t="shared" ca="1" si="6"/>
        <v>0</v>
      </c>
      <c r="U197" s="1" t="str">
        <f t="shared" si="7"/>
        <v/>
      </c>
      <c r="V197" s="1"/>
      <c r="W197" s="1"/>
    </row>
    <row r="198" spans="1:23">
      <c r="A198" s="1"/>
      <c r="B198" s="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8"/>
      <c r="R198" s="8"/>
      <c r="S198" s="1"/>
      <c r="T198" s="6">
        <f t="shared" ca="1" si="6"/>
        <v>0</v>
      </c>
      <c r="U198" s="1" t="str">
        <f t="shared" si="7"/>
        <v/>
      </c>
      <c r="V198" s="1"/>
      <c r="W198" s="1"/>
    </row>
    <row r="199" spans="1:23">
      <c r="A199" s="1"/>
      <c r="B199" s="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8"/>
      <c r="R199" s="8"/>
      <c r="S199" s="1"/>
      <c r="T199" s="6">
        <f t="shared" ca="1" si="6"/>
        <v>0</v>
      </c>
      <c r="U199" s="1" t="str">
        <f t="shared" si="7"/>
        <v/>
      </c>
      <c r="V199" s="1"/>
      <c r="W199" s="1"/>
    </row>
    <row r="200" spans="1:23">
      <c r="A200" s="1"/>
      <c r="B200" s="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8"/>
      <c r="R200" s="8"/>
      <c r="S200" s="1"/>
      <c r="T200" s="6">
        <f t="shared" ca="1" si="6"/>
        <v>0</v>
      </c>
      <c r="U200" s="1" t="str">
        <f t="shared" si="7"/>
        <v/>
      </c>
      <c r="V200" s="1"/>
      <c r="W200" s="1"/>
    </row>
    <row r="201" spans="1:23">
      <c r="A201" s="1"/>
      <c r="B201" s="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8"/>
      <c r="R201" s="8"/>
      <c r="S201" s="1"/>
      <c r="T201" s="6">
        <f t="shared" ca="1" si="6"/>
        <v>0</v>
      </c>
      <c r="U201" s="1" t="str">
        <f t="shared" si="7"/>
        <v/>
      </c>
      <c r="V201" s="1"/>
      <c r="W201" s="1"/>
    </row>
    <row r="202" spans="1:23">
      <c r="A202" s="1"/>
      <c r="B202" s="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8"/>
      <c r="R202" s="8"/>
      <c r="S202" s="1"/>
      <c r="T202" s="6">
        <f t="shared" ca="1" si="6"/>
        <v>0</v>
      </c>
      <c r="U202" s="1" t="str">
        <f t="shared" si="7"/>
        <v/>
      </c>
      <c r="V202" s="1"/>
      <c r="W202" s="1"/>
    </row>
    <row r="203" spans="1:23">
      <c r="A203" s="1"/>
      <c r="B203" s="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8"/>
      <c r="R203" s="8"/>
      <c r="S203" s="1"/>
      <c r="T203" s="6">
        <f t="shared" ca="1" si="6"/>
        <v>0</v>
      </c>
      <c r="U203" s="1" t="str">
        <f t="shared" si="7"/>
        <v/>
      </c>
      <c r="V203" s="1"/>
      <c r="W203" s="1"/>
    </row>
    <row r="204" spans="1:23">
      <c r="A204" s="1"/>
      <c r="B204" s="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8"/>
      <c r="R204" s="8"/>
      <c r="S204" s="1"/>
      <c r="T204" s="6">
        <f t="shared" ca="1" si="6"/>
        <v>0</v>
      </c>
      <c r="U204" s="1" t="str">
        <f t="shared" si="7"/>
        <v/>
      </c>
      <c r="V204" s="1"/>
      <c r="W204" s="1"/>
    </row>
    <row r="205" spans="1:23">
      <c r="A205" s="1"/>
      <c r="B205" s="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8"/>
      <c r="R205" s="8"/>
      <c r="S205" s="1"/>
      <c r="T205" s="6">
        <f t="shared" ca="1" si="6"/>
        <v>0</v>
      </c>
      <c r="U205" s="1" t="str">
        <f t="shared" si="7"/>
        <v/>
      </c>
      <c r="V205" s="1"/>
      <c r="W205" s="1"/>
    </row>
    <row r="206" spans="1:23">
      <c r="A206" s="1"/>
      <c r="B206" s="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8"/>
      <c r="R206" s="8"/>
      <c r="S206" s="1"/>
      <c r="T206" s="6">
        <f t="shared" ca="1" si="6"/>
        <v>0</v>
      </c>
      <c r="U206" s="1" t="str">
        <f t="shared" si="7"/>
        <v/>
      </c>
      <c r="V206" s="1"/>
      <c r="W206" s="1"/>
    </row>
    <row r="207" spans="1:23">
      <c r="A207" s="1"/>
      <c r="B207" s="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8"/>
      <c r="R207" s="8"/>
      <c r="S207" s="1"/>
      <c r="T207" s="6">
        <f t="shared" ca="1" si="6"/>
        <v>0</v>
      </c>
      <c r="U207" s="1" t="str">
        <f t="shared" si="7"/>
        <v/>
      </c>
      <c r="V207" s="1"/>
      <c r="W207" s="1"/>
    </row>
    <row r="208" spans="1:23">
      <c r="A208" s="1"/>
      <c r="B208" s="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8"/>
      <c r="R208" s="8"/>
      <c r="S208" s="1"/>
      <c r="T208" s="6">
        <f t="shared" ca="1" si="6"/>
        <v>0</v>
      </c>
      <c r="U208" s="1" t="str">
        <f t="shared" si="7"/>
        <v/>
      </c>
      <c r="V208" s="1"/>
      <c r="W208" s="1"/>
    </row>
    <row r="209" spans="1:23">
      <c r="A209" s="1"/>
      <c r="B209" s="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8"/>
      <c r="R209" s="8"/>
      <c r="S209" s="1"/>
      <c r="T209" s="6">
        <f t="shared" ca="1" si="6"/>
        <v>0</v>
      </c>
      <c r="U209" s="1" t="str">
        <f t="shared" si="7"/>
        <v/>
      </c>
      <c r="V209" s="1"/>
      <c r="W209" s="1"/>
    </row>
    <row r="210" spans="1:23">
      <c r="A210" s="1"/>
      <c r="B210" s="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8"/>
      <c r="R210" s="8"/>
      <c r="S210" s="1"/>
      <c r="T210" s="6">
        <f t="shared" ca="1" si="6"/>
        <v>0</v>
      </c>
      <c r="U210" s="1" t="str">
        <f t="shared" si="7"/>
        <v/>
      </c>
      <c r="V210" s="1"/>
      <c r="W210" s="1"/>
    </row>
    <row r="211" spans="1:23">
      <c r="A211" s="1"/>
      <c r="B211" s="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8"/>
      <c r="R211" s="8"/>
      <c r="S211" s="1"/>
      <c r="T211" s="6">
        <f t="shared" ca="1" si="6"/>
        <v>0</v>
      </c>
      <c r="U211" s="1" t="str">
        <f t="shared" si="7"/>
        <v/>
      </c>
      <c r="V211" s="1"/>
      <c r="W211" s="1"/>
    </row>
    <row r="212" spans="1:23">
      <c r="A212" s="1"/>
      <c r="B212" s="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8"/>
      <c r="R212" s="8"/>
      <c r="S212" s="1"/>
      <c r="T212" s="6">
        <f t="shared" ca="1" si="6"/>
        <v>0</v>
      </c>
      <c r="U212" s="1" t="str">
        <f t="shared" si="7"/>
        <v/>
      </c>
      <c r="V212" s="1"/>
      <c r="W212" s="1"/>
    </row>
    <row r="213" spans="1:23">
      <c r="A213" s="1"/>
      <c r="B213" s="8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8"/>
      <c r="R213" s="8"/>
      <c r="S213" s="1"/>
      <c r="T213" s="6">
        <f t="shared" ca="1" si="6"/>
        <v>0</v>
      </c>
      <c r="U213" s="1" t="str">
        <f t="shared" si="7"/>
        <v/>
      </c>
      <c r="V213" s="1"/>
      <c r="W213" s="1"/>
    </row>
    <row r="214" spans="1:23">
      <c r="A214" s="1"/>
      <c r="B214" s="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8"/>
      <c r="R214" s="8"/>
      <c r="S214" s="1"/>
      <c r="T214" s="6">
        <f t="shared" ca="1" si="6"/>
        <v>0</v>
      </c>
      <c r="U214" s="1" t="str">
        <f t="shared" si="7"/>
        <v/>
      </c>
      <c r="V214" s="1"/>
      <c r="W214" s="1"/>
    </row>
    <row r="215" spans="1:23">
      <c r="A215" s="1"/>
      <c r="B215" s="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8"/>
      <c r="R215" s="8"/>
      <c r="S215" s="1"/>
      <c r="T215" s="6">
        <f t="shared" ca="1" si="6"/>
        <v>0</v>
      </c>
      <c r="U215" s="1" t="str">
        <f t="shared" si="7"/>
        <v/>
      </c>
      <c r="V215" s="1"/>
      <c r="W215" s="1"/>
    </row>
    <row r="216" spans="1:23">
      <c r="A216" s="1"/>
      <c r="B216" s="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8"/>
      <c r="R216" s="8"/>
      <c r="S216" s="1"/>
      <c r="T216" s="6">
        <f t="shared" ca="1" si="6"/>
        <v>0</v>
      </c>
      <c r="U216" s="1" t="str">
        <f t="shared" si="7"/>
        <v/>
      </c>
      <c r="V216" s="1"/>
      <c r="W216" s="1"/>
    </row>
    <row r="217" spans="1:23">
      <c r="A217" s="1"/>
      <c r="B217" s="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8"/>
      <c r="R217" s="8"/>
      <c r="S217" s="1"/>
      <c r="T217" s="6">
        <f t="shared" ca="1" si="6"/>
        <v>0</v>
      </c>
      <c r="U217" s="1" t="str">
        <f t="shared" si="7"/>
        <v/>
      </c>
      <c r="V217" s="1"/>
      <c r="W217" s="1"/>
    </row>
    <row r="218" spans="1:23">
      <c r="A218" s="1"/>
      <c r="B218" s="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8"/>
      <c r="R218" s="8"/>
      <c r="S218" s="1"/>
      <c r="T218" s="6">
        <f t="shared" ca="1" si="6"/>
        <v>0</v>
      </c>
      <c r="U218" s="1" t="str">
        <f t="shared" si="7"/>
        <v/>
      </c>
      <c r="V218" s="1"/>
      <c r="W218" s="1"/>
    </row>
    <row r="219" spans="1:23">
      <c r="A219" s="1"/>
      <c r="B219" s="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8"/>
      <c r="R219" s="8"/>
      <c r="S219" s="1"/>
      <c r="T219" s="6">
        <f t="shared" ca="1" si="6"/>
        <v>0</v>
      </c>
      <c r="U219" s="1" t="str">
        <f t="shared" si="7"/>
        <v/>
      </c>
      <c r="V219" s="1"/>
      <c r="W219" s="1"/>
    </row>
    <row r="220" spans="1:23">
      <c r="A220" s="1"/>
      <c r="B220" s="8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8"/>
      <c r="R220" s="8"/>
      <c r="S220" s="1"/>
      <c r="T220" s="6">
        <f t="shared" ca="1" si="6"/>
        <v>0</v>
      </c>
      <c r="U220" s="1" t="str">
        <f t="shared" si="7"/>
        <v/>
      </c>
      <c r="V220" s="1"/>
      <c r="W220" s="1"/>
    </row>
    <row r="221" spans="1:23">
      <c r="A221" s="1"/>
      <c r="B221" s="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8"/>
      <c r="R221" s="8"/>
      <c r="S221" s="1"/>
      <c r="T221" s="6">
        <f t="shared" ca="1" si="6"/>
        <v>0</v>
      </c>
      <c r="U221" s="1" t="str">
        <f t="shared" si="7"/>
        <v/>
      </c>
      <c r="V221" s="1"/>
      <c r="W221" s="1"/>
    </row>
    <row r="222" spans="1:23">
      <c r="A222" s="1"/>
      <c r="B222" s="8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8"/>
      <c r="R222" s="8"/>
      <c r="S222" s="1"/>
      <c r="T222" s="6">
        <f t="shared" ca="1" si="6"/>
        <v>0</v>
      </c>
      <c r="U222" s="1" t="str">
        <f t="shared" si="7"/>
        <v/>
      </c>
      <c r="V222" s="1"/>
      <c r="W222" s="1"/>
    </row>
    <row r="223" spans="1:23">
      <c r="A223" s="1"/>
      <c r="B223" s="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8"/>
      <c r="R223" s="8"/>
      <c r="S223" s="1"/>
      <c r="T223" s="6">
        <f t="shared" ca="1" si="6"/>
        <v>0</v>
      </c>
      <c r="U223" s="1" t="str">
        <f t="shared" si="7"/>
        <v/>
      </c>
      <c r="V223" s="1"/>
      <c r="W223" s="1"/>
    </row>
    <row r="224" spans="1:23">
      <c r="A224" s="1"/>
      <c r="B224" s="8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8"/>
      <c r="R224" s="8"/>
      <c r="S224" s="1"/>
      <c r="T224" s="6">
        <f t="shared" ca="1" si="6"/>
        <v>0</v>
      </c>
      <c r="U224" s="1" t="str">
        <f t="shared" si="7"/>
        <v/>
      </c>
      <c r="V224" s="1"/>
      <c r="W224" s="1"/>
    </row>
    <row r="225" spans="1:23">
      <c r="A225" s="1"/>
      <c r="B225" s="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8"/>
      <c r="R225" s="8"/>
      <c r="S225" s="1"/>
      <c r="T225" s="6">
        <f t="shared" ca="1" si="6"/>
        <v>0</v>
      </c>
      <c r="U225" s="1" t="str">
        <f t="shared" si="7"/>
        <v/>
      </c>
      <c r="V225" s="1"/>
      <c r="W225" s="1"/>
    </row>
    <row r="226" spans="1:23">
      <c r="A226" s="1"/>
      <c r="B226" s="8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8"/>
      <c r="R226" s="8"/>
      <c r="S226" s="1"/>
      <c r="T226" s="6">
        <f t="shared" ca="1" si="6"/>
        <v>0</v>
      </c>
      <c r="U226" s="1" t="str">
        <f t="shared" si="7"/>
        <v/>
      </c>
      <c r="V226" s="1"/>
      <c r="W226" s="1"/>
    </row>
    <row r="227" spans="1:23">
      <c r="A227" s="1"/>
      <c r="B227" s="8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8"/>
      <c r="R227" s="8"/>
      <c r="S227" s="1"/>
      <c r="T227" s="6">
        <f t="shared" ca="1" si="6"/>
        <v>0</v>
      </c>
      <c r="U227" s="1" t="str">
        <f t="shared" si="7"/>
        <v/>
      </c>
      <c r="V227" s="1"/>
      <c r="W227" s="1"/>
    </row>
    <row r="228" spans="1:23">
      <c r="A228" s="1"/>
      <c r="B228" s="8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8"/>
      <c r="R228" s="8"/>
      <c r="S228" s="1"/>
      <c r="T228" s="6">
        <f t="shared" ca="1" si="6"/>
        <v>0</v>
      </c>
      <c r="U228" s="1" t="str">
        <f t="shared" si="7"/>
        <v/>
      </c>
      <c r="V228" s="1"/>
      <c r="W228" s="1"/>
    </row>
    <row r="229" spans="1:23">
      <c r="A229" s="1"/>
      <c r="B229" s="8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8"/>
      <c r="R229" s="8"/>
      <c r="S229" s="1"/>
      <c r="T229" s="6">
        <f t="shared" ca="1" si="6"/>
        <v>0</v>
      </c>
      <c r="U229" s="1" t="str">
        <f t="shared" si="7"/>
        <v/>
      </c>
      <c r="V229" s="1"/>
      <c r="W229" s="1"/>
    </row>
    <row r="230" spans="1:23">
      <c r="A230" s="1"/>
      <c r="B230" s="8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8"/>
      <c r="R230" s="8"/>
      <c r="S230" s="1"/>
      <c r="T230" s="6">
        <f t="shared" ca="1" si="6"/>
        <v>0</v>
      </c>
      <c r="U230" s="1" t="str">
        <f t="shared" si="7"/>
        <v/>
      </c>
      <c r="V230" s="1"/>
      <c r="W230" s="1"/>
    </row>
    <row r="231" spans="1:23">
      <c r="A231" s="1"/>
      <c r="B231" s="8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8"/>
      <c r="R231" s="8"/>
      <c r="S231" s="1"/>
      <c r="T231" s="6">
        <f t="shared" ca="1" si="6"/>
        <v>0</v>
      </c>
      <c r="U231" s="1" t="str">
        <f t="shared" si="7"/>
        <v/>
      </c>
      <c r="V231" s="1"/>
      <c r="W231" s="1"/>
    </row>
    <row r="232" spans="1:23">
      <c r="A232" s="1"/>
      <c r="B232" s="8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8"/>
      <c r="R232" s="8"/>
      <c r="S232" s="1"/>
      <c r="T232" s="6">
        <f t="shared" ca="1" si="6"/>
        <v>0</v>
      </c>
      <c r="U232" s="1" t="str">
        <f t="shared" si="7"/>
        <v/>
      </c>
      <c r="V232" s="1"/>
      <c r="W232" s="1"/>
    </row>
    <row r="233" spans="1:23">
      <c r="A233" s="1"/>
      <c r="B233" s="8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8"/>
      <c r="R233" s="8"/>
      <c r="S233" s="1"/>
      <c r="T233" s="6">
        <f t="shared" ca="1" si="6"/>
        <v>0</v>
      </c>
      <c r="U233" s="1" t="str">
        <f t="shared" si="7"/>
        <v/>
      </c>
      <c r="V233" s="1"/>
      <c r="W233" s="1"/>
    </row>
    <row r="234" spans="1:23">
      <c r="A234" s="1"/>
      <c r="B234" s="8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8"/>
      <c r="R234" s="8"/>
      <c r="S234" s="1"/>
      <c r="T234" s="6">
        <f t="shared" ca="1" si="6"/>
        <v>0</v>
      </c>
      <c r="U234" s="1" t="str">
        <f t="shared" si="7"/>
        <v/>
      </c>
      <c r="V234" s="1"/>
      <c r="W234" s="1"/>
    </row>
    <row r="235" spans="1:23">
      <c r="A235" s="1"/>
      <c r="B235" s="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8"/>
      <c r="R235" s="8"/>
      <c r="S235" s="1"/>
      <c r="T235" s="6">
        <f t="shared" ca="1" si="6"/>
        <v>0</v>
      </c>
      <c r="U235" s="1" t="str">
        <f t="shared" si="7"/>
        <v/>
      </c>
      <c r="V235" s="1"/>
      <c r="W235" s="1"/>
    </row>
    <row r="236" spans="1:23">
      <c r="A236" s="1"/>
      <c r="B236" s="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8"/>
      <c r="R236" s="8"/>
      <c r="S236" s="1"/>
      <c r="T236" s="6">
        <f t="shared" ca="1" si="6"/>
        <v>0</v>
      </c>
      <c r="U236" s="1" t="str">
        <f t="shared" si="7"/>
        <v/>
      </c>
      <c r="V236" s="1"/>
      <c r="W236" s="1"/>
    </row>
    <row r="237" spans="1:23">
      <c r="A237" s="1"/>
      <c r="B237" s="8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8"/>
      <c r="R237" s="8"/>
      <c r="S237" s="1"/>
      <c r="T237" s="6">
        <f t="shared" ca="1" si="6"/>
        <v>0</v>
      </c>
      <c r="U237" s="1" t="str">
        <f t="shared" si="7"/>
        <v/>
      </c>
      <c r="V237" s="1"/>
      <c r="W237" s="1"/>
    </row>
    <row r="238" spans="1:23">
      <c r="A238" s="1"/>
      <c r="B238" s="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8"/>
      <c r="R238" s="8"/>
      <c r="S238" s="1"/>
      <c r="T238" s="6">
        <f t="shared" ca="1" si="6"/>
        <v>0</v>
      </c>
      <c r="U238" s="1" t="str">
        <f t="shared" si="7"/>
        <v/>
      </c>
      <c r="V238" s="1"/>
      <c r="W238" s="1"/>
    </row>
    <row r="239" spans="1:23">
      <c r="A239" s="1"/>
      <c r="B239" s="8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8"/>
      <c r="R239" s="8"/>
      <c r="S239" s="1"/>
      <c r="T239" s="6">
        <f t="shared" ca="1" si="6"/>
        <v>0</v>
      </c>
      <c r="U239" s="1" t="str">
        <f t="shared" si="7"/>
        <v/>
      </c>
      <c r="V239" s="1"/>
      <c r="W239" s="1"/>
    </row>
    <row r="240" spans="1:23">
      <c r="A240" s="1"/>
      <c r="B240" s="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8"/>
      <c r="R240" s="8"/>
      <c r="S240" s="1"/>
      <c r="T240" s="6">
        <f t="shared" ca="1" si="6"/>
        <v>0</v>
      </c>
      <c r="U240" s="1" t="str">
        <f t="shared" si="7"/>
        <v/>
      </c>
      <c r="V240" s="1"/>
      <c r="W240" s="1"/>
    </row>
    <row r="241" spans="1:23">
      <c r="A241" s="1"/>
      <c r="B241" s="8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8"/>
      <c r="R241" s="8"/>
      <c r="S241" s="1"/>
      <c r="T241" s="6">
        <f t="shared" ca="1" si="6"/>
        <v>0</v>
      </c>
      <c r="U241" s="1" t="str">
        <f t="shared" si="7"/>
        <v/>
      </c>
      <c r="V241" s="1"/>
      <c r="W241" s="1"/>
    </row>
    <row r="242" spans="1:23">
      <c r="A242" s="1"/>
      <c r="B242" s="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8"/>
      <c r="R242" s="8"/>
      <c r="S242" s="1"/>
      <c r="T242" s="6">
        <f t="shared" ca="1" si="6"/>
        <v>0</v>
      </c>
      <c r="U242" s="1" t="str">
        <f t="shared" si="7"/>
        <v/>
      </c>
      <c r="V242" s="1"/>
      <c r="W242" s="1"/>
    </row>
    <row r="243" spans="1:23">
      <c r="A243" s="1"/>
      <c r="B243" s="8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8"/>
      <c r="R243" s="8"/>
      <c r="S243" s="1"/>
      <c r="T243" s="6">
        <f t="shared" ca="1" si="6"/>
        <v>0</v>
      </c>
      <c r="U243" s="1" t="str">
        <f t="shared" si="7"/>
        <v/>
      </c>
      <c r="V243" s="1"/>
      <c r="W243" s="1"/>
    </row>
    <row r="244" spans="1:23">
      <c r="A244" s="1"/>
      <c r="B244" s="8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8"/>
      <c r="R244" s="8"/>
      <c r="S244" s="1"/>
      <c r="T244" s="6">
        <f t="shared" ca="1" si="6"/>
        <v>0</v>
      </c>
      <c r="U244" s="1" t="str">
        <f t="shared" si="7"/>
        <v/>
      </c>
      <c r="V244" s="1"/>
      <c r="W244" s="1"/>
    </row>
    <row r="245" spans="1:23">
      <c r="A245" s="1"/>
      <c r="B245" s="8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8"/>
      <c r="R245" s="8"/>
      <c r="S245" s="1"/>
      <c r="T245" s="6">
        <f t="shared" ca="1" si="6"/>
        <v>0</v>
      </c>
      <c r="U245" s="1" t="str">
        <f t="shared" si="7"/>
        <v/>
      </c>
      <c r="V245" s="1"/>
      <c r="W245" s="1"/>
    </row>
    <row r="246" spans="1:23">
      <c r="A246" s="1"/>
      <c r="B246" s="8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8"/>
      <c r="R246" s="8"/>
      <c r="S246" s="1"/>
      <c r="T246" s="6">
        <f t="shared" ca="1" si="6"/>
        <v>0</v>
      </c>
      <c r="U246" s="1" t="str">
        <f t="shared" si="7"/>
        <v/>
      </c>
      <c r="V246" s="1"/>
      <c r="W246" s="1"/>
    </row>
    <row r="247" spans="1:23">
      <c r="A247" s="1"/>
      <c r="B247" s="8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8"/>
      <c r="R247" s="8"/>
      <c r="S247" s="1"/>
      <c r="T247" s="6">
        <f t="shared" ca="1" si="6"/>
        <v>0</v>
      </c>
      <c r="U247" s="1" t="str">
        <f t="shared" si="7"/>
        <v/>
      </c>
      <c r="V247" s="1"/>
      <c r="W247" s="1"/>
    </row>
    <row r="248" spans="1:23">
      <c r="A248" s="1"/>
      <c r="B248" s="8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8"/>
      <c r="R248" s="8"/>
      <c r="S248" s="1"/>
      <c r="T248" s="6">
        <f t="shared" ca="1" si="6"/>
        <v>0</v>
      </c>
      <c r="U248" s="1" t="str">
        <f t="shared" si="7"/>
        <v/>
      </c>
      <c r="V248" s="1"/>
      <c r="W248" s="1"/>
    </row>
    <row r="249" spans="1:23">
      <c r="A249" s="1"/>
      <c r="B249" s="8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8"/>
      <c r="R249" s="8"/>
      <c r="S249" s="1"/>
      <c r="T249" s="6">
        <f t="shared" ca="1" si="6"/>
        <v>0</v>
      </c>
      <c r="U249" s="1" t="str">
        <f t="shared" si="7"/>
        <v/>
      </c>
      <c r="V249" s="1"/>
      <c r="W249" s="1"/>
    </row>
    <row r="250" spans="1:23">
      <c r="A250" s="1"/>
      <c r="B250" s="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8"/>
      <c r="R250" s="8"/>
      <c r="S250" s="1"/>
      <c r="T250" s="6">
        <f t="shared" ca="1" si="6"/>
        <v>0</v>
      </c>
      <c r="U250" s="1" t="str">
        <f t="shared" si="7"/>
        <v/>
      </c>
      <c r="V250" s="1"/>
      <c r="W250" s="1"/>
    </row>
    <row r="251" spans="1:23">
      <c r="A251" s="1"/>
      <c r="B251" s="8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8"/>
      <c r="R251" s="8"/>
      <c r="S251" s="1"/>
      <c r="T251" s="6">
        <f t="shared" ca="1" si="6"/>
        <v>0</v>
      </c>
      <c r="U251" s="1" t="str">
        <f t="shared" si="7"/>
        <v/>
      </c>
      <c r="V251" s="1"/>
      <c r="W251" s="1"/>
    </row>
    <row r="252" spans="1:23">
      <c r="A252" s="1"/>
      <c r="B252" s="8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8"/>
      <c r="R252" s="8"/>
      <c r="S252" s="1"/>
      <c r="T252" s="6">
        <f t="shared" ca="1" si="6"/>
        <v>0</v>
      </c>
      <c r="U252" s="1" t="str">
        <f t="shared" si="7"/>
        <v/>
      </c>
      <c r="V252" s="1"/>
      <c r="W252" s="1"/>
    </row>
    <row r="253" spans="1:23">
      <c r="A253" s="1"/>
      <c r="B253" s="8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8"/>
      <c r="R253" s="8"/>
      <c r="S253" s="1"/>
      <c r="T253" s="6">
        <f t="shared" ca="1" si="6"/>
        <v>0</v>
      </c>
      <c r="U253" s="1" t="str">
        <f t="shared" si="7"/>
        <v/>
      </c>
      <c r="V253" s="1"/>
      <c r="W253" s="1"/>
    </row>
    <row r="254" spans="1:23">
      <c r="A254" s="1"/>
      <c r="B254" s="8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8"/>
      <c r="R254" s="8"/>
      <c r="S254" s="1"/>
      <c r="T254" s="6">
        <f t="shared" ca="1" si="6"/>
        <v>0</v>
      </c>
      <c r="U254" s="1" t="str">
        <f t="shared" si="7"/>
        <v/>
      </c>
      <c r="V254" s="1"/>
      <c r="W254" s="1"/>
    </row>
    <row r="255" spans="1:23">
      <c r="A255" s="1"/>
      <c r="B255" s="8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8"/>
      <c r="R255" s="8"/>
      <c r="S255" s="1"/>
      <c r="T255" s="6">
        <f t="shared" ca="1" si="6"/>
        <v>0</v>
      </c>
      <c r="U255" s="1" t="str">
        <f t="shared" si="7"/>
        <v/>
      </c>
      <c r="V255" s="1"/>
      <c r="W255" s="1"/>
    </row>
    <row r="256" spans="1:23">
      <c r="A256" s="1"/>
      <c r="B256" s="8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8"/>
      <c r="R256" s="8"/>
      <c r="S256" s="1"/>
      <c r="T256" s="6">
        <f t="shared" ca="1" si="6"/>
        <v>0</v>
      </c>
      <c r="U256" s="1" t="str">
        <f t="shared" si="7"/>
        <v/>
      </c>
      <c r="V256" s="1"/>
      <c r="W256" s="1"/>
    </row>
    <row r="257" spans="1:23">
      <c r="A257" s="1"/>
      <c r="B257" s="8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8"/>
      <c r="R257" s="8"/>
      <c r="S257" s="1"/>
      <c r="T257" s="6">
        <f t="shared" ca="1" si="6"/>
        <v>0</v>
      </c>
      <c r="U257" s="1" t="str">
        <f t="shared" si="7"/>
        <v/>
      </c>
      <c r="V257" s="1"/>
      <c r="W257" s="1"/>
    </row>
    <row r="258" spans="1:23">
      <c r="A258" s="1"/>
      <c r="B258" s="8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8"/>
      <c r="R258" s="8"/>
      <c r="S258" s="1"/>
      <c r="T258" s="6">
        <f t="shared" ref="T258:T297" ca="1" si="8">IF(AND(S258&lt;&gt;"Clôturée",Q258&lt;&gt;"",TODAY()&gt;Q258),TODAY()-Q258,0)</f>
        <v>0</v>
      </c>
      <c r="U258" s="1" t="str">
        <f t="shared" ref="U258:U297" si="9">IF(M258="Critique","P1",IF(M258="Majeure","P2",IF(M258="Mineure","P3","")))</f>
        <v/>
      </c>
      <c r="V258" s="1"/>
      <c r="W258" s="1"/>
    </row>
    <row r="259" spans="1:23">
      <c r="A259" s="1"/>
      <c r="B259" s="8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8"/>
      <c r="R259" s="8"/>
      <c r="S259" s="1"/>
      <c r="T259" s="6">
        <f t="shared" ca="1" si="8"/>
        <v>0</v>
      </c>
      <c r="U259" s="1" t="str">
        <f t="shared" si="9"/>
        <v/>
      </c>
      <c r="V259" s="1"/>
      <c r="W259" s="1"/>
    </row>
    <row r="260" spans="1:23">
      <c r="A260" s="1"/>
      <c r="B260" s="8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8"/>
      <c r="R260" s="8"/>
      <c r="S260" s="1"/>
      <c r="T260" s="6">
        <f t="shared" ca="1" si="8"/>
        <v>0</v>
      </c>
      <c r="U260" s="1" t="str">
        <f t="shared" si="9"/>
        <v/>
      </c>
      <c r="V260" s="1"/>
      <c r="W260" s="1"/>
    </row>
    <row r="261" spans="1:23">
      <c r="A261" s="1"/>
      <c r="B261" s="8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8"/>
      <c r="R261" s="8"/>
      <c r="S261" s="1"/>
      <c r="T261" s="6">
        <f t="shared" ca="1" si="8"/>
        <v>0</v>
      </c>
      <c r="U261" s="1" t="str">
        <f t="shared" si="9"/>
        <v/>
      </c>
      <c r="V261" s="1"/>
      <c r="W261" s="1"/>
    </row>
    <row r="262" spans="1:23">
      <c r="A262" s="1"/>
      <c r="B262" s="8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8"/>
      <c r="R262" s="8"/>
      <c r="S262" s="1"/>
      <c r="T262" s="6">
        <f t="shared" ca="1" si="8"/>
        <v>0</v>
      </c>
      <c r="U262" s="1" t="str">
        <f t="shared" si="9"/>
        <v/>
      </c>
      <c r="V262" s="1"/>
      <c r="W262" s="1"/>
    </row>
    <row r="263" spans="1:23">
      <c r="A263" s="1"/>
      <c r="B263" s="8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8"/>
      <c r="R263" s="8"/>
      <c r="S263" s="1"/>
      <c r="T263" s="6">
        <f t="shared" ca="1" si="8"/>
        <v>0</v>
      </c>
      <c r="U263" s="1" t="str">
        <f t="shared" si="9"/>
        <v/>
      </c>
      <c r="V263" s="1"/>
      <c r="W263" s="1"/>
    </row>
    <row r="264" spans="1:23">
      <c r="A264" s="1"/>
      <c r="B264" s="8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8"/>
      <c r="R264" s="8"/>
      <c r="S264" s="1"/>
      <c r="T264" s="6">
        <f t="shared" ca="1" si="8"/>
        <v>0</v>
      </c>
      <c r="U264" s="1" t="str">
        <f t="shared" si="9"/>
        <v/>
      </c>
      <c r="V264" s="1"/>
      <c r="W264" s="1"/>
    </row>
    <row r="265" spans="1:23">
      <c r="A265" s="1"/>
      <c r="B265" s="8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8"/>
      <c r="R265" s="8"/>
      <c r="S265" s="1"/>
      <c r="T265" s="6">
        <f t="shared" ca="1" si="8"/>
        <v>0</v>
      </c>
      <c r="U265" s="1" t="str">
        <f t="shared" si="9"/>
        <v/>
      </c>
      <c r="V265" s="1"/>
      <c r="W265" s="1"/>
    </row>
    <row r="266" spans="1:23">
      <c r="A266" s="1"/>
      <c r="B266" s="8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8"/>
      <c r="R266" s="8"/>
      <c r="S266" s="1"/>
      <c r="T266" s="6">
        <f t="shared" ca="1" si="8"/>
        <v>0</v>
      </c>
      <c r="U266" s="1" t="str">
        <f t="shared" si="9"/>
        <v/>
      </c>
      <c r="V266" s="1"/>
      <c r="W266" s="1"/>
    </row>
    <row r="267" spans="1:23">
      <c r="A267" s="1"/>
      <c r="B267" s="8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8"/>
      <c r="R267" s="8"/>
      <c r="S267" s="1"/>
      <c r="T267" s="6">
        <f t="shared" ca="1" si="8"/>
        <v>0</v>
      </c>
      <c r="U267" s="1" t="str">
        <f t="shared" si="9"/>
        <v/>
      </c>
      <c r="V267" s="1"/>
      <c r="W267" s="1"/>
    </row>
    <row r="268" spans="1:23">
      <c r="A268" s="1"/>
      <c r="B268" s="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8"/>
      <c r="R268" s="8"/>
      <c r="S268" s="1"/>
      <c r="T268" s="6">
        <f t="shared" ca="1" si="8"/>
        <v>0</v>
      </c>
      <c r="U268" s="1" t="str">
        <f t="shared" si="9"/>
        <v/>
      </c>
      <c r="V268" s="1"/>
      <c r="W268" s="1"/>
    </row>
    <row r="269" spans="1:23">
      <c r="A269" s="1"/>
      <c r="B269" s="8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8"/>
      <c r="R269" s="8"/>
      <c r="S269" s="1"/>
      <c r="T269" s="6">
        <f t="shared" ca="1" si="8"/>
        <v>0</v>
      </c>
      <c r="U269" s="1" t="str">
        <f t="shared" si="9"/>
        <v/>
      </c>
      <c r="V269" s="1"/>
      <c r="W269" s="1"/>
    </row>
    <row r="270" spans="1:23">
      <c r="A270" s="1"/>
      <c r="B270" s="8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8"/>
      <c r="R270" s="8"/>
      <c r="S270" s="1"/>
      <c r="T270" s="6">
        <f t="shared" ca="1" si="8"/>
        <v>0</v>
      </c>
      <c r="U270" s="1" t="str">
        <f t="shared" si="9"/>
        <v/>
      </c>
      <c r="V270" s="1"/>
      <c r="W270" s="1"/>
    </row>
    <row r="271" spans="1:23">
      <c r="A271" s="1"/>
      <c r="B271" s="8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8"/>
      <c r="R271" s="8"/>
      <c r="S271" s="1"/>
      <c r="T271" s="6">
        <f t="shared" ca="1" si="8"/>
        <v>0</v>
      </c>
      <c r="U271" s="1" t="str">
        <f t="shared" si="9"/>
        <v/>
      </c>
      <c r="V271" s="1"/>
      <c r="W271" s="1"/>
    </row>
    <row r="272" spans="1:23">
      <c r="A272" s="1"/>
      <c r="B272" s="8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8"/>
      <c r="R272" s="8"/>
      <c r="S272" s="1"/>
      <c r="T272" s="6">
        <f t="shared" ca="1" si="8"/>
        <v>0</v>
      </c>
      <c r="U272" s="1" t="str">
        <f t="shared" si="9"/>
        <v/>
      </c>
      <c r="V272" s="1"/>
      <c r="W272" s="1"/>
    </row>
    <row r="273" spans="1:23">
      <c r="A273" s="1"/>
      <c r="B273" s="8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8"/>
      <c r="R273" s="8"/>
      <c r="S273" s="1"/>
      <c r="T273" s="6">
        <f t="shared" ca="1" si="8"/>
        <v>0</v>
      </c>
      <c r="U273" s="1" t="str">
        <f t="shared" si="9"/>
        <v/>
      </c>
      <c r="V273" s="1"/>
      <c r="W273" s="1"/>
    </row>
    <row r="274" spans="1:23">
      <c r="A274" s="1"/>
      <c r="B274" s="8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8"/>
      <c r="R274" s="8"/>
      <c r="S274" s="1"/>
      <c r="T274" s="6">
        <f t="shared" ca="1" si="8"/>
        <v>0</v>
      </c>
      <c r="U274" s="1" t="str">
        <f t="shared" si="9"/>
        <v/>
      </c>
      <c r="V274" s="1"/>
      <c r="W274" s="1"/>
    </row>
    <row r="275" spans="1:23">
      <c r="A275" s="1"/>
      <c r="B275" s="8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8"/>
      <c r="R275" s="8"/>
      <c r="S275" s="1"/>
      <c r="T275" s="6">
        <f t="shared" ca="1" si="8"/>
        <v>0</v>
      </c>
      <c r="U275" s="1" t="str">
        <f t="shared" si="9"/>
        <v/>
      </c>
      <c r="V275" s="1"/>
      <c r="W275" s="1"/>
    </row>
    <row r="276" spans="1:23">
      <c r="A276" s="1"/>
      <c r="B276" s="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8"/>
      <c r="R276" s="8"/>
      <c r="S276" s="1"/>
      <c r="T276" s="6">
        <f t="shared" ca="1" si="8"/>
        <v>0</v>
      </c>
      <c r="U276" s="1" t="str">
        <f t="shared" si="9"/>
        <v/>
      </c>
      <c r="V276" s="1"/>
      <c r="W276" s="1"/>
    </row>
    <row r="277" spans="1:23">
      <c r="A277" s="1"/>
      <c r="B277" s="8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8"/>
      <c r="R277" s="8"/>
      <c r="S277" s="1"/>
      <c r="T277" s="6">
        <f t="shared" ca="1" si="8"/>
        <v>0</v>
      </c>
      <c r="U277" s="1" t="str">
        <f t="shared" si="9"/>
        <v/>
      </c>
      <c r="V277" s="1"/>
      <c r="W277" s="1"/>
    </row>
    <row r="278" spans="1:23">
      <c r="A278" s="1"/>
      <c r="B278" s="8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8"/>
      <c r="R278" s="8"/>
      <c r="S278" s="1"/>
      <c r="T278" s="6">
        <f t="shared" ca="1" si="8"/>
        <v>0</v>
      </c>
      <c r="U278" s="1" t="str">
        <f t="shared" si="9"/>
        <v/>
      </c>
      <c r="V278" s="1"/>
      <c r="W278" s="1"/>
    </row>
    <row r="279" spans="1:23">
      <c r="A279" s="1"/>
      <c r="B279" s="8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8"/>
      <c r="R279" s="8"/>
      <c r="S279" s="1"/>
      <c r="T279" s="6">
        <f t="shared" ca="1" si="8"/>
        <v>0</v>
      </c>
      <c r="U279" s="1" t="str">
        <f t="shared" si="9"/>
        <v/>
      </c>
      <c r="V279" s="1"/>
      <c r="W279" s="1"/>
    </row>
    <row r="280" spans="1:23">
      <c r="A280" s="1"/>
      <c r="B280" s="8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8"/>
      <c r="R280" s="8"/>
      <c r="S280" s="1"/>
      <c r="T280" s="6">
        <f t="shared" ca="1" si="8"/>
        <v>0</v>
      </c>
      <c r="U280" s="1" t="str">
        <f t="shared" si="9"/>
        <v/>
      </c>
      <c r="V280" s="1"/>
      <c r="W280" s="1"/>
    </row>
    <row r="281" spans="1:23">
      <c r="A281" s="1"/>
      <c r="B281" s="8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8"/>
      <c r="R281" s="8"/>
      <c r="S281" s="1"/>
      <c r="T281" s="6">
        <f t="shared" ca="1" si="8"/>
        <v>0</v>
      </c>
      <c r="U281" s="1" t="str">
        <f t="shared" si="9"/>
        <v/>
      </c>
      <c r="V281" s="1"/>
      <c r="W281" s="1"/>
    </row>
    <row r="282" spans="1:23">
      <c r="A282" s="1"/>
      <c r="B282" s="8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8"/>
      <c r="R282" s="8"/>
      <c r="S282" s="1"/>
      <c r="T282" s="6">
        <f t="shared" ca="1" si="8"/>
        <v>0</v>
      </c>
      <c r="U282" s="1" t="str">
        <f t="shared" si="9"/>
        <v/>
      </c>
      <c r="V282" s="1"/>
      <c r="W282" s="1"/>
    </row>
    <row r="283" spans="1:23">
      <c r="A283" s="1"/>
      <c r="B283" s="8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8"/>
      <c r="R283" s="8"/>
      <c r="S283" s="1"/>
      <c r="T283" s="6">
        <f t="shared" ca="1" si="8"/>
        <v>0</v>
      </c>
      <c r="U283" s="1" t="str">
        <f t="shared" si="9"/>
        <v/>
      </c>
      <c r="V283" s="1"/>
      <c r="W283" s="1"/>
    </row>
    <row r="284" spans="1:23">
      <c r="A284" s="1"/>
      <c r="B284" s="8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8"/>
      <c r="R284" s="8"/>
      <c r="S284" s="1"/>
      <c r="T284" s="6">
        <f t="shared" ca="1" si="8"/>
        <v>0</v>
      </c>
      <c r="U284" s="1" t="str">
        <f t="shared" si="9"/>
        <v/>
      </c>
      <c r="V284" s="1"/>
      <c r="W284" s="1"/>
    </row>
    <row r="285" spans="1:23">
      <c r="A285" s="1"/>
      <c r="B285" s="8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8"/>
      <c r="R285" s="8"/>
      <c r="S285" s="1"/>
      <c r="T285" s="6">
        <f t="shared" ca="1" si="8"/>
        <v>0</v>
      </c>
      <c r="U285" s="1" t="str">
        <f t="shared" si="9"/>
        <v/>
      </c>
      <c r="V285" s="1"/>
      <c r="W285" s="1"/>
    </row>
    <row r="286" spans="1:23">
      <c r="A286" s="1"/>
      <c r="B286" s="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8"/>
      <c r="R286" s="8"/>
      <c r="S286" s="1"/>
      <c r="T286" s="6">
        <f t="shared" ca="1" si="8"/>
        <v>0</v>
      </c>
      <c r="U286" s="1" t="str">
        <f t="shared" si="9"/>
        <v/>
      </c>
      <c r="V286" s="1"/>
      <c r="W286" s="1"/>
    </row>
    <row r="287" spans="1:23">
      <c r="A287" s="1"/>
      <c r="B287" s="8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8"/>
      <c r="R287" s="8"/>
      <c r="S287" s="1"/>
      <c r="T287" s="6">
        <f t="shared" ca="1" si="8"/>
        <v>0</v>
      </c>
      <c r="U287" s="1" t="str">
        <f t="shared" si="9"/>
        <v/>
      </c>
      <c r="V287" s="1"/>
      <c r="W287" s="1"/>
    </row>
    <row r="288" spans="1:23">
      <c r="A288" s="1"/>
      <c r="B288" s="8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8"/>
      <c r="R288" s="8"/>
      <c r="S288" s="1"/>
      <c r="T288" s="6">
        <f t="shared" ca="1" si="8"/>
        <v>0</v>
      </c>
      <c r="U288" s="1" t="str">
        <f t="shared" si="9"/>
        <v/>
      </c>
      <c r="V288" s="1"/>
      <c r="W288" s="1"/>
    </row>
    <row r="289" spans="1:23">
      <c r="A289" s="1"/>
      <c r="B289" s="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8"/>
      <c r="R289" s="8"/>
      <c r="S289" s="1"/>
      <c r="T289" s="6">
        <f t="shared" ca="1" si="8"/>
        <v>0</v>
      </c>
      <c r="U289" s="1" t="str">
        <f t="shared" si="9"/>
        <v/>
      </c>
      <c r="V289" s="1"/>
      <c r="W289" s="1"/>
    </row>
    <row r="290" spans="1:23">
      <c r="A290" s="1"/>
      <c r="B290" s="8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8"/>
      <c r="R290" s="8"/>
      <c r="S290" s="1"/>
      <c r="T290" s="6">
        <f t="shared" ca="1" si="8"/>
        <v>0</v>
      </c>
      <c r="U290" s="1" t="str">
        <f t="shared" si="9"/>
        <v/>
      </c>
      <c r="V290" s="1"/>
      <c r="W290" s="1"/>
    </row>
    <row r="291" spans="1:23">
      <c r="A291" s="1"/>
      <c r="B291" s="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8"/>
      <c r="R291" s="8"/>
      <c r="S291" s="1"/>
      <c r="T291" s="6">
        <f t="shared" ca="1" si="8"/>
        <v>0</v>
      </c>
      <c r="U291" s="1" t="str">
        <f t="shared" si="9"/>
        <v/>
      </c>
      <c r="V291" s="1"/>
      <c r="W291" s="1"/>
    </row>
    <row r="292" spans="1:23">
      <c r="A292" s="1"/>
      <c r="B292" s="8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8"/>
      <c r="R292" s="8"/>
      <c r="S292" s="1"/>
      <c r="T292" s="6">
        <f t="shared" ca="1" si="8"/>
        <v>0</v>
      </c>
      <c r="U292" s="1" t="str">
        <f t="shared" si="9"/>
        <v/>
      </c>
      <c r="V292" s="1"/>
      <c r="W292" s="1"/>
    </row>
    <row r="293" spans="1:23">
      <c r="A293" s="1"/>
      <c r="B293" s="8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8"/>
      <c r="R293" s="8"/>
      <c r="S293" s="1"/>
      <c r="T293" s="6">
        <f t="shared" ca="1" si="8"/>
        <v>0</v>
      </c>
      <c r="U293" s="1" t="str">
        <f t="shared" si="9"/>
        <v/>
      </c>
      <c r="V293" s="1"/>
      <c r="W293" s="1"/>
    </row>
    <row r="294" spans="1:23">
      <c r="A294" s="1"/>
      <c r="B294" s="8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8"/>
      <c r="R294" s="8"/>
      <c r="S294" s="1"/>
      <c r="T294" s="6">
        <f t="shared" ca="1" si="8"/>
        <v>0</v>
      </c>
      <c r="U294" s="1" t="str">
        <f t="shared" si="9"/>
        <v/>
      </c>
      <c r="V294" s="1"/>
      <c r="W294" s="1"/>
    </row>
    <row r="295" spans="1:23">
      <c r="A295" s="1"/>
      <c r="B295" s="8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8"/>
      <c r="R295" s="8"/>
      <c r="S295" s="1"/>
      <c r="T295" s="6">
        <f t="shared" ca="1" si="8"/>
        <v>0</v>
      </c>
      <c r="U295" s="1" t="str">
        <f t="shared" si="9"/>
        <v/>
      </c>
      <c r="V295" s="1"/>
      <c r="W295" s="1"/>
    </row>
    <row r="296" spans="1:23">
      <c r="A296" s="1"/>
      <c r="B296" s="8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8"/>
      <c r="R296" s="8"/>
      <c r="S296" s="1"/>
      <c r="T296" s="6">
        <f t="shared" ca="1" si="8"/>
        <v>0</v>
      </c>
      <c r="U296" s="1" t="str">
        <f t="shared" si="9"/>
        <v/>
      </c>
      <c r="V296" s="1"/>
      <c r="W296" s="1"/>
    </row>
    <row r="297" spans="1:23">
      <c r="A297" s="1"/>
      <c r="B297" s="8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8"/>
      <c r="R297" s="8"/>
      <c r="S297" s="1"/>
      <c r="T297" s="6">
        <f t="shared" ca="1" si="8"/>
        <v>0</v>
      </c>
      <c r="U297" s="1" t="str">
        <f t="shared" si="9"/>
        <v/>
      </c>
      <c r="V297" s="1"/>
      <c r="W297" s="1"/>
    </row>
  </sheetData>
  <conditionalFormatting sqref="L2:L297">
    <cfRule type="expression" dxfId="7" priority="1">
      <formula>L2="Non conforme"</formula>
    </cfRule>
    <cfRule type="expression" dxfId="6" priority="2">
      <formula>L2="Conforme"</formula>
    </cfRule>
  </conditionalFormatting>
  <conditionalFormatting sqref="M2:M297">
    <cfRule type="expression" dxfId="5" priority="3">
      <formula>M2="Critique"</formula>
    </cfRule>
  </conditionalFormatting>
  <conditionalFormatting sqref="T2:T297">
    <cfRule type="cellIs" dxfId="4" priority="4" operator="greaterThan">
      <formula>0</formula>
    </cfRule>
  </conditionalFormatting>
  <dataValidations count="9">
    <dataValidation type="list" allowBlank="1" showErrorMessage="1" errorTitle="Valeur non autorisée" error="Veuillez choisir une valeur depuis la liste dynamique REF_AGENCES." sqref="C2:C1000" xr:uid="{00000000-0002-0000-0F00-000000000000}">
      <formula1>REF_AGENCES</formula1>
    </dataValidation>
    <dataValidation type="list" allowBlank="1" showErrorMessage="1" errorTitle="Valeur non autorisée" error="Veuillez choisir une valeur depuis la liste dynamique REF_CYCLES." sqref="D2:D1000" xr:uid="{00000000-0002-0000-0F00-000001000000}">
      <formula1>REF_CYCLES</formula1>
    </dataValidation>
    <dataValidation type="list" allowBlank="1" showErrorMessage="1" errorTitle="Valeur non autorisée" error="Veuillez choisir une valeur depuis la liste dynamique REF_FREQUENCES." sqref="H2:H1000" xr:uid="{00000000-0002-0000-0F00-000002000000}">
      <formula1>REF_FREQUENCES</formula1>
    </dataValidation>
    <dataValidation type="list" allowBlank="1" showErrorMessage="1" errorTitle="Valeur non autorisée" error="Veuillez choisir une valeur depuis la liste dynamique REF_RESPONSABLES." sqref="I2:I1000 P2:P1000" xr:uid="{00000000-0002-0000-0F00-000003000000}">
      <formula1>REF_RESPONSABLES</formula1>
    </dataValidation>
    <dataValidation type="list" allowBlank="1" showErrorMessage="1" errorTitle="Valeur non autorisée" error="Veuillez choisir une valeur depuis la liste dynamique REF_NIVEAUX_RISQUE." sqref="J2:J1000" xr:uid="{00000000-0002-0000-0F00-000004000000}">
      <formula1>REF_NIVEAUX_RISQUE</formula1>
    </dataValidation>
    <dataValidation type="list" allowBlank="1" showErrorMessage="1" errorTitle="Valeur non autorisée" error="Veuillez choisir une valeur depuis la liste dynamique REF_RESULTATS_CONTROLE." sqref="L2:L1000" xr:uid="{00000000-0002-0000-0F00-000005000000}">
      <formula1>REF_RESULTATS_CONTROLE</formula1>
    </dataValidation>
    <dataValidation type="list" allowBlank="1" showErrorMessage="1" errorTitle="Valeur non autorisée" error="Veuillez choisir une valeur depuis la liste dynamique REF_GRAVITES_ANOMALIE." sqref="M2:M1000" xr:uid="{00000000-0002-0000-0F00-000006000000}">
      <formula1>REF_GRAVITES_ANOMALIE</formula1>
    </dataValidation>
    <dataValidation type="list" allowBlank="1" showErrorMessage="1" errorTitle="Valeur non autorisée" error="Veuillez choisir une valeur depuis la liste dynamique REF_STATUTS_ACTION." sqref="S2:S1000" xr:uid="{00000000-0002-0000-0F00-000008000000}">
      <formula1>REF_STATUTS_ACTION</formula1>
    </dataValidation>
    <dataValidation type="list" allowBlank="1" showErrorMessage="1" errorTitle="Valeur non autorisée" error="Veuillez choisir une valeur depuis la liste dynamique REF_PRIORITES." sqref="U2:U1000" xr:uid="{00000000-0002-0000-0F00-000009000000}">
      <formula1>REF_PRIORITES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297"/>
  <sheetViews>
    <sheetView workbookViewId="0"/>
  </sheetViews>
  <sheetFormatPr baseColWidth="10" defaultColWidth="9" defaultRowHeight="14.25"/>
  <cols>
    <col min="1" max="2" width="14" customWidth="1"/>
    <col min="3" max="3" width="18" customWidth="1"/>
    <col min="4" max="4" width="28" customWidth="1"/>
    <col min="5" max="5" width="26" customWidth="1"/>
    <col min="6" max="6" width="42" customWidth="1"/>
    <col min="7" max="7" width="48" customWidth="1"/>
    <col min="8" max="8" width="16" customWidth="1"/>
    <col min="9" max="9" width="24" customWidth="1"/>
    <col min="10" max="10" width="14" customWidth="1"/>
    <col min="11" max="11" width="34" customWidth="1"/>
    <col min="12" max="12" width="18" customWidth="1"/>
    <col min="13" max="13" width="16" customWidth="1"/>
    <col min="14" max="14" width="42" customWidth="1"/>
    <col min="15" max="15" width="48" customWidth="1"/>
    <col min="16" max="16" width="22" customWidth="1"/>
    <col min="17" max="18" width="14" customWidth="1"/>
    <col min="19" max="19" width="16" customWidth="1"/>
    <col min="20" max="20" width="12" customWidth="1"/>
    <col min="21" max="21" width="10" customWidth="1"/>
    <col min="22" max="22" width="20" customWidth="1"/>
    <col min="23" max="23" width="36" customWidth="1"/>
  </cols>
  <sheetData>
    <row r="1" spans="1:23" ht="32.1" customHeight="1">
      <c r="A1" s="2" t="s">
        <v>39</v>
      </c>
      <c r="B1" s="2" t="s">
        <v>166</v>
      </c>
      <c r="C1" s="2" t="s">
        <v>167</v>
      </c>
      <c r="D1" s="2" t="s">
        <v>18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47</v>
      </c>
      <c r="N1" s="2" t="s">
        <v>176</v>
      </c>
      <c r="O1" s="2" t="s">
        <v>177</v>
      </c>
      <c r="P1" s="2" t="s">
        <v>178</v>
      </c>
      <c r="Q1" s="2" t="s">
        <v>179</v>
      </c>
      <c r="R1" s="2" t="s">
        <v>180</v>
      </c>
      <c r="S1" s="2" t="s">
        <v>181</v>
      </c>
      <c r="T1" s="2" t="s">
        <v>182</v>
      </c>
      <c r="U1" s="2" t="s">
        <v>183</v>
      </c>
      <c r="V1" s="2" t="s">
        <v>184</v>
      </c>
      <c r="W1" s="2" t="s">
        <v>185</v>
      </c>
    </row>
    <row r="2" spans="1:23" ht="28.5">
      <c r="A2" s="1" t="s">
        <v>537</v>
      </c>
      <c r="B2" s="8"/>
      <c r="C2" s="1"/>
      <c r="D2" s="1" t="s">
        <v>123</v>
      </c>
      <c r="E2" s="1" t="s">
        <v>538</v>
      </c>
      <c r="F2" s="1" t="s">
        <v>539</v>
      </c>
      <c r="G2" s="1" t="s">
        <v>540</v>
      </c>
      <c r="H2" s="1" t="s">
        <v>84</v>
      </c>
      <c r="I2" s="1" t="s">
        <v>223</v>
      </c>
      <c r="J2" s="1" t="s">
        <v>72</v>
      </c>
      <c r="K2" s="1" t="s">
        <v>538</v>
      </c>
      <c r="L2" s="1"/>
      <c r="M2" s="1" t="s">
        <v>61</v>
      </c>
      <c r="N2" s="1"/>
      <c r="O2" s="1"/>
      <c r="P2" s="1"/>
      <c r="Q2" s="8"/>
      <c r="R2" s="8"/>
      <c r="S2" s="1" t="s">
        <v>62</v>
      </c>
      <c r="T2" s="6">
        <f t="shared" ref="T2:T65" ca="1" si="0">IF(AND(S2&lt;&gt;"Clôturée",Q2&lt;&gt;"",TODAY()&gt;Q2),TODAY()-Q2,0)</f>
        <v>0</v>
      </c>
      <c r="U2" s="1" t="str">
        <f t="shared" ref="U2:U65" si="1">IF(M2="Critique","P1",IF(M2="Majeure","P2",IF(M2="Mineure","P3","")))</f>
        <v/>
      </c>
      <c r="V2" s="1" t="s">
        <v>541</v>
      </c>
      <c r="W2" s="1"/>
    </row>
    <row r="3" spans="1:23" ht="28.5">
      <c r="A3" s="1" t="s">
        <v>542</v>
      </c>
      <c r="B3" s="8"/>
      <c r="C3" s="1"/>
      <c r="D3" s="1" t="s">
        <v>123</v>
      </c>
      <c r="E3" s="1" t="s">
        <v>543</v>
      </c>
      <c r="F3" s="1" t="s">
        <v>544</v>
      </c>
      <c r="G3" s="1" t="s">
        <v>545</v>
      </c>
      <c r="H3" s="1" t="s">
        <v>84</v>
      </c>
      <c r="I3" s="1" t="s">
        <v>223</v>
      </c>
      <c r="J3" s="1" t="s">
        <v>72</v>
      </c>
      <c r="K3" s="1" t="s">
        <v>543</v>
      </c>
      <c r="L3" s="1"/>
      <c r="M3" s="1" t="s">
        <v>61</v>
      </c>
      <c r="N3" s="1"/>
      <c r="O3" s="1"/>
      <c r="P3" s="1"/>
      <c r="Q3" s="8"/>
      <c r="R3" s="8"/>
      <c r="S3" s="1" t="s">
        <v>62</v>
      </c>
      <c r="T3" s="6">
        <f t="shared" ca="1" si="0"/>
        <v>0</v>
      </c>
      <c r="U3" s="1" t="str">
        <f t="shared" si="1"/>
        <v/>
      </c>
      <c r="V3" s="1" t="s">
        <v>541</v>
      </c>
      <c r="W3" s="1"/>
    </row>
    <row r="4" spans="1:23" ht="28.5">
      <c r="A4" s="1" t="s">
        <v>546</v>
      </c>
      <c r="B4" s="8"/>
      <c r="C4" s="1"/>
      <c r="D4" s="1" t="s">
        <v>123</v>
      </c>
      <c r="E4" s="1" t="s">
        <v>547</v>
      </c>
      <c r="F4" s="1" t="s">
        <v>548</v>
      </c>
      <c r="G4" s="1" t="s">
        <v>549</v>
      </c>
      <c r="H4" s="1" t="s">
        <v>84</v>
      </c>
      <c r="I4" s="1" t="s">
        <v>223</v>
      </c>
      <c r="J4" s="1" t="s">
        <v>72</v>
      </c>
      <c r="K4" s="1" t="s">
        <v>547</v>
      </c>
      <c r="L4" s="1"/>
      <c r="M4" s="1" t="s">
        <v>61</v>
      </c>
      <c r="N4" s="1"/>
      <c r="O4" s="1"/>
      <c r="P4" s="1"/>
      <c r="Q4" s="8"/>
      <c r="R4" s="8"/>
      <c r="S4" s="1" t="s">
        <v>62</v>
      </c>
      <c r="T4" s="6">
        <f t="shared" ca="1" si="0"/>
        <v>0</v>
      </c>
      <c r="U4" s="1" t="str">
        <f t="shared" si="1"/>
        <v/>
      </c>
      <c r="V4" s="1" t="s">
        <v>541</v>
      </c>
      <c r="W4" s="1"/>
    </row>
    <row r="5" spans="1:23" ht="28.5">
      <c r="A5" s="1" t="s">
        <v>550</v>
      </c>
      <c r="B5" s="8"/>
      <c r="C5" s="1"/>
      <c r="D5" s="1" t="s">
        <v>123</v>
      </c>
      <c r="E5" s="1" t="s">
        <v>551</v>
      </c>
      <c r="F5" s="1" t="s">
        <v>552</v>
      </c>
      <c r="G5" s="1" t="s">
        <v>553</v>
      </c>
      <c r="H5" s="1" t="s">
        <v>84</v>
      </c>
      <c r="I5" s="1" t="s">
        <v>223</v>
      </c>
      <c r="J5" s="1" t="s">
        <v>72</v>
      </c>
      <c r="K5" s="1" t="s">
        <v>554</v>
      </c>
      <c r="L5" s="1"/>
      <c r="M5" s="1" t="s">
        <v>61</v>
      </c>
      <c r="N5" s="1"/>
      <c r="O5" s="1"/>
      <c r="P5" s="1"/>
      <c r="Q5" s="8"/>
      <c r="R5" s="8"/>
      <c r="S5" s="1" t="s">
        <v>62</v>
      </c>
      <c r="T5" s="6">
        <f t="shared" ca="1" si="0"/>
        <v>0</v>
      </c>
      <c r="U5" s="1" t="str">
        <f t="shared" si="1"/>
        <v/>
      </c>
      <c r="V5" s="1" t="s">
        <v>541</v>
      </c>
      <c r="W5" s="1"/>
    </row>
    <row r="6" spans="1:23" ht="28.5">
      <c r="A6" s="1" t="s">
        <v>555</v>
      </c>
      <c r="B6" s="8"/>
      <c r="C6" s="1"/>
      <c r="D6" s="1" t="s">
        <v>123</v>
      </c>
      <c r="E6" s="1" t="s">
        <v>556</v>
      </c>
      <c r="F6" s="1" t="s">
        <v>557</v>
      </c>
      <c r="G6" s="1" t="s">
        <v>558</v>
      </c>
      <c r="H6" s="1" t="s">
        <v>84</v>
      </c>
      <c r="I6" s="1" t="s">
        <v>223</v>
      </c>
      <c r="J6" s="1" t="s">
        <v>72</v>
      </c>
      <c r="K6" s="1" t="s">
        <v>559</v>
      </c>
      <c r="L6" s="1"/>
      <c r="M6" s="1" t="s">
        <v>61</v>
      </c>
      <c r="N6" s="1"/>
      <c r="O6" s="1"/>
      <c r="P6" s="1"/>
      <c r="Q6" s="8"/>
      <c r="R6" s="8"/>
      <c r="S6" s="1" t="s">
        <v>62</v>
      </c>
      <c r="T6" s="6">
        <f t="shared" ca="1" si="0"/>
        <v>0</v>
      </c>
      <c r="U6" s="1" t="str">
        <f t="shared" si="1"/>
        <v/>
      </c>
      <c r="V6" s="1" t="s">
        <v>541</v>
      </c>
      <c r="W6" s="1"/>
    </row>
    <row r="7" spans="1:23" ht="28.5">
      <c r="A7" s="1" t="s">
        <v>560</v>
      </c>
      <c r="B7" s="8"/>
      <c r="C7" s="1"/>
      <c r="D7" s="1" t="s">
        <v>123</v>
      </c>
      <c r="E7" s="1" t="s">
        <v>561</v>
      </c>
      <c r="F7" s="1" t="s">
        <v>562</v>
      </c>
      <c r="G7" s="1" t="s">
        <v>563</v>
      </c>
      <c r="H7" s="1" t="s">
        <v>84</v>
      </c>
      <c r="I7" s="1" t="s">
        <v>223</v>
      </c>
      <c r="J7" s="1" t="s">
        <v>72</v>
      </c>
      <c r="K7" s="1" t="s">
        <v>564</v>
      </c>
      <c r="L7" s="1"/>
      <c r="M7" s="1" t="s">
        <v>61</v>
      </c>
      <c r="N7" s="1"/>
      <c r="O7" s="1"/>
      <c r="P7" s="1"/>
      <c r="Q7" s="8"/>
      <c r="R7" s="8"/>
      <c r="S7" s="1" t="s">
        <v>62</v>
      </c>
      <c r="T7" s="6">
        <f t="shared" ca="1" si="0"/>
        <v>0</v>
      </c>
      <c r="U7" s="1" t="str">
        <f t="shared" si="1"/>
        <v/>
      </c>
      <c r="V7" s="1" t="s">
        <v>541</v>
      </c>
      <c r="W7" s="1"/>
    </row>
    <row r="8" spans="1:23">
      <c r="A8" s="1"/>
      <c r="B8" s="8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8"/>
      <c r="R8" s="8"/>
      <c r="S8" s="1"/>
      <c r="T8" s="6">
        <f t="shared" ca="1" si="0"/>
        <v>0</v>
      </c>
      <c r="U8" s="1" t="str">
        <f t="shared" si="1"/>
        <v/>
      </c>
      <c r="V8" s="1"/>
      <c r="W8" s="1"/>
    </row>
    <row r="9" spans="1:23">
      <c r="A9" s="1"/>
      <c r="B9" s="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8"/>
      <c r="R9" s="8"/>
      <c r="S9" s="1"/>
      <c r="T9" s="6">
        <f t="shared" ca="1" si="0"/>
        <v>0</v>
      </c>
      <c r="U9" s="1" t="str">
        <f t="shared" si="1"/>
        <v/>
      </c>
      <c r="V9" s="1"/>
      <c r="W9" s="1"/>
    </row>
    <row r="10" spans="1:23">
      <c r="A10" s="1"/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8"/>
      <c r="R10" s="8"/>
      <c r="S10" s="1"/>
      <c r="T10" s="6">
        <f t="shared" ca="1" si="0"/>
        <v>0</v>
      </c>
      <c r="U10" s="1" t="str">
        <f t="shared" si="1"/>
        <v/>
      </c>
      <c r="V10" s="1"/>
      <c r="W10" s="1"/>
    </row>
    <row r="11" spans="1:23">
      <c r="A11" s="1"/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8"/>
      <c r="R11" s="8"/>
      <c r="S11" s="1"/>
      <c r="T11" s="6">
        <f t="shared" ca="1" si="0"/>
        <v>0</v>
      </c>
      <c r="U11" s="1" t="str">
        <f t="shared" si="1"/>
        <v/>
      </c>
      <c r="V11" s="1"/>
      <c r="W11" s="1"/>
    </row>
    <row r="12" spans="1:23">
      <c r="A12" s="1"/>
      <c r="B12" s="8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8"/>
      <c r="R12" s="8"/>
      <c r="S12" s="1"/>
      <c r="T12" s="6">
        <f t="shared" ca="1" si="0"/>
        <v>0</v>
      </c>
      <c r="U12" s="1" t="str">
        <f t="shared" si="1"/>
        <v/>
      </c>
      <c r="V12" s="1"/>
      <c r="W12" s="1"/>
    </row>
    <row r="13" spans="1:23">
      <c r="A13" s="1"/>
      <c r="B13" s="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8"/>
      <c r="R13" s="8"/>
      <c r="S13" s="1"/>
      <c r="T13" s="6">
        <f t="shared" ca="1" si="0"/>
        <v>0</v>
      </c>
      <c r="U13" s="1" t="str">
        <f t="shared" si="1"/>
        <v/>
      </c>
      <c r="V13" s="1"/>
      <c r="W13" s="1"/>
    </row>
    <row r="14" spans="1:23">
      <c r="A14" s="1"/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8"/>
      <c r="R14" s="8"/>
      <c r="S14" s="1"/>
      <c r="T14" s="6">
        <f t="shared" ca="1" si="0"/>
        <v>0</v>
      </c>
      <c r="U14" s="1" t="str">
        <f t="shared" si="1"/>
        <v/>
      </c>
      <c r="V14" s="1"/>
      <c r="W14" s="1"/>
    </row>
    <row r="15" spans="1:23">
      <c r="A15" s="1"/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8"/>
      <c r="R15" s="8"/>
      <c r="S15" s="1"/>
      <c r="T15" s="6">
        <f t="shared" ca="1" si="0"/>
        <v>0</v>
      </c>
      <c r="U15" s="1" t="str">
        <f t="shared" si="1"/>
        <v/>
      </c>
      <c r="V15" s="1"/>
      <c r="W15" s="1"/>
    </row>
    <row r="16" spans="1:23">
      <c r="A16" s="1"/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8"/>
      <c r="R16" s="8"/>
      <c r="S16" s="1"/>
      <c r="T16" s="6">
        <f t="shared" ca="1" si="0"/>
        <v>0</v>
      </c>
      <c r="U16" s="1" t="str">
        <f t="shared" si="1"/>
        <v/>
      </c>
      <c r="V16" s="1"/>
      <c r="W16" s="1"/>
    </row>
    <row r="17" spans="1:23">
      <c r="A17" s="1"/>
      <c r="B17" s="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8"/>
      <c r="R17" s="8"/>
      <c r="S17" s="1"/>
      <c r="T17" s="6">
        <f t="shared" ca="1" si="0"/>
        <v>0</v>
      </c>
      <c r="U17" s="1" t="str">
        <f t="shared" si="1"/>
        <v/>
      </c>
      <c r="V17" s="1"/>
      <c r="W17" s="1"/>
    </row>
    <row r="18" spans="1:23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8"/>
      <c r="R18" s="8"/>
      <c r="S18" s="1"/>
      <c r="T18" s="6">
        <f t="shared" ca="1" si="0"/>
        <v>0</v>
      </c>
      <c r="U18" s="1" t="str">
        <f t="shared" si="1"/>
        <v/>
      </c>
      <c r="V18" s="1"/>
      <c r="W18" s="1"/>
    </row>
    <row r="19" spans="1:23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8"/>
      <c r="R19" s="8"/>
      <c r="S19" s="1"/>
      <c r="T19" s="6">
        <f t="shared" ca="1" si="0"/>
        <v>0</v>
      </c>
      <c r="U19" s="1" t="str">
        <f t="shared" si="1"/>
        <v/>
      </c>
      <c r="V19" s="1"/>
      <c r="W19" s="1"/>
    </row>
    <row r="20" spans="1:23">
      <c r="A20" s="1"/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8"/>
      <c r="R20" s="8"/>
      <c r="S20" s="1"/>
      <c r="T20" s="6">
        <f t="shared" ca="1" si="0"/>
        <v>0</v>
      </c>
      <c r="U20" s="1" t="str">
        <f t="shared" si="1"/>
        <v/>
      </c>
      <c r="V20" s="1"/>
      <c r="W20" s="1"/>
    </row>
    <row r="21" spans="1:23">
      <c r="A21" s="1"/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8"/>
      <c r="R21" s="8"/>
      <c r="S21" s="1"/>
      <c r="T21" s="6">
        <f t="shared" ca="1" si="0"/>
        <v>0</v>
      </c>
      <c r="U21" s="1" t="str">
        <f t="shared" si="1"/>
        <v/>
      </c>
      <c r="V21" s="1"/>
      <c r="W21" s="1"/>
    </row>
    <row r="22" spans="1:23">
      <c r="A22" s="1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8"/>
      <c r="R22" s="8"/>
      <c r="S22" s="1"/>
      <c r="T22" s="6">
        <f t="shared" ca="1" si="0"/>
        <v>0</v>
      </c>
      <c r="U22" s="1" t="str">
        <f t="shared" si="1"/>
        <v/>
      </c>
      <c r="V22" s="1"/>
      <c r="W22" s="1"/>
    </row>
    <row r="23" spans="1:23">
      <c r="A23" s="1"/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8"/>
      <c r="R23" s="8"/>
      <c r="S23" s="1"/>
      <c r="T23" s="6">
        <f t="shared" ca="1" si="0"/>
        <v>0</v>
      </c>
      <c r="U23" s="1" t="str">
        <f t="shared" si="1"/>
        <v/>
      </c>
      <c r="V23" s="1"/>
      <c r="W23" s="1"/>
    </row>
    <row r="24" spans="1:23">
      <c r="A24" s="1"/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8"/>
      <c r="R24" s="8"/>
      <c r="S24" s="1"/>
      <c r="T24" s="6">
        <f t="shared" ca="1" si="0"/>
        <v>0</v>
      </c>
      <c r="U24" s="1" t="str">
        <f t="shared" si="1"/>
        <v/>
      </c>
      <c r="V24" s="1"/>
      <c r="W24" s="1"/>
    </row>
    <row r="25" spans="1:23">
      <c r="A25" s="1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8"/>
      <c r="R25" s="8"/>
      <c r="S25" s="1"/>
      <c r="T25" s="6">
        <f t="shared" ca="1" si="0"/>
        <v>0</v>
      </c>
      <c r="U25" s="1" t="str">
        <f t="shared" si="1"/>
        <v/>
      </c>
      <c r="V25" s="1"/>
      <c r="W25" s="1"/>
    </row>
    <row r="26" spans="1:23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8"/>
      <c r="R26" s="8"/>
      <c r="S26" s="1"/>
      <c r="T26" s="6">
        <f t="shared" ca="1" si="0"/>
        <v>0</v>
      </c>
      <c r="U26" s="1" t="str">
        <f t="shared" si="1"/>
        <v/>
      </c>
      <c r="V26" s="1"/>
      <c r="W26" s="1"/>
    </row>
    <row r="27" spans="1:23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8"/>
      <c r="R27" s="8"/>
      <c r="S27" s="1"/>
      <c r="T27" s="6">
        <f t="shared" ca="1" si="0"/>
        <v>0</v>
      </c>
      <c r="U27" s="1" t="str">
        <f t="shared" si="1"/>
        <v/>
      </c>
      <c r="V27" s="1"/>
      <c r="W27" s="1"/>
    </row>
    <row r="28" spans="1:23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8"/>
      <c r="R28" s="8"/>
      <c r="S28" s="1"/>
      <c r="T28" s="6">
        <f t="shared" ca="1" si="0"/>
        <v>0</v>
      </c>
      <c r="U28" s="1" t="str">
        <f t="shared" si="1"/>
        <v/>
      </c>
      <c r="V28" s="1"/>
      <c r="W28" s="1"/>
    </row>
    <row r="29" spans="1:23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8"/>
      <c r="R29" s="8"/>
      <c r="S29" s="1"/>
      <c r="T29" s="6">
        <f t="shared" ca="1" si="0"/>
        <v>0</v>
      </c>
      <c r="U29" s="1" t="str">
        <f t="shared" si="1"/>
        <v/>
      </c>
      <c r="V29" s="1"/>
      <c r="W29" s="1"/>
    </row>
    <row r="30" spans="1:23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8"/>
      <c r="R30" s="8"/>
      <c r="S30" s="1"/>
      <c r="T30" s="6">
        <f t="shared" ca="1" si="0"/>
        <v>0</v>
      </c>
      <c r="U30" s="1" t="str">
        <f t="shared" si="1"/>
        <v/>
      </c>
      <c r="V30" s="1"/>
      <c r="W30" s="1"/>
    </row>
    <row r="31" spans="1:23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8"/>
      <c r="R31" s="8"/>
      <c r="S31" s="1"/>
      <c r="T31" s="6">
        <f t="shared" ca="1" si="0"/>
        <v>0</v>
      </c>
      <c r="U31" s="1" t="str">
        <f t="shared" si="1"/>
        <v/>
      </c>
      <c r="V31" s="1"/>
      <c r="W31" s="1"/>
    </row>
    <row r="32" spans="1:23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8"/>
      <c r="R32" s="8"/>
      <c r="S32" s="1"/>
      <c r="T32" s="6">
        <f t="shared" ca="1" si="0"/>
        <v>0</v>
      </c>
      <c r="U32" s="1" t="str">
        <f t="shared" si="1"/>
        <v/>
      </c>
      <c r="V32" s="1"/>
      <c r="W32" s="1"/>
    </row>
    <row r="33" spans="1:23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8"/>
      <c r="R33" s="8"/>
      <c r="S33" s="1"/>
      <c r="T33" s="6">
        <f t="shared" ca="1" si="0"/>
        <v>0</v>
      </c>
      <c r="U33" s="1" t="str">
        <f t="shared" si="1"/>
        <v/>
      </c>
      <c r="V33" s="1"/>
      <c r="W33" s="1"/>
    </row>
    <row r="34" spans="1:23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8"/>
      <c r="R34" s="8"/>
      <c r="S34" s="1"/>
      <c r="T34" s="6">
        <f t="shared" ca="1" si="0"/>
        <v>0</v>
      </c>
      <c r="U34" s="1" t="str">
        <f t="shared" si="1"/>
        <v/>
      </c>
      <c r="V34" s="1"/>
      <c r="W34" s="1"/>
    </row>
    <row r="35" spans="1:23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8"/>
      <c r="R35" s="8"/>
      <c r="S35" s="1"/>
      <c r="T35" s="6">
        <f t="shared" ca="1" si="0"/>
        <v>0</v>
      </c>
      <c r="U35" s="1" t="str">
        <f t="shared" si="1"/>
        <v/>
      </c>
      <c r="V35" s="1"/>
      <c r="W35" s="1"/>
    </row>
    <row r="36" spans="1:23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8"/>
      <c r="R36" s="8"/>
      <c r="S36" s="1"/>
      <c r="T36" s="6">
        <f t="shared" ca="1" si="0"/>
        <v>0</v>
      </c>
      <c r="U36" s="1" t="str">
        <f t="shared" si="1"/>
        <v/>
      </c>
      <c r="V36" s="1"/>
      <c r="W36" s="1"/>
    </row>
    <row r="37" spans="1:23">
      <c r="A37" s="1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8"/>
      <c r="R37" s="8"/>
      <c r="S37" s="1"/>
      <c r="T37" s="6">
        <f t="shared" ca="1" si="0"/>
        <v>0</v>
      </c>
      <c r="U37" s="1" t="str">
        <f t="shared" si="1"/>
        <v/>
      </c>
      <c r="V37" s="1"/>
      <c r="W37" s="1"/>
    </row>
    <row r="38" spans="1:23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8"/>
      <c r="R38" s="8"/>
      <c r="S38" s="1"/>
      <c r="T38" s="6">
        <f t="shared" ca="1" si="0"/>
        <v>0</v>
      </c>
      <c r="U38" s="1" t="str">
        <f t="shared" si="1"/>
        <v/>
      </c>
      <c r="V38" s="1"/>
      <c r="W38" s="1"/>
    </row>
    <row r="39" spans="1:23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8"/>
      <c r="R39" s="8"/>
      <c r="S39" s="1"/>
      <c r="T39" s="6">
        <f t="shared" ca="1" si="0"/>
        <v>0</v>
      </c>
      <c r="U39" s="1" t="str">
        <f t="shared" si="1"/>
        <v/>
      </c>
      <c r="V39" s="1"/>
      <c r="W39" s="1"/>
    </row>
    <row r="40" spans="1:23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1"/>
      <c r="T40" s="6">
        <f t="shared" ca="1" si="0"/>
        <v>0</v>
      </c>
      <c r="U40" s="1" t="str">
        <f t="shared" si="1"/>
        <v/>
      </c>
      <c r="V40" s="1"/>
      <c r="W40" s="1"/>
    </row>
    <row r="41" spans="1:23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1"/>
      <c r="T41" s="6">
        <f t="shared" ca="1" si="0"/>
        <v>0</v>
      </c>
      <c r="U41" s="1" t="str">
        <f t="shared" si="1"/>
        <v/>
      </c>
      <c r="V41" s="1"/>
      <c r="W41" s="1"/>
    </row>
    <row r="42" spans="1:23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1"/>
      <c r="T42" s="6">
        <f t="shared" ca="1" si="0"/>
        <v>0</v>
      </c>
      <c r="U42" s="1" t="str">
        <f t="shared" si="1"/>
        <v/>
      </c>
      <c r="V42" s="1"/>
      <c r="W42" s="1"/>
    </row>
    <row r="43" spans="1:23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1"/>
      <c r="T43" s="6">
        <f t="shared" ca="1" si="0"/>
        <v>0</v>
      </c>
      <c r="U43" s="1" t="str">
        <f t="shared" si="1"/>
        <v/>
      </c>
      <c r="V43" s="1"/>
      <c r="W43" s="1"/>
    </row>
    <row r="44" spans="1:23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1"/>
      <c r="T44" s="6">
        <f t="shared" ca="1" si="0"/>
        <v>0</v>
      </c>
      <c r="U44" s="1" t="str">
        <f t="shared" si="1"/>
        <v/>
      </c>
      <c r="V44" s="1"/>
      <c r="W44" s="1"/>
    </row>
    <row r="45" spans="1:23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1"/>
      <c r="T45" s="6">
        <f t="shared" ca="1" si="0"/>
        <v>0</v>
      </c>
      <c r="U45" s="1" t="str">
        <f t="shared" si="1"/>
        <v/>
      </c>
      <c r="V45" s="1"/>
      <c r="W45" s="1"/>
    </row>
    <row r="46" spans="1:23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8"/>
      <c r="R46" s="8"/>
      <c r="S46" s="1"/>
      <c r="T46" s="6">
        <f t="shared" ca="1" si="0"/>
        <v>0</v>
      </c>
      <c r="U46" s="1" t="str">
        <f t="shared" si="1"/>
        <v/>
      </c>
      <c r="V46" s="1"/>
      <c r="W46" s="1"/>
    </row>
    <row r="47" spans="1:23">
      <c r="A47" s="1"/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8"/>
      <c r="R47" s="8"/>
      <c r="S47" s="1"/>
      <c r="T47" s="6">
        <f t="shared" ca="1" si="0"/>
        <v>0</v>
      </c>
      <c r="U47" s="1" t="str">
        <f t="shared" si="1"/>
        <v/>
      </c>
      <c r="V47" s="1"/>
      <c r="W47" s="1"/>
    </row>
    <row r="48" spans="1:23">
      <c r="A48" s="1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8"/>
      <c r="R48" s="8"/>
      <c r="S48" s="1"/>
      <c r="T48" s="6">
        <f t="shared" ca="1" si="0"/>
        <v>0</v>
      </c>
      <c r="U48" s="1" t="str">
        <f t="shared" si="1"/>
        <v/>
      </c>
      <c r="V48" s="1"/>
      <c r="W48" s="1"/>
    </row>
    <row r="49" spans="1:23">
      <c r="A49" s="1"/>
      <c r="B49" s="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8"/>
      <c r="R49" s="8"/>
      <c r="S49" s="1"/>
      <c r="T49" s="6">
        <f t="shared" ca="1" si="0"/>
        <v>0</v>
      </c>
      <c r="U49" s="1" t="str">
        <f t="shared" si="1"/>
        <v/>
      </c>
      <c r="V49" s="1"/>
      <c r="W49" s="1"/>
    </row>
    <row r="50" spans="1:23">
      <c r="A50" s="1"/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8"/>
      <c r="R50" s="8"/>
      <c r="S50" s="1"/>
      <c r="T50" s="6">
        <f t="shared" ca="1" si="0"/>
        <v>0</v>
      </c>
      <c r="U50" s="1" t="str">
        <f t="shared" si="1"/>
        <v/>
      </c>
      <c r="V50" s="1"/>
      <c r="W50" s="1"/>
    </row>
    <row r="51" spans="1:23">
      <c r="A51" s="1"/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8"/>
      <c r="R51" s="8"/>
      <c r="S51" s="1"/>
      <c r="T51" s="6">
        <f t="shared" ca="1" si="0"/>
        <v>0</v>
      </c>
      <c r="U51" s="1" t="str">
        <f t="shared" si="1"/>
        <v/>
      </c>
      <c r="V51" s="1"/>
      <c r="W51" s="1"/>
    </row>
    <row r="52" spans="1:23">
      <c r="A52" s="1"/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8"/>
      <c r="R52" s="8"/>
      <c r="S52" s="1"/>
      <c r="T52" s="6">
        <f t="shared" ca="1" si="0"/>
        <v>0</v>
      </c>
      <c r="U52" s="1" t="str">
        <f t="shared" si="1"/>
        <v/>
      </c>
      <c r="V52" s="1"/>
      <c r="W52" s="1"/>
    </row>
    <row r="53" spans="1:23">
      <c r="A53" s="1"/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8"/>
      <c r="R53" s="8"/>
      <c r="S53" s="1"/>
      <c r="T53" s="6">
        <f t="shared" ca="1" si="0"/>
        <v>0</v>
      </c>
      <c r="U53" s="1" t="str">
        <f t="shared" si="1"/>
        <v/>
      </c>
      <c r="V53" s="1"/>
      <c r="W53" s="1"/>
    </row>
    <row r="54" spans="1:23">
      <c r="A54" s="1"/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8"/>
      <c r="R54" s="8"/>
      <c r="S54" s="1"/>
      <c r="T54" s="6">
        <f t="shared" ca="1" si="0"/>
        <v>0</v>
      </c>
      <c r="U54" s="1" t="str">
        <f t="shared" si="1"/>
        <v/>
      </c>
      <c r="V54" s="1"/>
      <c r="W54" s="1"/>
    </row>
    <row r="55" spans="1:23">
      <c r="A55" s="1"/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8"/>
      <c r="R55" s="8"/>
      <c r="S55" s="1"/>
      <c r="T55" s="6">
        <f t="shared" ca="1" si="0"/>
        <v>0</v>
      </c>
      <c r="U55" s="1" t="str">
        <f t="shared" si="1"/>
        <v/>
      </c>
      <c r="V55" s="1"/>
      <c r="W55" s="1"/>
    </row>
    <row r="56" spans="1:23">
      <c r="A56" s="1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8"/>
      <c r="R56" s="8"/>
      <c r="S56" s="1"/>
      <c r="T56" s="6">
        <f t="shared" ca="1" si="0"/>
        <v>0</v>
      </c>
      <c r="U56" s="1" t="str">
        <f t="shared" si="1"/>
        <v/>
      </c>
      <c r="V56" s="1"/>
      <c r="W56" s="1"/>
    </row>
    <row r="57" spans="1:23">
      <c r="A57" s="1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8"/>
      <c r="R57" s="8"/>
      <c r="S57" s="1"/>
      <c r="T57" s="6">
        <f t="shared" ca="1" si="0"/>
        <v>0</v>
      </c>
      <c r="U57" s="1" t="str">
        <f t="shared" si="1"/>
        <v/>
      </c>
      <c r="V57" s="1"/>
      <c r="W57" s="1"/>
    </row>
    <row r="58" spans="1:23">
      <c r="A58" s="1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8"/>
      <c r="R58" s="8"/>
      <c r="S58" s="1"/>
      <c r="T58" s="6">
        <f t="shared" ca="1" si="0"/>
        <v>0</v>
      </c>
      <c r="U58" s="1" t="str">
        <f t="shared" si="1"/>
        <v/>
      </c>
      <c r="V58" s="1"/>
      <c r="W58" s="1"/>
    </row>
    <row r="59" spans="1:23">
      <c r="A59" s="1"/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8"/>
      <c r="R59" s="8"/>
      <c r="S59" s="1"/>
      <c r="T59" s="6">
        <f t="shared" ca="1" si="0"/>
        <v>0</v>
      </c>
      <c r="U59" s="1" t="str">
        <f t="shared" si="1"/>
        <v/>
      </c>
      <c r="V59" s="1"/>
      <c r="W59" s="1"/>
    </row>
    <row r="60" spans="1:23">
      <c r="A60" s="1"/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8"/>
      <c r="R60" s="8"/>
      <c r="S60" s="1"/>
      <c r="T60" s="6">
        <f t="shared" ca="1" si="0"/>
        <v>0</v>
      </c>
      <c r="U60" s="1" t="str">
        <f t="shared" si="1"/>
        <v/>
      </c>
      <c r="V60" s="1"/>
      <c r="W60" s="1"/>
    </row>
    <row r="61" spans="1:23">
      <c r="A61" s="1"/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8"/>
      <c r="R61" s="8"/>
      <c r="S61" s="1"/>
      <c r="T61" s="6">
        <f t="shared" ca="1" si="0"/>
        <v>0</v>
      </c>
      <c r="U61" s="1" t="str">
        <f t="shared" si="1"/>
        <v/>
      </c>
      <c r="V61" s="1"/>
      <c r="W61" s="1"/>
    </row>
    <row r="62" spans="1:23">
      <c r="A62" s="1"/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8"/>
      <c r="R62" s="8"/>
      <c r="S62" s="1"/>
      <c r="T62" s="6">
        <f t="shared" ca="1" si="0"/>
        <v>0</v>
      </c>
      <c r="U62" s="1" t="str">
        <f t="shared" si="1"/>
        <v/>
      </c>
      <c r="V62" s="1"/>
      <c r="W62" s="1"/>
    </row>
    <row r="63" spans="1:23">
      <c r="A63" s="1"/>
      <c r="B63" s="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8"/>
      <c r="R63" s="8"/>
      <c r="S63" s="1"/>
      <c r="T63" s="6">
        <f t="shared" ca="1" si="0"/>
        <v>0</v>
      </c>
      <c r="U63" s="1" t="str">
        <f t="shared" si="1"/>
        <v/>
      </c>
      <c r="V63" s="1"/>
      <c r="W63" s="1"/>
    </row>
    <row r="64" spans="1:23">
      <c r="A64" s="1"/>
      <c r="B64" s="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8"/>
      <c r="R64" s="8"/>
      <c r="S64" s="1"/>
      <c r="T64" s="6">
        <f t="shared" ca="1" si="0"/>
        <v>0</v>
      </c>
      <c r="U64" s="1" t="str">
        <f t="shared" si="1"/>
        <v/>
      </c>
      <c r="V64" s="1"/>
      <c r="W64" s="1"/>
    </row>
    <row r="65" spans="1:23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8"/>
      <c r="R65" s="8"/>
      <c r="S65" s="1"/>
      <c r="T65" s="6">
        <f t="shared" ca="1" si="0"/>
        <v>0</v>
      </c>
      <c r="U65" s="1" t="str">
        <f t="shared" si="1"/>
        <v/>
      </c>
      <c r="V65" s="1"/>
      <c r="W65" s="1"/>
    </row>
    <row r="66" spans="1:23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8"/>
      <c r="R66" s="8"/>
      <c r="S66" s="1"/>
      <c r="T66" s="6">
        <f t="shared" ref="T66:T129" ca="1" si="2">IF(AND(S66&lt;&gt;"Clôturée",Q66&lt;&gt;"",TODAY()&gt;Q66),TODAY()-Q66,0)</f>
        <v>0</v>
      </c>
      <c r="U66" s="1" t="str">
        <f t="shared" ref="U66:U129" si="3">IF(M66="Critique","P1",IF(M66="Majeure","P2",IF(M66="Mineure","P3","")))</f>
        <v/>
      </c>
      <c r="V66" s="1"/>
      <c r="W66" s="1"/>
    </row>
    <row r="67" spans="1:23">
      <c r="A67" s="1"/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8"/>
      <c r="R67" s="8"/>
      <c r="S67" s="1"/>
      <c r="T67" s="6">
        <f t="shared" ca="1" si="2"/>
        <v>0</v>
      </c>
      <c r="U67" s="1" t="str">
        <f t="shared" si="3"/>
        <v/>
      </c>
      <c r="V67" s="1"/>
      <c r="W67" s="1"/>
    </row>
    <row r="68" spans="1:23">
      <c r="A68" s="1"/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8"/>
      <c r="R68" s="8"/>
      <c r="S68" s="1"/>
      <c r="T68" s="6">
        <f t="shared" ca="1" si="2"/>
        <v>0</v>
      </c>
      <c r="U68" s="1" t="str">
        <f t="shared" si="3"/>
        <v/>
      </c>
      <c r="V68" s="1"/>
      <c r="W68" s="1"/>
    </row>
    <row r="69" spans="1:23">
      <c r="A69" s="1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8"/>
      <c r="R69" s="8"/>
      <c r="S69" s="1"/>
      <c r="T69" s="6">
        <f t="shared" ca="1" si="2"/>
        <v>0</v>
      </c>
      <c r="U69" s="1" t="str">
        <f t="shared" si="3"/>
        <v/>
      </c>
      <c r="V69" s="1"/>
      <c r="W69" s="1"/>
    </row>
    <row r="70" spans="1:23">
      <c r="A70" s="1"/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8"/>
      <c r="R70" s="8"/>
      <c r="S70" s="1"/>
      <c r="T70" s="6">
        <f t="shared" ca="1" si="2"/>
        <v>0</v>
      </c>
      <c r="U70" s="1" t="str">
        <f t="shared" si="3"/>
        <v/>
      </c>
      <c r="V70" s="1"/>
      <c r="W70" s="1"/>
    </row>
    <row r="71" spans="1:23">
      <c r="A71" s="1"/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8"/>
      <c r="R71" s="8"/>
      <c r="S71" s="1"/>
      <c r="T71" s="6">
        <f t="shared" ca="1" si="2"/>
        <v>0</v>
      </c>
      <c r="U71" s="1" t="str">
        <f t="shared" si="3"/>
        <v/>
      </c>
      <c r="V71" s="1"/>
      <c r="W71" s="1"/>
    </row>
    <row r="72" spans="1:23">
      <c r="A72" s="1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8"/>
      <c r="R72" s="8"/>
      <c r="S72" s="1"/>
      <c r="T72" s="6">
        <f t="shared" ca="1" si="2"/>
        <v>0</v>
      </c>
      <c r="U72" s="1" t="str">
        <f t="shared" si="3"/>
        <v/>
      </c>
      <c r="V72" s="1"/>
      <c r="W72" s="1"/>
    </row>
    <row r="73" spans="1:23">
      <c r="A73" s="1"/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8"/>
      <c r="R73" s="8"/>
      <c r="S73" s="1"/>
      <c r="T73" s="6">
        <f t="shared" ca="1" si="2"/>
        <v>0</v>
      </c>
      <c r="U73" s="1" t="str">
        <f t="shared" si="3"/>
        <v/>
      </c>
      <c r="V73" s="1"/>
      <c r="W73" s="1"/>
    </row>
    <row r="74" spans="1:23">
      <c r="A74" s="1"/>
      <c r="B74" s="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8"/>
      <c r="R74" s="8"/>
      <c r="S74" s="1"/>
      <c r="T74" s="6">
        <f t="shared" ca="1" si="2"/>
        <v>0</v>
      </c>
      <c r="U74" s="1" t="str">
        <f t="shared" si="3"/>
        <v/>
      </c>
      <c r="V74" s="1"/>
      <c r="W74" s="1"/>
    </row>
    <row r="75" spans="1:23">
      <c r="A75" s="1"/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8"/>
      <c r="R75" s="8"/>
      <c r="S75" s="1"/>
      <c r="T75" s="6">
        <f t="shared" ca="1" si="2"/>
        <v>0</v>
      </c>
      <c r="U75" s="1" t="str">
        <f t="shared" si="3"/>
        <v/>
      </c>
      <c r="V75" s="1"/>
      <c r="W75" s="1"/>
    </row>
    <row r="76" spans="1:23">
      <c r="A76" s="1"/>
      <c r="B76" s="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8"/>
      <c r="R76" s="8"/>
      <c r="S76" s="1"/>
      <c r="T76" s="6">
        <f t="shared" ca="1" si="2"/>
        <v>0</v>
      </c>
      <c r="U76" s="1" t="str">
        <f t="shared" si="3"/>
        <v/>
      </c>
      <c r="V76" s="1"/>
      <c r="W76" s="1"/>
    </row>
    <row r="77" spans="1:23">
      <c r="A77" s="1"/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8"/>
      <c r="R77" s="8"/>
      <c r="S77" s="1"/>
      <c r="T77" s="6">
        <f t="shared" ca="1" si="2"/>
        <v>0</v>
      </c>
      <c r="U77" s="1" t="str">
        <f t="shared" si="3"/>
        <v/>
      </c>
      <c r="V77" s="1"/>
      <c r="W77" s="1"/>
    </row>
    <row r="78" spans="1:23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8"/>
      <c r="R78" s="8"/>
      <c r="S78" s="1"/>
      <c r="T78" s="6">
        <f t="shared" ca="1" si="2"/>
        <v>0</v>
      </c>
      <c r="U78" s="1" t="str">
        <f t="shared" si="3"/>
        <v/>
      </c>
      <c r="V78" s="1"/>
      <c r="W78" s="1"/>
    </row>
    <row r="79" spans="1:23">
      <c r="A79" s="1"/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8"/>
      <c r="R79" s="8"/>
      <c r="S79" s="1"/>
      <c r="T79" s="6">
        <f t="shared" ca="1" si="2"/>
        <v>0</v>
      </c>
      <c r="U79" s="1" t="str">
        <f t="shared" si="3"/>
        <v/>
      </c>
      <c r="V79" s="1"/>
      <c r="W79" s="1"/>
    </row>
    <row r="80" spans="1:23">
      <c r="A80" s="1"/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8"/>
      <c r="R80" s="8"/>
      <c r="S80" s="1"/>
      <c r="T80" s="6">
        <f t="shared" ca="1" si="2"/>
        <v>0</v>
      </c>
      <c r="U80" s="1" t="str">
        <f t="shared" si="3"/>
        <v/>
      </c>
      <c r="V80" s="1"/>
      <c r="W80" s="1"/>
    </row>
    <row r="81" spans="1:23">
      <c r="A81" s="1"/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8"/>
      <c r="R81" s="8"/>
      <c r="S81" s="1"/>
      <c r="T81" s="6">
        <f t="shared" ca="1" si="2"/>
        <v>0</v>
      </c>
      <c r="U81" s="1" t="str">
        <f t="shared" si="3"/>
        <v/>
      </c>
      <c r="V81" s="1"/>
      <c r="W81" s="1"/>
    </row>
    <row r="82" spans="1:23">
      <c r="A82" s="1"/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8"/>
      <c r="R82" s="8"/>
      <c r="S82" s="1"/>
      <c r="T82" s="6">
        <f t="shared" ca="1" si="2"/>
        <v>0</v>
      </c>
      <c r="U82" s="1" t="str">
        <f t="shared" si="3"/>
        <v/>
      </c>
      <c r="V82" s="1"/>
      <c r="W82" s="1"/>
    </row>
    <row r="83" spans="1:23">
      <c r="A83" s="1"/>
      <c r="B83" s="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8"/>
      <c r="R83" s="8"/>
      <c r="S83" s="1"/>
      <c r="T83" s="6">
        <f t="shared" ca="1" si="2"/>
        <v>0</v>
      </c>
      <c r="U83" s="1" t="str">
        <f t="shared" si="3"/>
        <v/>
      </c>
      <c r="V83" s="1"/>
      <c r="W83" s="1"/>
    </row>
    <row r="84" spans="1:23">
      <c r="A84" s="1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8"/>
      <c r="R84" s="8"/>
      <c r="S84" s="1"/>
      <c r="T84" s="6">
        <f t="shared" ca="1" si="2"/>
        <v>0</v>
      </c>
      <c r="U84" s="1" t="str">
        <f t="shared" si="3"/>
        <v/>
      </c>
      <c r="V84" s="1"/>
      <c r="W84" s="1"/>
    </row>
    <row r="85" spans="1:23">
      <c r="A85" s="1"/>
      <c r="B85" s="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8"/>
      <c r="R85" s="8"/>
      <c r="S85" s="1"/>
      <c r="T85" s="6">
        <f t="shared" ca="1" si="2"/>
        <v>0</v>
      </c>
      <c r="U85" s="1" t="str">
        <f t="shared" si="3"/>
        <v/>
      </c>
      <c r="V85" s="1"/>
      <c r="W85" s="1"/>
    </row>
    <row r="86" spans="1:23">
      <c r="A86" s="1"/>
      <c r="B86" s="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8"/>
      <c r="R86" s="8"/>
      <c r="S86" s="1"/>
      <c r="T86" s="6">
        <f t="shared" ca="1" si="2"/>
        <v>0</v>
      </c>
      <c r="U86" s="1" t="str">
        <f t="shared" si="3"/>
        <v/>
      </c>
      <c r="V86" s="1"/>
      <c r="W86" s="1"/>
    </row>
    <row r="87" spans="1:23">
      <c r="A87" s="1"/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8"/>
      <c r="R87" s="8"/>
      <c r="S87" s="1"/>
      <c r="T87" s="6">
        <f t="shared" ca="1" si="2"/>
        <v>0</v>
      </c>
      <c r="U87" s="1" t="str">
        <f t="shared" si="3"/>
        <v/>
      </c>
      <c r="V87" s="1"/>
      <c r="W87" s="1"/>
    </row>
    <row r="88" spans="1:23">
      <c r="A88" s="1"/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8"/>
      <c r="R88" s="8"/>
      <c r="S88" s="1"/>
      <c r="T88" s="6">
        <f t="shared" ca="1" si="2"/>
        <v>0</v>
      </c>
      <c r="U88" s="1" t="str">
        <f t="shared" si="3"/>
        <v/>
      </c>
      <c r="V88" s="1"/>
      <c r="W88" s="1"/>
    </row>
    <row r="89" spans="1:23">
      <c r="A89" s="1"/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8"/>
      <c r="R89" s="8"/>
      <c r="S89" s="1"/>
      <c r="T89" s="6">
        <f t="shared" ca="1" si="2"/>
        <v>0</v>
      </c>
      <c r="U89" s="1" t="str">
        <f t="shared" si="3"/>
        <v/>
      </c>
      <c r="V89" s="1"/>
      <c r="W89" s="1"/>
    </row>
    <row r="90" spans="1:23">
      <c r="A90" s="1"/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8"/>
      <c r="R90" s="8"/>
      <c r="S90" s="1"/>
      <c r="T90" s="6">
        <f t="shared" ca="1" si="2"/>
        <v>0</v>
      </c>
      <c r="U90" s="1" t="str">
        <f t="shared" si="3"/>
        <v/>
      </c>
      <c r="V90" s="1"/>
      <c r="W90" s="1"/>
    </row>
    <row r="91" spans="1:23">
      <c r="A91" s="1"/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8"/>
      <c r="R91" s="8"/>
      <c r="S91" s="1"/>
      <c r="T91" s="6">
        <f t="shared" ca="1" si="2"/>
        <v>0</v>
      </c>
      <c r="U91" s="1" t="str">
        <f t="shared" si="3"/>
        <v/>
      </c>
      <c r="V91" s="1"/>
      <c r="W91" s="1"/>
    </row>
    <row r="92" spans="1:23">
      <c r="A92" s="1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8"/>
      <c r="R92" s="8"/>
      <c r="S92" s="1"/>
      <c r="T92" s="6">
        <f t="shared" ca="1" si="2"/>
        <v>0</v>
      </c>
      <c r="U92" s="1" t="str">
        <f t="shared" si="3"/>
        <v/>
      </c>
      <c r="V92" s="1"/>
      <c r="W92" s="1"/>
    </row>
    <row r="93" spans="1:23">
      <c r="A93" s="1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8"/>
      <c r="R93" s="8"/>
      <c r="S93" s="1"/>
      <c r="T93" s="6">
        <f t="shared" ca="1" si="2"/>
        <v>0</v>
      </c>
      <c r="U93" s="1" t="str">
        <f t="shared" si="3"/>
        <v/>
      </c>
      <c r="V93" s="1"/>
      <c r="W93" s="1"/>
    </row>
    <row r="94" spans="1:23">
      <c r="A94" s="1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8"/>
      <c r="R94" s="8"/>
      <c r="S94" s="1"/>
      <c r="T94" s="6">
        <f t="shared" ca="1" si="2"/>
        <v>0</v>
      </c>
      <c r="U94" s="1" t="str">
        <f t="shared" si="3"/>
        <v/>
      </c>
      <c r="V94" s="1"/>
      <c r="W94" s="1"/>
    </row>
    <row r="95" spans="1:23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8"/>
      <c r="R95" s="8"/>
      <c r="S95" s="1"/>
      <c r="T95" s="6">
        <f t="shared" ca="1" si="2"/>
        <v>0</v>
      </c>
      <c r="U95" s="1" t="str">
        <f t="shared" si="3"/>
        <v/>
      </c>
      <c r="V95" s="1"/>
      <c r="W95" s="1"/>
    </row>
    <row r="96" spans="1:23">
      <c r="A96" s="1"/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8"/>
      <c r="R96" s="8"/>
      <c r="S96" s="1"/>
      <c r="T96" s="6">
        <f t="shared" ca="1" si="2"/>
        <v>0</v>
      </c>
      <c r="U96" s="1" t="str">
        <f t="shared" si="3"/>
        <v/>
      </c>
      <c r="V96" s="1"/>
      <c r="W96" s="1"/>
    </row>
    <row r="97" spans="1:23">
      <c r="A97" s="1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8"/>
      <c r="R97" s="8"/>
      <c r="S97" s="1"/>
      <c r="T97" s="6">
        <f t="shared" ca="1" si="2"/>
        <v>0</v>
      </c>
      <c r="U97" s="1" t="str">
        <f t="shared" si="3"/>
        <v/>
      </c>
      <c r="V97" s="1"/>
      <c r="W97" s="1"/>
    </row>
    <row r="98" spans="1:23">
      <c r="A98" s="1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8"/>
      <c r="R98" s="8"/>
      <c r="S98" s="1"/>
      <c r="T98" s="6">
        <f t="shared" ca="1" si="2"/>
        <v>0</v>
      </c>
      <c r="U98" s="1" t="str">
        <f t="shared" si="3"/>
        <v/>
      </c>
      <c r="V98" s="1"/>
      <c r="W98" s="1"/>
    </row>
    <row r="99" spans="1:23">
      <c r="A99" s="1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8"/>
      <c r="R99" s="8"/>
      <c r="S99" s="1"/>
      <c r="T99" s="6">
        <f t="shared" ca="1" si="2"/>
        <v>0</v>
      </c>
      <c r="U99" s="1" t="str">
        <f t="shared" si="3"/>
        <v/>
      </c>
      <c r="V99" s="1"/>
      <c r="W99" s="1"/>
    </row>
    <row r="100" spans="1:23">
      <c r="A100" s="1"/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8"/>
      <c r="R100" s="8"/>
      <c r="S100" s="1"/>
      <c r="T100" s="6">
        <f t="shared" ca="1" si="2"/>
        <v>0</v>
      </c>
      <c r="U100" s="1" t="str">
        <f t="shared" si="3"/>
        <v/>
      </c>
      <c r="V100" s="1"/>
      <c r="W100" s="1"/>
    </row>
    <row r="101" spans="1:23">
      <c r="A101" s="1"/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8"/>
      <c r="R101" s="8"/>
      <c r="S101" s="1"/>
      <c r="T101" s="6">
        <f t="shared" ca="1" si="2"/>
        <v>0</v>
      </c>
      <c r="U101" s="1" t="str">
        <f t="shared" si="3"/>
        <v/>
      </c>
      <c r="V101" s="1"/>
      <c r="W101" s="1"/>
    </row>
    <row r="102" spans="1:23">
      <c r="A102" s="1"/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8"/>
      <c r="R102" s="8"/>
      <c r="S102" s="1"/>
      <c r="T102" s="6">
        <f t="shared" ca="1" si="2"/>
        <v>0</v>
      </c>
      <c r="U102" s="1" t="str">
        <f t="shared" si="3"/>
        <v/>
      </c>
      <c r="V102" s="1"/>
      <c r="W102" s="1"/>
    </row>
    <row r="103" spans="1:23">
      <c r="A103" s="1"/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8"/>
      <c r="R103" s="8"/>
      <c r="S103" s="1"/>
      <c r="T103" s="6">
        <f t="shared" ca="1" si="2"/>
        <v>0</v>
      </c>
      <c r="U103" s="1" t="str">
        <f t="shared" si="3"/>
        <v/>
      </c>
      <c r="V103" s="1"/>
      <c r="W103" s="1"/>
    </row>
    <row r="104" spans="1:23">
      <c r="A104" s="1"/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8"/>
      <c r="R104" s="8"/>
      <c r="S104" s="1"/>
      <c r="T104" s="6">
        <f t="shared" ca="1" si="2"/>
        <v>0</v>
      </c>
      <c r="U104" s="1" t="str">
        <f t="shared" si="3"/>
        <v/>
      </c>
      <c r="V104" s="1"/>
      <c r="W104" s="1"/>
    </row>
    <row r="105" spans="1:23">
      <c r="A105" s="1"/>
      <c r="B105" s="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8"/>
      <c r="R105" s="8"/>
      <c r="S105" s="1"/>
      <c r="T105" s="6">
        <f t="shared" ca="1" si="2"/>
        <v>0</v>
      </c>
      <c r="U105" s="1" t="str">
        <f t="shared" si="3"/>
        <v/>
      </c>
      <c r="V105" s="1"/>
      <c r="W105" s="1"/>
    </row>
    <row r="106" spans="1:23">
      <c r="A106" s="1"/>
      <c r="B106" s="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8"/>
      <c r="R106" s="8"/>
      <c r="S106" s="1"/>
      <c r="T106" s="6">
        <f t="shared" ca="1" si="2"/>
        <v>0</v>
      </c>
      <c r="U106" s="1" t="str">
        <f t="shared" si="3"/>
        <v/>
      </c>
      <c r="V106" s="1"/>
      <c r="W106" s="1"/>
    </row>
    <row r="107" spans="1:23">
      <c r="A107" s="1"/>
      <c r="B107" s="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8"/>
      <c r="R107" s="8"/>
      <c r="S107" s="1"/>
      <c r="T107" s="6">
        <f t="shared" ca="1" si="2"/>
        <v>0</v>
      </c>
      <c r="U107" s="1" t="str">
        <f t="shared" si="3"/>
        <v/>
      </c>
      <c r="V107" s="1"/>
      <c r="W107" s="1"/>
    </row>
    <row r="108" spans="1:23">
      <c r="A108" s="1"/>
      <c r="B108" s="8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8"/>
      <c r="R108" s="8"/>
      <c r="S108" s="1"/>
      <c r="T108" s="6">
        <f t="shared" ca="1" si="2"/>
        <v>0</v>
      </c>
      <c r="U108" s="1" t="str">
        <f t="shared" si="3"/>
        <v/>
      </c>
      <c r="V108" s="1"/>
      <c r="W108" s="1"/>
    </row>
    <row r="109" spans="1:23">
      <c r="A109" s="1"/>
      <c r="B109" s="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8"/>
      <c r="R109" s="8"/>
      <c r="S109" s="1"/>
      <c r="T109" s="6">
        <f t="shared" ca="1" si="2"/>
        <v>0</v>
      </c>
      <c r="U109" s="1" t="str">
        <f t="shared" si="3"/>
        <v/>
      </c>
      <c r="V109" s="1"/>
      <c r="W109" s="1"/>
    </row>
    <row r="110" spans="1:23">
      <c r="A110" s="1"/>
      <c r="B110" s="8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8"/>
      <c r="R110" s="8"/>
      <c r="S110" s="1"/>
      <c r="T110" s="6">
        <f t="shared" ca="1" si="2"/>
        <v>0</v>
      </c>
      <c r="U110" s="1" t="str">
        <f t="shared" si="3"/>
        <v/>
      </c>
      <c r="V110" s="1"/>
      <c r="W110" s="1"/>
    </row>
    <row r="111" spans="1:23">
      <c r="A111" s="1"/>
      <c r="B111" s="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8"/>
      <c r="R111" s="8"/>
      <c r="S111" s="1"/>
      <c r="T111" s="6">
        <f t="shared" ca="1" si="2"/>
        <v>0</v>
      </c>
      <c r="U111" s="1" t="str">
        <f t="shared" si="3"/>
        <v/>
      </c>
      <c r="V111" s="1"/>
      <c r="W111" s="1"/>
    </row>
    <row r="112" spans="1:23">
      <c r="A112" s="1"/>
      <c r="B112" s="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8"/>
      <c r="R112" s="8"/>
      <c r="S112" s="1"/>
      <c r="T112" s="6">
        <f t="shared" ca="1" si="2"/>
        <v>0</v>
      </c>
      <c r="U112" s="1" t="str">
        <f t="shared" si="3"/>
        <v/>
      </c>
      <c r="V112" s="1"/>
      <c r="W112" s="1"/>
    </row>
    <row r="113" spans="1:23">
      <c r="A113" s="1"/>
      <c r="B113" s="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8"/>
      <c r="R113" s="8"/>
      <c r="S113" s="1"/>
      <c r="T113" s="6">
        <f t="shared" ca="1" si="2"/>
        <v>0</v>
      </c>
      <c r="U113" s="1" t="str">
        <f t="shared" si="3"/>
        <v/>
      </c>
      <c r="V113" s="1"/>
      <c r="W113" s="1"/>
    </row>
    <row r="114" spans="1:23">
      <c r="A114" s="1"/>
      <c r="B114" s="8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8"/>
      <c r="R114" s="8"/>
      <c r="S114" s="1"/>
      <c r="T114" s="6">
        <f t="shared" ca="1" si="2"/>
        <v>0</v>
      </c>
      <c r="U114" s="1" t="str">
        <f t="shared" si="3"/>
        <v/>
      </c>
      <c r="V114" s="1"/>
      <c r="W114" s="1"/>
    </row>
    <row r="115" spans="1:23">
      <c r="A115" s="1"/>
      <c r="B115" s="8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8"/>
      <c r="R115" s="8"/>
      <c r="S115" s="1"/>
      <c r="T115" s="6">
        <f t="shared" ca="1" si="2"/>
        <v>0</v>
      </c>
      <c r="U115" s="1" t="str">
        <f t="shared" si="3"/>
        <v/>
      </c>
      <c r="V115" s="1"/>
      <c r="W115" s="1"/>
    </row>
    <row r="116" spans="1:23">
      <c r="A116" s="1"/>
      <c r="B116" s="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8"/>
      <c r="R116" s="8"/>
      <c r="S116" s="1"/>
      <c r="T116" s="6">
        <f t="shared" ca="1" si="2"/>
        <v>0</v>
      </c>
      <c r="U116" s="1" t="str">
        <f t="shared" si="3"/>
        <v/>
      </c>
      <c r="V116" s="1"/>
      <c r="W116" s="1"/>
    </row>
    <row r="117" spans="1:23">
      <c r="A117" s="1"/>
      <c r="B117" s="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8"/>
      <c r="R117" s="8"/>
      <c r="S117" s="1"/>
      <c r="T117" s="6">
        <f t="shared" ca="1" si="2"/>
        <v>0</v>
      </c>
      <c r="U117" s="1" t="str">
        <f t="shared" si="3"/>
        <v/>
      </c>
      <c r="V117" s="1"/>
      <c r="W117" s="1"/>
    </row>
    <row r="118" spans="1:23">
      <c r="A118" s="1"/>
      <c r="B118" s="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8"/>
      <c r="R118" s="8"/>
      <c r="S118" s="1"/>
      <c r="T118" s="6">
        <f t="shared" ca="1" si="2"/>
        <v>0</v>
      </c>
      <c r="U118" s="1" t="str">
        <f t="shared" si="3"/>
        <v/>
      </c>
      <c r="V118" s="1"/>
      <c r="W118" s="1"/>
    </row>
    <row r="119" spans="1:23">
      <c r="A119" s="1"/>
      <c r="B119" s="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8"/>
      <c r="R119" s="8"/>
      <c r="S119" s="1"/>
      <c r="T119" s="6">
        <f t="shared" ca="1" si="2"/>
        <v>0</v>
      </c>
      <c r="U119" s="1" t="str">
        <f t="shared" si="3"/>
        <v/>
      </c>
      <c r="V119" s="1"/>
      <c r="W119" s="1"/>
    </row>
    <row r="120" spans="1:23">
      <c r="A120" s="1"/>
      <c r="B120" s="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8"/>
      <c r="R120" s="8"/>
      <c r="S120" s="1"/>
      <c r="T120" s="6">
        <f t="shared" ca="1" si="2"/>
        <v>0</v>
      </c>
      <c r="U120" s="1" t="str">
        <f t="shared" si="3"/>
        <v/>
      </c>
      <c r="V120" s="1"/>
      <c r="W120" s="1"/>
    </row>
    <row r="121" spans="1:23">
      <c r="A121" s="1"/>
      <c r="B121" s="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8"/>
      <c r="R121" s="8"/>
      <c r="S121" s="1"/>
      <c r="T121" s="6">
        <f t="shared" ca="1" si="2"/>
        <v>0</v>
      </c>
      <c r="U121" s="1" t="str">
        <f t="shared" si="3"/>
        <v/>
      </c>
      <c r="V121" s="1"/>
      <c r="W121" s="1"/>
    </row>
    <row r="122" spans="1:23">
      <c r="A122" s="1"/>
      <c r="B122" s="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8"/>
      <c r="R122" s="8"/>
      <c r="S122" s="1"/>
      <c r="T122" s="6">
        <f t="shared" ca="1" si="2"/>
        <v>0</v>
      </c>
      <c r="U122" s="1" t="str">
        <f t="shared" si="3"/>
        <v/>
      </c>
      <c r="V122" s="1"/>
      <c r="W122" s="1"/>
    </row>
    <row r="123" spans="1:23">
      <c r="A123" s="1"/>
      <c r="B123" s="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8"/>
      <c r="R123" s="8"/>
      <c r="S123" s="1"/>
      <c r="T123" s="6">
        <f t="shared" ca="1" si="2"/>
        <v>0</v>
      </c>
      <c r="U123" s="1" t="str">
        <f t="shared" si="3"/>
        <v/>
      </c>
      <c r="V123" s="1"/>
      <c r="W123" s="1"/>
    </row>
    <row r="124" spans="1:23">
      <c r="A124" s="1"/>
      <c r="B124" s="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8"/>
      <c r="R124" s="8"/>
      <c r="S124" s="1"/>
      <c r="T124" s="6">
        <f t="shared" ca="1" si="2"/>
        <v>0</v>
      </c>
      <c r="U124" s="1" t="str">
        <f t="shared" si="3"/>
        <v/>
      </c>
      <c r="V124" s="1"/>
      <c r="W124" s="1"/>
    </row>
    <row r="125" spans="1:23">
      <c r="A125" s="1"/>
      <c r="B125" s="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8"/>
      <c r="R125" s="8"/>
      <c r="S125" s="1"/>
      <c r="T125" s="6">
        <f t="shared" ca="1" si="2"/>
        <v>0</v>
      </c>
      <c r="U125" s="1" t="str">
        <f t="shared" si="3"/>
        <v/>
      </c>
      <c r="V125" s="1"/>
      <c r="W125" s="1"/>
    </row>
    <row r="126" spans="1:23">
      <c r="A126" s="1"/>
      <c r="B126" s="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8"/>
      <c r="R126" s="8"/>
      <c r="S126" s="1"/>
      <c r="T126" s="6">
        <f t="shared" ca="1" si="2"/>
        <v>0</v>
      </c>
      <c r="U126" s="1" t="str">
        <f t="shared" si="3"/>
        <v/>
      </c>
      <c r="V126" s="1"/>
      <c r="W126" s="1"/>
    </row>
    <row r="127" spans="1:23">
      <c r="A127" s="1"/>
      <c r="B127" s="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8"/>
      <c r="R127" s="8"/>
      <c r="S127" s="1"/>
      <c r="T127" s="6">
        <f t="shared" ca="1" si="2"/>
        <v>0</v>
      </c>
      <c r="U127" s="1" t="str">
        <f t="shared" si="3"/>
        <v/>
      </c>
      <c r="V127" s="1"/>
      <c r="W127" s="1"/>
    </row>
    <row r="128" spans="1:23">
      <c r="A128" s="1"/>
      <c r="B128" s="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8"/>
      <c r="R128" s="8"/>
      <c r="S128" s="1"/>
      <c r="T128" s="6">
        <f t="shared" ca="1" si="2"/>
        <v>0</v>
      </c>
      <c r="U128" s="1" t="str">
        <f t="shared" si="3"/>
        <v/>
      </c>
      <c r="V128" s="1"/>
      <c r="W128" s="1"/>
    </row>
    <row r="129" spans="1:23">
      <c r="A129" s="1"/>
      <c r="B129" s="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8"/>
      <c r="R129" s="8"/>
      <c r="S129" s="1"/>
      <c r="T129" s="6">
        <f t="shared" ca="1" si="2"/>
        <v>0</v>
      </c>
      <c r="U129" s="1" t="str">
        <f t="shared" si="3"/>
        <v/>
      </c>
      <c r="V129" s="1"/>
      <c r="W129" s="1"/>
    </row>
    <row r="130" spans="1:23">
      <c r="A130" s="1"/>
      <c r="B130" s="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8"/>
      <c r="R130" s="8"/>
      <c r="S130" s="1"/>
      <c r="T130" s="6">
        <f t="shared" ref="T130:T193" ca="1" si="4">IF(AND(S130&lt;&gt;"Clôturée",Q130&lt;&gt;"",TODAY()&gt;Q130),TODAY()-Q130,0)</f>
        <v>0</v>
      </c>
      <c r="U130" s="1" t="str">
        <f t="shared" ref="U130:U193" si="5">IF(M130="Critique","P1",IF(M130="Majeure","P2",IF(M130="Mineure","P3","")))</f>
        <v/>
      </c>
      <c r="V130" s="1"/>
      <c r="W130" s="1"/>
    </row>
    <row r="131" spans="1:23">
      <c r="A131" s="1"/>
      <c r="B131" s="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8"/>
      <c r="R131" s="8"/>
      <c r="S131" s="1"/>
      <c r="T131" s="6">
        <f t="shared" ca="1" si="4"/>
        <v>0</v>
      </c>
      <c r="U131" s="1" t="str">
        <f t="shared" si="5"/>
        <v/>
      </c>
      <c r="V131" s="1"/>
      <c r="W131" s="1"/>
    </row>
    <row r="132" spans="1:23">
      <c r="A132" s="1"/>
      <c r="B132" s="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8"/>
      <c r="R132" s="8"/>
      <c r="S132" s="1"/>
      <c r="T132" s="6">
        <f t="shared" ca="1" si="4"/>
        <v>0</v>
      </c>
      <c r="U132" s="1" t="str">
        <f t="shared" si="5"/>
        <v/>
      </c>
      <c r="V132" s="1"/>
      <c r="W132" s="1"/>
    </row>
    <row r="133" spans="1:23">
      <c r="A133" s="1"/>
      <c r="B133" s="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8"/>
      <c r="R133" s="8"/>
      <c r="S133" s="1"/>
      <c r="T133" s="6">
        <f t="shared" ca="1" si="4"/>
        <v>0</v>
      </c>
      <c r="U133" s="1" t="str">
        <f t="shared" si="5"/>
        <v/>
      </c>
      <c r="V133" s="1"/>
      <c r="W133" s="1"/>
    </row>
    <row r="134" spans="1:23">
      <c r="A134" s="1"/>
      <c r="B134" s="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8"/>
      <c r="R134" s="8"/>
      <c r="S134" s="1"/>
      <c r="T134" s="6">
        <f t="shared" ca="1" si="4"/>
        <v>0</v>
      </c>
      <c r="U134" s="1" t="str">
        <f t="shared" si="5"/>
        <v/>
      </c>
      <c r="V134" s="1"/>
      <c r="W134" s="1"/>
    </row>
    <row r="135" spans="1:23">
      <c r="A135" s="1"/>
      <c r="B135" s="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8"/>
      <c r="R135" s="8"/>
      <c r="S135" s="1"/>
      <c r="T135" s="6">
        <f t="shared" ca="1" si="4"/>
        <v>0</v>
      </c>
      <c r="U135" s="1" t="str">
        <f t="shared" si="5"/>
        <v/>
      </c>
      <c r="V135" s="1"/>
      <c r="W135" s="1"/>
    </row>
    <row r="136" spans="1:23">
      <c r="A136" s="1"/>
      <c r="B136" s="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8"/>
      <c r="R136" s="8"/>
      <c r="S136" s="1"/>
      <c r="T136" s="6">
        <f t="shared" ca="1" si="4"/>
        <v>0</v>
      </c>
      <c r="U136" s="1" t="str">
        <f t="shared" si="5"/>
        <v/>
      </c>
      <c r="V136" s="1"/>
      <c r="W136" s="1"/>
    </row>
    <row r="137" spans="1:23">
      <c r="A137" s="1"/>
      <c r="B137" s="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8"/>
      <c r="R137" s="8"/>
      <c r="S137" s="1"/>
      <c r="T137" s="6">
        <f t="shared" ca="1" si="4"/>
        <v>0</v>
      </c>
      <c r="U137" s="1" t="str">
        <f t="shared" si="5"/>
        <v/>
      </c>
      <c r="V137" s="1"/>
      <c r="W137" s="1"/>
    </row>
    <row r="138" spans="1:23">
      <c r="A138" s="1"/>
      <c r="B138" s="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8"/>
      <c r="R138" s="8"/>
      <c r="S138" s="1"/>
      <c r="T138" s="6">
        <f t="shared" ca="1" si="4"/>
        <v>0</v>
      </c>
      <c r="U138" s="1" t="str">
        <f t="shared" si="5"/>
        <v/>
      </c>
      <c r="V138" s="1"/>
      <c r="W138" s="1"/>
    </row>
    <row r="139" spans="1:23">
      <c r="A139" s="1"/>
      <c r="B139" s="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8"/>
      <c r="R139" s="8"/>
      <c r="S139" s="1"/>
      <c r="T139" s="6">
        <f t="shared" ca="1" si="4"/>
        <v>0</v>
      </c>
      <c r="U139" s="1" t="str">
        <f t="shared" si="5"/>
        <v/>
      </c>
      <c r="V139" s="1"/>
      <c r="W139" s="1"/>
    </row>
    <row r="140" spans="1:23">
      <c r="A140" s="1"/>
      <c r="B140" s="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8"/>
      <c r="R140" s="8"/>
      <c r="S140" s="1"/>
      <c r="T140" s="6">
        <f t="shared" ca="1" si="4"/>
        <v>0</v>
      </c>
      <c r="U140" s="1" t="str">
        <f t="shared" si="5"/>
        <v/>
      </c>
      <c r="V140" s="1"/>
      <c r="W140" s="1"/>
    </row>
    <row r="141" spans="1:23">
      <c r="A141" s="1"/>
      <c r="B141" s="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8"/>
      <c r="R141" s="8"/>
      <c r="S141" s="1"/>
      <c r="T141" s="6">
        <f t="shared" ca="1" si="4"/>
        <v>0</v>
      </c>
      <c r="U141" s="1" t="str">
        <f t="shared" si="5"/>
        <v/>
      </c>
      <c r="V141" s="1"/>
      <c r="W141" s="1"/>
    </row>
    <row r="142" spans="1:23">
      <c r="A142" s="1"/>
      <c r="B142" s="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8"/>
      <c r="R142" s="8"/>
      <c r="S142" s="1"/>
      <c r="T142" s="6">
        <f t="shared" ca="1" si="4"/>
        <v>0</v>
      </c>
      <c r="U142" s="1" t="str">
        <f t="shared" si="5"/>
        <v/>
      </c>
      <c r="V142" s="1"/>
      <c r="W142" s="1"/>
    </row>
    <row r="143" spans="1:23">
      <c r="A143" s="1"/>
      <c r="B143" s="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8"/>
      <c r="R143" s="8"/>
      <c r="S143" s="1"/>
      <c r="T143" s="6">
        <f t="shared" ca="1" si="4"/>
        <v>0</v>
      </c>
      <c r="U143" s="1" t="str">
        <f t="shared" si="5"/>
        <v/>
      </c>
      <c r="V143" s="1"/>
      <c r="W143" s="1"/>
    </row>
    <row r="144" spans="1:23">
      <c r="A144" s="1"/>
      <c r="B144" s="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8"/>
      <c r="R144" s="8"/>
      <c r="S144" s="1"/>
      <c r="T144" s="6">
        <f t="shared" ca="1" si="4"/>
        <v>0</v>
      </c>
      <c r="U144" s="1" t="str">
        <f t="shared" si="5"/>
        <v/>
      </c>
      <c r="V144" s="1"/>
      <c r="W144" s="1"/>
    </row>
    <row r="145" spans="1:23">
      <c r="A145" s="1"/>
      <c r="B145" s="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8"/>
      <c r="R145" s="8"/>
      <c r="S145" s="1"/>
      <c r="T145" s="6">
        <f t="shared" ca="1" si="4"/>
        <v>0</v>
      </c>
      <c r="U145" s="1" t="str">
        <f t="shared" si="5"/>
        <v/>
      </c>
      <c r="V145" s="1"/>
      <c r="W145" s="1"/>
    </row>
    <row r="146" spans="1:23">
      <c r="A146" s="1"/>
      <c r="B146" s="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8"/>
      <c r="R146" s="8"/>
      <c r="S146" s="1"/>
      <c r="T146" s="6">
        <f t="shared" ca="1" si="4"/>
        <v>0</v>
      </c>
      <c r="U146" s="1" t="str">
        <f t="shared" si="5"/>
        <v/>
      </c>
      <c r="V146" s="1"/>
      <c r="W146" s="1"/>
    </row>
    <row r="147" spans="1:23">
      <c r="A147" s="1"/>
      <c r="B147" s="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8"/>
      <c r="R147" s="8"/>
      <c r="S147" s="1"/>
      <c r="T147" s="6">
        <f t="shared" ca="1" si="4"/>
        <v>0</v>
      </c>
      <c r="U147" s="1" t="str">
        <f t="shared" si="5"/>
        <v/>
      </c>
      <c r="V147" s="1"/>
      <c r="W147" s="1"/>
    </row>
    <row r="148" spans="1:23">
      <c r="A148" s="1"/>
      <c r="B148" s="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8"/>
      <c r="R148" s="8"/>
      <c r="S148" s="1"/>
      <c r="T148" s="6">
        <f t="shared" ca="1" si="4"/>
        <v>0</v>
      </c>
      <c r="U148" s="1" t="str">
        <f t="shared" si="5"/>
        <v/>
      </c>
      <c r="V148" s="1"/>
      <c r="W148" s="1"/>
    </row>
    <row r="149" spans="1:23">
      <c r="A149" s="1"/>
      <c r="B149" s="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8"/>
      <c r="R149" s="8"/>
      <c r="S149" s="1"/>
      <c r="T149" s="6">
        <f t="shared" ca="1" si="4"/>
        <v>0</v>
      </c>
      <c r="U149" s="1" t="str">
        <f t="shared" si="5"/>
        <v/>
      </c>
      <c r="V149" s="1"/>
      <c r="W149" s="1"/>
    </row>
    <row r="150" spans="1:23">
      <c r="A150" s="1"/>
      <c r="B150" s="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8"/>
      <c r="R150" s="8"/>
      <c r="S150" s="1"/>
      <c r="T150" s="6">
        <f t="shared" ca="1" si="4"/>
        <v>0</v>
      </c>
      <c r="U150" s="1" t="str">
        <f t="shared" si="5"/>
        <v/>
      </c>
      <c r="V150" s="1"/>
      <c r="W150" s="1"/>
    </row>
    <row r="151" spans="1:23">
      <c r="A151" s="1"/>
      <c r="B151" s="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8"/>
      <c r="R151" s="8"/>
      <c r="S151" s="1"/>
      <c r="T151" s="6">
        <f t="shared" ca="1" si="4"/>
        <v>0</v>
      </c>
      <c r="U151" s="1" t="str">
        <f t="shared" si="5"/>
        <v/>
      </c>
      <c r="V151" s="1"/>
      <c r="W151" s="1"/>
    </row>
    <row r="152" spans="1:23">
      <c r="A152" s="1"/>
      <c r="B152" s="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8"/>
      <c r="R152" s="8"/>
      <c r="S152" s="1"/>
      <c r="T152" s="6">
        <f t="shared" ca="1" si="4"/>
        <v>0</v>
      </c>
      <c r="U152" s="1" t="str">
        <f t="shared" si="5"/>
        <v/>
      </c>
      <c r="V152" s="1"/>
      <c r="W152" s="1"/>
    </row>
    <row r="153" spans="1:23">
      <c r="A153" s="1"/>
      <c r="B153" s="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8"/>
      <c r="R153" s="8"/>
      <c r="S153" s="1"/>
      <c r="T153" s="6">
        <f t="shared" ca="1" si="4"/>
        <v>0</v>
      </c>
      <c r="U153" s="1" t="str">
        <f t="shared" si="5"/>
        <v/>
      </c>
      <c r="V153" s="1"/>
      <c r="W153" s="1"/>
    </row>
    <row r="154" spans="1:23">
      <c r="A154" s="1"/>
      <c r="B154" s="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8"/>
      <c r="R154" s="8"/>
      <c r="S154" s="1"/>
      <c r="T154" s="6">
        <f t="shared" ca="1" si="4"/>
        <v>0</v>
      </c>
      <c r="U154" s="1" t="str">
        <f t="shared" si="5"/>
        <v/>
      </c>
      <c r="V154" s="1"/>
      <c r="W154" s="1"/>
    </row>
    <row r="155" spans="1:23">
      <c r="A155" s="1"/>
      <c r="B155" s="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8"/>
      <c r="R155" s="8"/>
      <c r="S155" s="1"/>
      <c r="T155" s="6">
        <f t="shared" ca="1" si="4"/>
        <v>0</v>
      </c>
      <c r="U155" s="1" t="str">
        <f t="shared" si="5"/>
        <v/>
      </c>
      <c r="V155" s="1"/>
      <c r="W155" s="1"/>
    </row>
    <row r="156" spans="1:23">
      <c r="A156" s="1"/>
      <c r="B156" s="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8"/>
      <c r="R156" s="8"/>
      <c r="S156" s="1"/>
      <c r="T156" s="6">
        <f t="shared" ca="1" si="4"/>
        <v>0</v>
      </c>
      <c r="U156" s="1" t="str">
        <f t="shared" si="5"/>
        <v/>
      </c>
      <c r="V156" s="1"/>
      <c r="W156" s="1"/>
    </row>
    <row r="157" spans="1:23">
      <c r="A157" s="1"/>
      <c r="B157" s="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8"/>
      <c r="R157" s="8"/>
      <c r="S157" s="1"/>
      <c r="T157" s="6">
        <f t="shared" ca="1" si="4"/>
        <v>0</v>
      </c>
      <c r="U157" s="1" t="str">
        <f t="shared" si="5"/>
        <v/>
      </c>
      <c r="V157" s="1"/>
      <c r="W157" s="1"/>
    </row>
    <row r="158" spans="1:23">
      <c r="A158" s="1"/>
      <c r="B158" s="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8"/>
      <c r="R158" s="8"/>
      <c r="S158" s="1"/>
      <c r="T158" s="6">
        <f t="shared" ca="1" si="4"/>
        <v>0</v>
      </c>
      <c r="U158" s="1" t="str">
        <f t="shared" si="5"/>
        <v/>
      </c>
      <c r="V158" s="1"/>
      <c r="W158" s="1"/>
    </row>
    <row r="159" spans="1:23">
      <c r="A159" s="1"/>
      <c r="B159" s="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8"/>
      <c r="R159" s="8"/>
      <c r="S159" s="1"/>
      <c r="T159" s="6">
        <f t="shared" ca="1" si="4"/>
        <v>0</v>
      </c>
      <c r="U159" s="1" t="str">
        <f t="shared" si="5"/>
        <v/>
      </c>
      <c r="V159" s="1"/>
      <c r="W159" s="1"/>
    </row>
    <row r="160" spans="1:23">
      <c r="A160" s="1"/>
      <c r="B160" s="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8"/>
      <c r="R160" s="8"/>
      <c r="S160" s="1"/>
      <c r="T160" s="6">
        <f t="shared" ca="1" si="4"/>
        <v>0</v>
      </c>
      <c r="U160" s="1" t="str">
        <f t="shared" si="5"/>
        <v/>
      </c>
      <c r="V160" s="1"/>
      <c r="W160" s="1"/>
    </row>
    <row r="161" spans="1:23">
      <c r="A161" s="1"/>
      <c r="B161" s="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8"/>
      <c r="R161" s="8"/>
      <c r="S161" s="1"/>
      <c r="T161" s="6">
        <f t="shared" ca="1" si="4"/>
        <v>0</v>
      </c>
      <c r="U161" s="1" t="str">
        <f t="shared" si="5"/>
        <v/>
      </c>
      <c r="V161" s="1"/>
      <c r="W161" s="1"/>
    </row>
    <row r="162" spans="1:23">
      <c r="A162" s="1"/>
      <c r="B162" s="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8"/>
      <c r="R162" s="8"/>
      <c r="S162" s="1"/>
      <c r="T162" s="6">
        <f t="shared" ca="1" si="4"/>
        <v>0</v>
      </c>
      <c r="U162" s="1" t="str">
        <f t="shared" si="5"/>
        <v/>
      </c>
      <c r="V162" s="1"/>
      <c r="W162" s="1"/>
    </row>
    <row r="163" spans="1:23">
      <c r="A163" s="1"/>
      <c r="B163" s="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8"/>
      <c r="R163" s="8"/>
      <c r="S163" s="1"/>
      <c r="T163" s="6">
        <f t="shared" ca="1" si="4"/>
        <v>0</v>
      </c>
      <c r="U163" s="1" t="str">
        <f t="shared" si="5"/>
        <v/>
      </c>
      <c r="V163" s="1"/>
      <c r="W163" s="1"/>
    </row>
    <row r="164" spans="1:23">
      <c r="A164" s="1"/>
      <c r="B164" s="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8"/>
      <c r="R164" s="8"/>
      <c r="S164" s="1"/>
      <c r="T164" s="6">
        <f t="shared" ca="1" si="4"/>
        <v>0</v>
      </c>
      <c r="U164" s="1" t="str">
        <f t="shared" si="5"/>
        <v/>
      </c>
      <c r="V164" s="1"/>
      <c r="W164" s="1"/>
    </row>
    <row r="165" spans="1:23">
      <c r="A165" s="1"/>
      <c r="B165" s="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8"/>
      <c r="R165" s="8"/>
      <c r="S165" s="1"/>
      <c r="T165" s="6">
        <f t="shared" ca="1" si="4"/>
        <v>0</v>
      </c>
      <c r="U165" s="1" t="str">
        <f t="shared" si="5"/>
        <v/>
      </c>
      <c r="V165" s="1"/>
      <c r="W165" s="1"/>
    </row>
    <row r="166" spans="1:23">
      <c r="A166" s="1"/>
      <c r="B166" s="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8"/>
      <c r="R166" s="8"/>
      <c r="S166" s="1"/>
      <c r="T166" s="6">
        <f t="shared" ca="1" si="4"/>
        <v>0</v>
      </c>
      <c r="U166" s="1" t="str">
        <f t="shared" si="5"/>
        <v/>
      </c>
      <c r="V166" s="1"/>
      <c r="W166" s="1"/>
    </row>
    <row r="167" spans="1:23">
      <c r="A167" s="1"/>
      <c r="B167" s="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8"/>
      <c r="R167" s="8"/>
      <c r="S167" s="1"/>
      <c r="T167" s="6">
        <f t="shared" ca="1" si="4"/>
        <v>0</v>
      </c>
      <c r="U167" s="1" t="str">
        <f t="shared" si="5"/>
        <v/>
      </c>
      <c r="V167" s="1"/>
      <c r="W167" s="1"/>
    </row>
    <row r="168" spans="1:23">
      <c r="A168" s="1"/>
      <c r="B168" s="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8"/>
      <c r="R168" s="8"/>
      <c r="S168" s="1"/>
      <c r="T168" s="6">
        <f t="shared" ca="1" si="4"/>
        <v>0</v>
      </c>
      <c r="U168" s="1" t="str">
        <f t="shared" si="5"/>
        <v/>
      </c>
      <c r="V168" s="1"/>
      <c r="W168" s="1"/>
    </row>
    <row r="169" spans="1:23">
      <c r="A169" s="1"/>
      <c r="B169" s="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8"/>
      <c r="R169" s="8"/>
      <c r="S169" s="1"/>
      <c r="T169" s="6">
        <f t="shared" ca="1" si="4"/>
        <v>0</v>
      </c>
      <c r="U169" s="1" t="str">
        <f t="shared" si="5"/>
        <v/>
      </c>
      <c r="V169" s="1"/>
      <c r="W169" s="1"/>
    </row>
    <row r="170" spans="1:23">
      <c r="A170" s="1"/>
      <c r="B170" s="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8"/>
      <c r="R170" s="8"/>
      <c r="S170" s="1"/>
      <c r="T170" s="6">
        <f t="shared" ca="1" si="4"/>
        <v>0</v>
      </c>
      <c r="U170" s="1" t="str">
        <f t="shared" si="5"/>
        <v/>
      </c>
      <c r="V170" s="1"/>
      <c r="W170" s="1"/>
    </row>
    <row r="171" spans="1:23">
      <c r="A171" s="1"/>
      <c r="B171" s="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8"/>
      <c r="R171" s="8"/>
      <c r="S171" s="1"/>
      <c r="T171" s="6">
        <f t="shared" ca="1" si="4"/>
        <v>0</v>
      </c>
      <c r="U171" s="1" t="str">
        <f t="shared" si="5"/>
        <v/>
      </c>
      <c r="V171" s="1"/>
      <c r="W171" s="1"/>
    </row>
    <row r="172" spans="1:23">
      <c r="A172" s="1"/>
      <c r="B172" s="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8"/>
      <c r="R172" s="8"/>
      <c r="S172" s="1"/>
      <c r="T172" s="6">
        <f t="shared" ca="1" si="4"/>
        <v>0</v>
      </c>
      <c r="U172" s="1" t="str">
        <f t="shared" si="5"/>
        <v/>
      </c>
      <c r="V172" s="1"/>
      <c r="W172" s="1"/>
    </row>
    <row r="173" spans="1:23">
      <c r="A173" s="1"/>
      <c r="B173" s="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8"/>
      <c r="R173" s="8"/>
      <c r="S173" s="1"/>
      <c r="T173" s="6">
        <f t="shared" ca="1" si="4"/>
        <v>0</v>
      </c>
      <c r="U173" s="1" t="str">
        <f t="shared" si="5"/>
        <v/>
      </c>
      <c r="V173" s="1"/>
      <c r="W173" s="1"/>
    </row>
    <row r="174" spans="1:23">
      <c r="A174" s="1"/>
      <c r="B174" s="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8"/>
      <c r="R174" s="8"/>
      <c r="S174" s="1"/>
      <c r="T174" s="6">
        <f t="shared" ca="1" si="4"/>
        <v>0</v>
      </c>
      <c r="U174" s="1" t="str">
        <f t="shared" si="5"/>
        <v/>
      </c>
      <c r="V174" s="1"/>
      <c r="W174" s="1"/>
    </row>
    <row r="175" spans="1:23">
      <c r="A175" s="1"/>
      <c r="B175" s="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8"/>
      <c r="R175" s="8"/>
      <c r="S175" s="1"/>
      <c r="T175" s="6">
        <f t="shared" ca="1" si="4"/>
        <v>0</v>
      </c>
      <c r="U175" s="1" t="str">
        <f t="shared" si="5"/>
        <v/>
      </c>
      <c r="V175" s="1"/>
      <c r="W175" s="1"/>
    </row>
    <row r="176" spans="1:23">
      <c r="A176" s="1"/>
      <c r="B176" s="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8"/>
      <c r="R176" s="8"/>
      <c r="S176" s="1"/>
      <c r="T176" s="6">
        <f t="shared" ca="1" si="4"/>
        <v>0</v>
      </c>
      <c r="U176" s="1" t="str">
        <f t="shared" si="5"/>
        <v/>
      </c>
      <c r="V176" s="1"/>
      <c r="W176" s="1"/>
    </row>
    <row r="177" spans="1:23">
      <c r="A177" s="1"/>
      <c r="B177" s="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8"/>
      <c r="R177" s="8"/>
      <c r="S177" s="1"/>
      <c r="T177" s="6">
        <f t="shared" ca="1" si="4"/>
        <v>0</v>
      </c>
      <c r="U177" s="1" t="str">
        <f t="shared" si="5"/>
        <v/>
      </c>
      <c r="V177" s="1"/>
      <c r="W177" s="1"/>
    </row>
    <row r="178" spans="1:23">
      <c r="A178" s="1"/>
      <c r="B178" s="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8"/>
      <c r="R178" s="8"/>
      <c r="S178" s="1"/>
      <c r="T178" s="6">
        <f t="shared" ca="1" si="4"/>
        <v>0</v>
      </c>
      <c r="U178" s="1" t="str">
        <f t="shared" si="5"/>
        <v/>
      </c>
      <c r="V178" s="1"/>
      <c r="W178" s="1"/>
    </row>
    <row r="179" spans="1:23">
      <c r="A179" s="1"/>
      <c r="B179" s="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8"/>
      <c r="R179" s="8"/>
      <c r="S179" s="1"/>
      <c r="T179" s="6">
        <f t="shared" ca="1" si="4"/>
        <v>0</v>
      </c>
      <c r="U179" s="1" t="str">
        <f t="shared" si="5"/>
        <v/>
      </c>
      <c r="V179" s="1"/>
      <c r="W179" s="1"/>
    </row>
    <row r="180" spans="1:23">
      <c r="A180" s="1"/>
      <c r="B180" s="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8"/>
      <c r="R180" s="8"/>
      <c r="S180" s="1"/>
      <c r="T180" s="6">
        <f t="shared" ca="1" si="4"/>
        <v>0</v>
      </c>
      <c r="U180" s="1" t="str">
        <f t="shared" si="5"/>
        <v/>
      </c>
      <c r="V180" s="1"/>
      <c r="W180" s="1"/>
    </row>
    <row r="181" spans="1:23">
      <c r="A181" s="1"/>
      <c r="B181" s="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8"/>
      <c r="R181" s="8"/>
      <c r="S181" s="1"/>
      <c r="T181" s="6">
        <f t="shared" ca="1" si="4"/>
        <v>0</v>
      </c>
      <c r="U181" s="1" t="str">
        <f t="shared" si="5"/>
        <v/>
      </c>
      <c r="V181" s="1"/>
      <c r="W181" s="1"/>
    </row>
    <row r="182" spans="1:23">
      <c r="A182" s="1"/>
      <c r="B182" s="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8"/>
      <c r="R182" s="8"/>
      <c r="S182" s="1"/>
      <c r="T182" s="6">
        <f t="shared" ca="1" si="4"/>
        <v>0</v>
      </c>
      <c r="U182" s="1" t="str">
        <f t="shared" si="5"/>
        <v/>
      </c>
      <c r="V182" s="1"/>
      <c r="W182" s="1"/>
    </row>
    <row r="183" spans="1:23">
      <c r="A183" s="1"/>
      <c r="B183" s="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8"/>
      <c r="R183" s="8"/>
      <c r="S183" s="1"/>
      <c r="T183" s="6">
        <f t="shared" ca="1" si="4"/>
        <v>0</v>
      </c>
      <c r="U183" s="1" t="str">
        <f t="shared" si="5"/>
        <v/>
      </c>
      <c r="V183" s="1"/>
      <c r="W183" s="1"/>
    </row>
    <row r="184" spans="1:23">
      <c r="A184" s="1"/>
      <c r="B184" s="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8"/>
      <c r="R184" s="8"/>
      <c r="S184" s="1"/>
      <c r="T184" s="6">
        <f t="shared" ca="1" si="4"/>
        <v>0</v>
      </c>
      <c r="U184" s="1" t="str">
        <f t="shared" si="5"/>
        <v/>
      </c>
      <c r="V184" s="1"/>
      <c r="W184" s="1"/>
    </row>
    <row r="185" spans="1:23">
      <c r="A185" s="1"/>
      <c r="B185" s="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8"/>
      <c r="R185" s="8"/>
      <c r="S185" s="1"/>
      <c r="T185" s="6">
        <f t="shared" ca="1" si="4"/>
        <v>0</v>
      </c>
      <c r="U185" s="1" t="str">
        <f t="shared" si="5"/>
        <v/>
      </c>
      <c r="V185" s="1"/>
      <c r="W185" s="1"/>
    </row>
    <row r="186" spans="1:23">
      <c r="A186" s="1"/>
      <c r="B186" s="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8"/>
      <c r="R186" s="8"/>
      <c r="S186" s="1"/>
      <c r="T186" s="6">
        <f t="shared" ca="1" si="4"/>
        <v>0</v>
      </c>
      <c r="U186" s="1" t="str">
        <f t="shared" si="5"/>
        <v/>
      </c>
      <c r="V186" s="1"/>
      <c r="W186" s="1"/>
    </row>
    <row r="187" spans="1:23">
      <c r="A187" s="1"/>
      <c r="B187" s="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8"/>
      <c r="R187" s="8"/>
      <c r="S187" s="1"/>
      <c r="T187" s="6">
        <f t="shared" ca="1" si="4"/>
        <v>0</v>
      </c>
      <c r="U187" s="1" t="str">
        <f t="shared" si="5"/>
        <v/>
      </c>
      <c r="V187" s="1"/>
      <c r="W187" s="1"/>
    </row>
    <row r="188" spans="1:23">
      <c r="A188" s="1"/>
      <c r="B188" s="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8"/>
      <c r="R188" s="8"/>
      <c r="S188" s="1"/>
      <c r="T188" s="6">
        <f t="shared" ca="1" si="4"/>
        <v>0</v>
      </c>
      <c r="U188" s="1" t="str">
        <f t="shared" si="5"/>
        <v/>
      </c>
      <c r="V188" s="1"/>
      <c r="W188" s="1"/>
    </row>
    <row r="189" spans="1:23">
      <c r="A189" s="1"/>
      <c r="B189" s="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8"/>
      <c r="R189" s="8"/>
      <c r="S189" s="1"/>
      <c r="T189" s="6">
        <f t="shared" ca="1" si="4"/>
        <v>0</v>
      </c>
      <c r="U189" s="1" t="str">
        <f t="shared" si="5"/>
        <v/>
      </c>
      <c r="V189" s="1"/>
      <c r="W189" s="1"/>
    </row>
    <row r="190" spans="1:23">
      <c r="A190" s="1"/>
      <c r="B190" s="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8"/>
      <c r="R190" s="8"/>
      <c r="S190" s="1"/>
      <c r="T190" s="6">
        <f t="shared" ca="1" si="4"/>
        <v>0</v>
      </c>
      <c r="U190" s="1" t="str">
        <f t="shared" si="5"/>
        <v/>
      </c>
      <c r="V190" s="1"/>
      <c r="W190" s="1"/>
    </row>
    <row r="191" spans="1:23">
      <c r="A191" s="1"/>
      <c r="B191" s="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8"/>
      <c r="R191" s="8"/>
      <c r="S191" s="1"/>
      <c r="T191" s="6">
        <f t="shared" ca="1" si="4"/>
        <v>0</v>
      </c>
      <c r="U191" s="1" t="str">
        <f t="shared" si="5"/>
        <v/>
      </c>
      <c r="V191" s="1"/>
      <c r="W191" s="1"/>
    </row>
    <row r="192" spans="1:23">
      <c r="A192" s="1"/>
      <c r="B192" s="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8"/>
      <c r="R192" s="8"/>
      <c r="S192" s="1"/>
      <c r="T192" s="6">
        <f t="shared" ca="1" si="4"/>
        <v>0</v>
      </c>
      <c r="U192" s="1" t="str">
        <f t="shared" si="5"/>
        <v/>
      </c>
      <c r="V192" s="1"/>
      <c r="W192" s="1"/>
    </row>
    <row r="193" spans="1:23">
      <c r="A193" s="1"/>
      <c r="B193" s="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8"/>
      <c r="R193" s="8"/>
      <c r="S193" s="1"/>
      <c r="T193" s="6">
        <f t="shared" ca="1" si="4"/>
        <v>0</v>
      </c>
      <c r="U193" s="1" t="str">
        <f t="shared" si="5"/>
        <v/>
      </c>
      <c r="V193" s="1"/>
      <c r="W193" s="1"/>
    </row>
    <row r="194" spans="1:23">
      <c r="A194" s="1"/>
      <c r="B194" s="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8"/>
      <c r="R194" s="8"/>
      <c r="S194" s="1"/>
      <c r="T194" s="6">
        <f t="shared" ref="T194:T257" ca="1" si="6">IF(AND(S194&lt;&gt;"Clôturée",Q194&lt;&gt;"",TODAY()&gt;Q194),TODAY()-Q194,0)</f>
        <v>0</v>
      </c>
      <c r="U194" s="1" t="str">
        <f t="shared" ref="U194:U257" si="7">IF(M194="Critique","P1",IF(M194="Majeure","P2",IF(M194="Mineure","P3","")))</f>
        <v/>
      </c>
      <c r="V194" s="1"/>
      <c r="W194" s="1"/>
    </row>
    <row r="195" spans="1:23">
      <c r="A195" s="1"/>
      <c r="B195" s="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8"/>
      <c r="R195" s="8"/>
      <c r="S195" s="1"/>
      <c r="T195" s="6">
        <f t="shared" ca="1" si="6"/>
        <v>0</v>
      </c>
      <c r="U195" s="1" t="str">
        <f t="shared" si="7"/>
        <v/>
      </c>
      <c r="V195" s="1"/>
      <c r="W195" s="1"/>
    </row>
    <row r="196" spans="1:23">
      <c r="A196" s="1"/>
      <c r="B196" s="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8"/>
      <c r="R196" s="8"/>
      <c r="S196" s="1"/>
      <c r="T196" s="6">
        <f t="shared" ca="1" si="6"/>
        <v>0</v>
      </c>
      <c r="U196" s="1" t="str">
        <f t="shared" si="7"/>
        <v/>
      </c>
      <c r="V196" s="1"/>
      <c r="W196" s="1"/>
    </row>
    <row r="197" spans="1:23">
      <c r="A197" s="1"/>
      <c r="B197" s="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8"/>
      <c r="R197" s="8"/>
      <c r="S197" s="1"/>
      <c r="T197" s="6">
        <f t="shared" ca="1" si="6"/>
        <v>0</v>
      </c>
      <c r="U197" s="1" t="str">
        <f t="shared" si="7"/>
        <v/>
      </c>
      <c r="V197" s="1"/>
      <c r="W197" s="1"/>
    </row>
    <row r="198" spans="1:23">
      <c r="A198" s="1"/>
      <c r="B198" s="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8"/>
      <c r="R198" s="8"/>
      <c r="S198" s="1"/>
      <c r="T198" s="6">
        <f t="shared" ca="1" si="6"/>
        <v>0</v>
      </c>
      <c r="U198" s="1" t="str">
        <f t="shared" si="7"/>
        <v/>
      </c>
      <c r="V198" s="1"/>
      <c r="W198" s="1"/>
    </row>
    <row r="199" spans="1:23">
      <c r="A199" s="1"/>
      <c r="B199" s="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8"/>
      <c r="R199" s="8"/>
      <c r="S199" s="1"/>
      <c r="T199" s="6">
        <f t="shared" ca="1" si="6"/>
        <v>0</v>
      </c>
      <c r="U199" s="1" t="str">
        <f t="shared" si="7"/>
        <v/>
      </c>
      <c r="V199" s="1"/>
      <c r="W199" s="1"/>
    </row>
    <row r="200" spans="1:23">
      <c r="A200" s="1"/>
      <c r="B200" s="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8"/>
      <c r="R200" s="8"/>
      <c r="S200" s="1"/>
      <c r="T200" s="6">
        <f t="shared" ca="1" si="6"/>
        <v>0</v>
      </c>
      <c r="U200" s="1" t="str">
        <f t="shared" si="7"/>
        <v/>
      </c>
      <c r="V200" s="1"/>
      <c r="W200" s="1"/>
    </row>
    <row r="201" spans="1:23">
      <c r="A201" s="1"/>
      <c r="B201" s="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8"/>
      <c r="R201" s="8"/>
      <c r="S201" s="1"/>
      <c r="T201" s="6">
        <f t="shared" ca="1" si="6"/>
        <v>0</v>
      </c>
      <c r="U201" s="1" t="str">
        <f t="shared" si="7"/>
        <v/>
      </c>
      <c r="V201" s="1"/>
      <c r="W201" s="1"/>
    </row>
    <row r="202" spans="1:23">
      <c r="A202" s="1"/>
      <c r="B202" s="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8"/>
      <c r="R202" s="8"/>
      <c r="S202" s="1"/>
      <c r="T202" s="6">
        <f t="shared" ca="1" si="6"/>
        <v>0</v>
      </c>
      <c r="U202" s="1" t="str">
        <f t="shared" si="7"/>
        <v/>
      </c>
      <c r="V202" s="1"/>
      <c r="W202" s="1"/>
    </row>
    <row r="203" spans="1:23">
      <c r="A203" s="1"/>
      <c r="B203" s="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8"/>
      <c r="R203" s="8"/>
      <c r="S203" s="1"/>
      <c r="T203" s="6">
        <f t="shared" ca="1" si="6"/>
        <v>0</v>
      </c>
      <c r="U203" s="1" t="str">
        <f t="shared" si="7"/>
        <v/>
      </c>
      <c r="V203" s="1"/>
      <c r="W203" s="1"/>
    </row>
    <row r="204" spans="1:23">
      <c r="A204" s="1"/>
      <c r="B204" s="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8"/>
      <c r="R204" s="8"/>
      <c r="S204" s="1"/>
      <c r="T204" s="6">
        <f t="shared" ca="1" si="6"/>
        <v>0</v>
      </c>
      <c r="U204" s="1" t="str">
        <f t="shared" si="7"/>
        <v/>
      </c>
      <c r="V204" s="1"/>
      <c r="W204" s="1"/>
    </row>
    <row r="205" spans="1:23">
      <c r="A205" s="1"/>
      <c r="B205" s="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8"/>
      <c r="R205" s="8"/>
      <c r="S205" s="1"/>
      <c r="T205" s="6">
        <f t="shared" ca="1" si="6"/>
        <v>0</v>
      </c>
      <c r="U205" s="1" t="str">
        <f t="shared" si="7"/>
        <v/>
      </c>
      <c r="V205" s="1"/>
      <c r="W205" s="1"/>
    </row>
    <row r="206" spans="1:23">
      <c r="A206" s="1"/>
      <c r="B206" s="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8"/>
      <c r="R206" s="8"/>
      <c r="S206" s="1"/>
      <c r="T206" s="6">
        <f t="shared" ca="1" si="6"/>
        <v>0</v>
      </c>
      <c r="U206" s="1" t="str">
        <f t="shared" si="7"/>
        <v/>
      </c>
      <c r="V206" s="1"/>
      <c r="W206" s="1"/>
    </row>
    <row r="207" spans="1:23">
      <c r="A207" s="1"/>
      <c r="B207" s="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8"/>
      <c r="R207" s="8"/>
      <c r="S207" s="1"/>
      <c r="T207" s="6">
        <f t="shared" ca="1" si="6"/>
        <v>0</v>
      </c>
      <c r="U207" s="1" t="str">
        <f t="shared" si="7"/>
        <v/>
      </c>
      <c r="V207" s="1"/>
      <c r="W207" s="1"/>
    </row>
    <row r="208" spans="1:23">
      <c r="A208" s="1"/>
      <c r="B208" s="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8"/>
      <c r="R208" s="8"/>
      <c r="S208" s="1"/>
      <c r="T208" s="6">
        <f t="shared" ca="1" si="6"/>
        <v>0</v>
      </c>
      <c r="U208" s="1" t="str">
        <f t="shared" si="7"/>
        <v/>
      </c>
      <c r="V208" s="1"/>
      <c r="W208" s="1"/>
    </row>
    <row r="209" spans="1:23">
      <c r="A209" s="1"/>
      <c r="B209" s="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8"/>
      <c r="R209" s="8"/>
      <c r="S209" s="1"/>
      <c r="T209" s="6">
        <f t="shared" ca="1" si="6"/>
        <v>0</v>
      </c>
      <c r="U209" s="1" t="str">
        <f t="shared" si="7"/>
        <v/>
      </c>
      <c r="V209" s="1"/>
      <c r="W209" s="1"/>
    </row>
    <row r="210" spans="1:23">
      <c r="A210" s="1"/>
      <c r="B210" s="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8"/>
      <c r="R210" s="8"/>
      <c r="S210" s="1"/>
      <c r="T210" s="6">
        <f t="shared" ca="1" si="6"/>
        <v>0</v>
      </c>
      <c r="U210" s="1" t="str">
        <f t="shared" si="7"/>
        <v/>
      </c>
      <c r="V210" s="1"/>
      <c r="W210" s="1"/>
    </row>
    <row r="211" spans="1:23">
      <c r="A211" s="1"/>
      <c r="B211" s="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8"/>
      <c r="R211" s="8"/>
      <c r="S211" s="1"/>
      <c r="T211" s="6">
        <f t="shared" ca="1" si="6"/>
        <v>0</v>
      </c>
      <c r="U211" s="1" t="str">
        <f t="shared" si="7"/>
        <v/>
      </c>
      <c r="V211" s="1"/>
      <c r="W211" s="1"/>
    </row>
    <row r="212" spans="1:23">
      <c r="A212" s="1"/>
      <c r="B212" s="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8"/>
      <c r="R212" s="8"/>
      <c r="S212" s="1"/>
      <c r="T212" s="6">
        <f t="shared" ca="1" si="6"/>
        <v>0</v>
      </c>
      <c r="U212" s="1" t="str">
        <f t="shared" si="7"/>
        <v/>
      </c>
      <c r="V212" s="1"/>
      <c r="W212" s="1"/>
    </row>
    <row r="213" spans="1:23">
      <c r="A213" s="1"/>
      <c r="B213" s="8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8"/>
      <c r="R213" s="8"/>
      <c r="S213" s="1"/>
      <c r="T213" s="6">
        <f t="shared" ca="1" si="6"/>
        <v>0</v>
      </c>
      <c r="U213" s="1" t="str">
        <f t="shared" si="7"/>
        <v/>
      </c>
      <c r="V213" s="1"/>
      <c r="W213" s="1"/>
    </row>
    <row r="214" spans="1:23">
      <c r="A214" s="1"/>
      <c r="B214" s="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8"/>
      <c r="R214" s="8"/>
      <c r="S214" s="1"/>
      <c r="T214" s="6">
        <f t="shared" ca="1" si="6"/>
        <v>0</v>
      </c>
      <c r="U214" s="1" t="str">
        <f t="shared" si="7"/>
        <v/>
      </c>
      <c r="V214" s="1"/>
      <c r="W214" s="1"/>
    </row>
    <row r="215" spans="1:23">
      <c r="A215" s="1"/>
      <c r="B215" s="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8"/>
      <c r="R215" s="8"/>
      <c r="S215" s="1"/>
      <c r="T215" s="6">
        <f t="shared" ca="1" si="6"/>
        <v>0</v>
      </c>
      <c r="U215" s="1" t="str">
        <f t="shared" si="7"/>
        <v/>
      </c>
      <c r="V215" s="1"/>
      <c r="W215" s="1"/>
    </row>
    <row r="216" spans="1:23">
      <c r="A216" s="1"/>
      <c r="B216" s="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8"/>
      <c r="R216" s="8"/>
      <c r="S216" s="1"/>
      <c r="T216" s="6">
        <f t="shared" ca="1" si="6"/>
        <v>0</v>
      </c>
      <c r="U216" s="1" t="str">
        <f t="shared" si="7"/>
        <v/>
      </c>
      <c r="V216" s="1"/>
      <c r="W216" s="1"/>
    </row>
    <row r="217" spans="1:23">
      <c r="A217" s="1"/>
      <c r="B217" s="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8"/>
      <c r="R217" s="8"/>
      <c r="S217" s="1"/>
      <c r="T217" s="6">
        <f t="shared" ca="1" si="6"/>
        <v>0</v>
      </c>
      <c r="U217" s="1" t="str">
        <f t="shared" si="7"/>
        <v/>
      </c>
      <c r="V217" s="1"/>
      <c r="W217" s="1"/>
    </row>
    <row r="218" spans="1:23">
      <c r="A218" s="1"/>
      <c r="B218" s="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8"/>
      <c r="R218" s="8"/>
      <c r="S218" s="1"/>
      <c r="T218" s="6">
        <f t="shared" ca="1" si="6"/>
        <v>0</v>
      </c>
      <c r="U218" s="1" t="str">
        <f t="shared" si="7"/>
        <v/>
      </c>
      <c r="V218" s="1"/>
      <c r="W218" s="1"/>
    </row>
    <row r="219" spans="1:23">
      <c r="A219" s="1"/>
      <c r="B219" s="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8"/>
      <c r="R219" s="8"/>
      <c r="S219" s="1"/>
      <c r="T219" s="6">
        <f t="shared" ca="1" si="6"/>
        <v>0</v>
      </c>
      <c r="U219" s="1" t="str">
        <f t="shared" si="7"/>
        <v/>
      </c>
      <c r="V219" s="1"/>
      <c r="W219" s="1"/>
    </row>
    <row r="220" spans="1:23">
      <c r="A220" s="1"/>
      <c r="B220" s="8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8"/>
      <c r="R220" s="8"/>
      <c r="S220" s="1"/>
      <c r="T220" s="6">
        <f t="shared" ca="1" si="6"/>
        <v>0</v>
      </c>
      <c r="U220" s="1" t="str">
        <f t="shared" si="7"/>
        <v/>
      </c>
      <c r="V220" s="1"/>
      <c r="W220" s="1"/>
    </row>
    <row r="221" spans="1:23">
      <c r="A221" s="1"/>
      <c r="B221" s="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8"/>
      <c r="R221" s="8"/>
      <c r="S221" s="1"/>
      <c r="T221" s="6">
        <f t="shared" ca="1" si="6"/>
        <v>0</v>
      </c>
      <c r="U221" s="1" t="str">
        <f t="shared" si="7"/>
        <v/>
      </c>
      <c r="V221" s="1"/>
      <c r="W221" s="1"/>
    </row>
    <row r="222" spans="1:23">
      <c r="A222" s="1"/>
      <c r="B222" s="8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8"/>
      <c r="R222" s="8"/>
      <c r="S222" s="1"/>
      <c r="T222" s="6">
        <f t="shared" ca="1" si="6"/>
        <v>0</v>
      </c>
      <c r="U222" s="1" t="str">
        <f t="shared" si="7"/>
        <v/>
      </c>
      <c r="V222" s="1"/>
      <c r="W222" s="1"/>
    </row>
    <row r="223" spans="1:23">
      <c r="A223" s="1"/>
      <c r="B223" s="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8"/>
      <c r="R223" s="8"/>
      <c r="S223" s="1"/>
      <c r="T223" s="6">
        <f t="shared" ca="1" si="6"/>
        <v>0</v>
      </c>
      <c r="U223" s="1" t="str">
        <f t="shared" si="7"/>
        <v/>
      </c>
      <c r="V223" s="1"/>
      <c r="W223" s="1"/>
    </row>
    <row r="224" spans="1:23">
      <c r="A224" s="1"/>
      <c r="B224" s="8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8"/>
      <c r="R224" s="8"/>
      <c r="S224" s="1"/>
      <c r="T224" s="6">
        <f t="shared" ca="1" si="6"/>
        <v>0</v>
      </c>
      <c r="U224" s="1" t="str">
        <f t="shared" si="7"/>
        <v/>
      </c>
      <c r="V224" s="1"/>
      <c r="W224" s="1"/>
    </row>
    <row r="225" spans="1:23">
      <c r="A225" s="1"/>
      <c r="B225" s="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8"/>
      <c r="R225" s="8"/>
      <c r="S225" s="1"/>
      <c r="T225" s="6">
        <f t="shared" ca="1" si="6"/>
        <v>0</v>
      </c>
      <c r="U225" s="1" t="str">
        <f t="shared" si="7"/>
        <v/>
      </c>
      <c r="V225" s="1"/>
      <c r="W225" s="1"/>
    </row>
    <row r="226" spans="1:23">
      <c r="A226" s="1"/>
      <c r="B226" s="8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8"/>
      <c r="R226" s="8"/>
      <c r="S226" s="1"/>
      <c r="T226" s="6">
        <f t="shared" ca="1" si="6"/>
        <v>0</v>
      </c>
      <c r="U226" s="1" t="str">
        <f t="shared" si="7"/>
        <v/>
      </c>
      <c r="V226" s="1"/>
      <c r="W226" s="1"/>
    </row>
    <row r="227" spans="1:23">
      <c r="A227" s="1"/>
      <c r="B227" s="8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8"/>
      <c r="R227" s="8"/>
      <c r="S227" s="1"/>
      <c r="T227" s="6">
        <f t="shared" ca="1" si="6"/>
        <v>0</v>
      </c>
      <c r="U227" s="1" t="str">
        <f t="shared" si="7"/>
        <v/>
      </c>
      <c r="V227" s="1"/>
      <c r="W227" s="1"/>
    </row>
    <row r="228" spans="1:23">
      <c r="A228" s="1"/>
      <c r="B228" s="8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8"/>
      <c r="R228" s="8"/>
      <c r="S228" s="1"/>
      <c r="T228" s="6">
        <f t="shared" ca="1" si="6"/>
        <v>0</v>
      </c>
      <c r="U228" s="1" t="str">
        <f t="shared" si="7"/>
        <v/>
      </c>
      <c r="V228" s="1"/>
      <c r="W228" s="1"/>
    </row>
    <row r="229" spans="1:23">
      <c r="A229" s="1"/>
      <c r="B229" s="8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8"/>
      <c r="R229" s="8"/>
      <c r="S229" s="1"/>
      <c r="T229" s="6">
        <f t="shared" ca="1" si="6"/>
        <v>0</v>
      </c>
      <c r="U229" s="1" t="str">
        <f t="shared" si="7"/>
        <v/>
      </c>
      <c r="V229" s="1"/>
      <c r="W229" s="1"/>
    </row>
    <row r="230" spans="1:23">
      <c r="A230" s="1"/>
      <c r="B230" s="8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8"/>
      <c r="R230" s="8"/>
      <c r="S230" s="1"/>
      <c r="T230" s="6">
        <f t="shared" ca="1" si="6"/>
        <v>0</v>
      </c>
      <c r="U230" s="1" t="str">
        <f t="shared" si="7"/>
        <v/>
      </c>
      <c r="V230" s="1"/>
      <c r="W230" s="1"/>
    </row>
    <row r="231" spans="1:23">
      <c r="A231" s="1"/>
      <c r="B231" s="8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8"/>
      <c r="R231" s="8"/>
      <c r="S231" s="1"/>
      <c r="T231" s="6">
        <f t="shared" ca="1" si="6"/>
        <v>0</v>
      </c>
      <c r="U231" s="1" t="str">
        <f t="shared" si="7"/>
        <v/>
      </c>
      <c r="V231" s="1"/>
      <c r="W231" s="1"/>
    </row>
    <row r="232" spans="1:23">
      <c r="A232" s="1"/>
      <c r="B232" s="8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8"/>
      <c r="R232" s="8"/>
      <c r="S232" s="1"/>
      <c r="T232" s="6">
        <f t="shared" ca="1" si="6"/>
        <v>0</v>
      </c>
      <c r="U232" s="1" t="str">
        <f t="shared" si="7"/>
        <v/>
      </c>
      <c r="V232" s="1"/>
      <c r="W232" s="1"/>
    </row>
    <row r="233" spans="1:23">
      <c r="A233" s="1"/>
      <c r="B233" s="8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8"/>
      <c r="R233" s="8"/>
      <c r="S233" s="1"/>
      <c r="T233" s="6">
        <f t="shared" ca="1" si="6"/>
        <v>0</v>
      </c>
      <c r="U233" s="1" t="str">
        <f t="shared" si="7"/>
        <v/>
      </c>
      <c r="V233" s="1"/>
      <c r="W233" s="1"/>
    </row>
    <row r="234" spans="1:23">
      <c r="A234" s="1"/>
      <c r="B234" s="8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8"/>
      <c r="R234" s="8"/>
      <c r="S234" s="1"/>
      <c r="T234" s="6">
        <f t="shared" ca="1" si="6"/>
        <v>0</v>
      </c>
      <c r="U234" s="1" t="str">
        <f t="shared" si="7"/>
        <v/>
      </c>
      <c r="V234" s="1"/>
      <c r="W234" s="1"/>
    </row>
    <row r="235" spans="1:23">
      <c r="A235" s="1"/>
      <c r="B235" s="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8"/>
      <c r="R235" s="8"/>
      <c r="S235" s="1"/>
      <c r="T235" s="6">
        <f t="shared" ca="1" si="6"/>
        <v>0</v>
      </c>
      <c r="U235" s="1" t="str">
        <f t="shared" si="7"/>
        <v/>
      </c>
      <c r="V235" s="1"/>
      <c r="W235" s="1"/>
    </row>
    <row r="236" spans="1:23">
      <c r="A236" s="1"/>
      <c r="B236" s="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8"/>
      <c r="R236" s="8"/>
      <c r="S236" s="1"/>
      <c r="T236" s="6">
        <f t="shared" ca="1" si="6"/>
        <v>0</v>
      </c>
      <c r="U236" s="1" t="str">
        <f t="shared" si="7"/>
        <v/>
      </c>
      <c r="V236" s="1"/>
      <c r="W236" s="1"/>
    </row>
    <row r="237" spans="1:23">
      <c r="A237" s="1"/>
      <c r="B237" s="8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8"/>
      <c r="R237" s="8"/>
      <c r="S237" s="1"/>
      <c r="T237" s="6">
        <f t="shared" ca="1" si="6"/>
        <v>0</v>
      </c>
      <c r="U237" s="1" t="str">
        <f t="shared" si="7"/>
        <v/>
      </c>
      <c r="V237" s="1"/>
      <c r="W237" s="1"/>
    </row>
    <row r="238" spans="1:23">
      <c r="A238" s="1"/>
      <c r="B238" s="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8"/>
      <c r="R238" s="8"/>
      <c r="S238" s="1"/>
      <c r="T238" s="6">
        <f t="shared" ca="1" si="6"/>
        <v>0</v>
      </c>
      <c r="U238" s="1" t="str">
        <f t="shared" si="7"/>
        <v/>
      </c>
      <c r="V238" s="1"/>
      <c r="W238" s="1"/>
    </row>
    <row r="239" spans="1:23">
      <c r="A239" s="1"/>
      <c r="B239" s="8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8"/>
      <c r="R239" s="8"/>
      <c r="S239" s="1"/>
      <c r="T239" s="6">
        <f t="shared" ca="1" si="6"/>
        <v>0</v>
      </c>
      <c r="U239" s="1" t="str">
        <f t="shared" si="7"/>
        <v/>
      </c>
      <c r="V239" s="1"/>
      <c r="W239" s="1"/>
    </row>
    <row r="240" spans="1:23">
      <c r="A240" s="1"/>
      <c r="B240" s="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8"/>
      <c r="R240" s="8"/>
      <c r="S240" s="1"/>
      <c r="T240" s="6">
        <f t="shared" ca="1" si="6"/>
        <v>0</v>
      </c>
      <c r="U240" s="1" t="str">
        <f t="shared" si="7"/>
        <v/>
      </c>
      <c r="V240" s="1"/>
      <c r="W240" s="1"/>
    </row>
    <row r="241" spans="1:23">
      <c r="A241" s="1"/>
      <c r="B241" s="8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8"/>
      <c r="R241" s="8"/>
      <c r="S241" s="1"/>
      <c r="T241" s="6">
        <f t="shared" ca="1" si="6"/>
        <v>0</v>
      </c>
      <c r="U241" s="1" t="str">
        <f t="shared" si="7"/>
        <v/>
      </c>
      <c r="V241" s="1"/>
      <c r="W241" s="1"/>
    </row>
    <row r="242" spans="1:23">
      <c r="A242" s="1"/>
      <c r="B242" s="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8"/>
      <c r="R242" s="8"/>
      <c r="S242" s="1"/>
      <c r="T242" s="6">
        <f t="shared" ca="1" si="6"/>
        <v>0</v>
      </c>
      <c r="U242" s="1" t="str">
        <f t="shared" si="7"/>
        <v/>
      </c>
      <c r="V242" s="1"/>
      <c r="W242" s="1"/>
    </row>
    <row r="243" spans="1:23">
      <c r="A243" s="1"/>
      <c r="B243" s="8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8"/>
      <c r="R243" s="8"/>
      <c r="S243" s="1"/>
      <c r="T243" s="6">
        <f t="shared" ca="1" si="6"/>
        <v>0</v>
      </c>
      <c r="U243" s="1" t="str">
        <f t="shared" si="7"/>
        <v/>
      </c>
      <c r="V243" s="1"/>
      <c r="W243" s="1"/>
    </row>
    <row r="244" spans="1:23">
      <c r="A244" s="1"/>
      <c r="B244" s="8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8"/>
      <c r="R244" s="8"/>
      <c r="S244" s="1"/>
      <c r="T244" s="6">
        <f t="shared" ca="1" si="6"/>
        <v>0</v>
      </c>
      <c r="U244" s="1" t="str">
        <f t="shared" si="7"/>
        <v/>
      </c>
      <c r="V244" s="1"/>
      <c r="W244" s="1"/>
    </row>
    <row r="245" spans="1:23">
      <c r="A245" s="1"/>
      <c r="B245" s="8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8"/>
      <c r="R245" s="8"/>
      <c r="S245" s="1"/>
      <c r="T245" s="6">
        <f t="shared" ca="1" si="6"/>
        <v>0</v>
      </c>
      <c r="U245" s="1" t="str">
        <f t="shared" si="7"/>
        <v/>
      </c>
      <c r="V245" s="1"/>
      <c r="W245" s="1"/>
    </row>
    <row r="246" spans="1:23">
      <c r="A246" s="1"/>
      <c r="B246" s="8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8"/>
      <c r="R246" s="8"/>
      <c r="S246" s="1"/>
      <c r="T246" s="6">
        <f t="shared" ca="1" si="6"/>
        <v>0</v>
      </c>
      <c r="U246" s="1" t="str">
        <f t="shared" si="7"/>
        <v/>
      </c>
      <c r="V246" s="1"/>
      <c r="W246" s="1"/>
    </row>
    <row r="247" spans="1:23">
      <c r="A247" s="1"/>
      <c r="B247" s="8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8"/>
      <c r="R247" s="8"/>
      <c r="S247" s="1"/>
      <c r="T247" s="6">
        <f t="shared" ca="1" si="6"/>
        <v>0</v>
      </c>
      <c r="U247" s="1" t="str">
        <f t="shared" si="7"/>
        <v/>
      </c>
      <c r="V247" s="1"/>
      <c r="W247" s="1"/>
    </row>
    <row r="248" spans="1:23">
      <c r="A248" s="1"/>
      <c r="B248" s="8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8"/>
      <c r="R248" s="8"/>
      <c r="S248" s="1"/>
      <c r="T248" s="6">
        <f t="shared" ca="1" si="6"/>
        <v>0</v>
      </c>
      <c r="U248" s="1" t="str">
        <f t="shared" si="7"/>
        <v/>
      </c>
      <c r="V248" s="1"/>
      <c r="W248" s="1"/>
    </row>
    <row r="249" spans="1:23">
      <c r="A249" s="1"/>
      <c r="B249" s="8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8"/>
      <c r="R249" s="8"/>
      <c r="S249" s="1"/>
      <c r="T249" s="6">
        <f t="shared" ca="1" si="6"/>
        <v>0</v>
      </c>
      <c r="U249" s="1" t="str">
        <f t="shared" si="7"/>
        <v/>
      </c>
      <c r="V249" s="1"/>
      <c r="W249" s="1"/>
    </row>
    <row r="250" spans="1:23">
      <c r="A250" s="1"/>
      <c r="B250" s="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8"/>
      <c r="R250" s="8"/>
      <c r="S250" s="1"/>
      <c r="T250" s="6">
        <f t="shared" ca="1" si="6"/>
        <v>0</v>
      </c>
      <c r="U250" s="1" t="str">
        <f t="shared" si="7"/>
        <v/>
      </c>
      <c r="V250" s="1"/>
      <c r="W250" s="1"/>
    </row>
    <row r="251" spans="1:23">
      <c r="A251" s="1"/>
      <c r="B251" s="8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8"/>
      <c r="R251" s="8"/>
      <c r="S251" s="1"/>
      <c r="T251" s="6">
        <f t="shared" ca="1" si="6"/>
        <v>0</v>
      </c>
      <c r="U251" s="1" t="str">
        <f t="shared" si="7"/>
        <v/>
      </c>
      <c r="V251" s="1"/>
      <c r="W251" s="1"/>
    </row>
    <row r="252" spans="1:23">
      <c r="A252" s="1"/>
      <c r="B252" s="8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8"/>
      <c r="R252" s="8"/>
      <c r="S252" s="1"/>
      <c r="T252" s="6">
        <f t="shared" ca="1" si="6"/>
        <v>0</v>
      </c>
      <c r="U252" s="1" t="str">
        <f t="shared" si="7"/>
        <v/>
      </c>
      <c r="V252" s="1"/>
      <c r="W252" s="1"/>
    </row>
    <row r="253" spans="1:23">
      <c r="A253" s="1"/>
      <c r="B253" s="8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8"/>
      <c r="R253" s="8"/>
      <c r="S253" s="1"/>
      <c r="T253" s="6">
        <f t="shared" ca="1" si="6"/>
        <v>0</v>
      </c>
      <c r="U253" s="1" t="str">
        <f t="shared" si="7"/>
        <v/>
      </c>
      <c r="V253" s="1"/>
      <c r="W253" s="1"/>
    </row>
    <row r="254" spans="1:23">
      <c r="A254" s="1"/>
      <c r="B254" s="8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8"/>
      <c r="R254" s="8"/>
      <c r="S254" s="1"/>
      <c r="T254" s="6">
        <f t="shared" ca="1" si="6"/>
        <v>0</v>
      </c>
      <c r="U254" s="1" t="str">
        <f t="shared" si="7"/>
        <v/>
      </c>
      <c r="V254" s="1"/>
      <c r="W254" s="1"/>
    </row>
    <row r="255" spans="1:23">
      <c r="A255" s="1"/>
      <c r="B255" s="8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8"/>
      <c r="R255" s="8"/>
      <c r="S255" s="1"/>
      <c r="T255" s="6">
        <f t="shared" ca="1" si="6"/>
        <v>0</v>
      </c>
      <c r="U255" s="1" t="str">
        <f t="shared" si="7"/>
        <v/>
      </c>
      <c r="V255" s="1"/>
      <c r="W255" s="1"/>
    </row>
    <row r="256" spans="1:23">
      <c r="A256" s="1"/>
      <c r="B256" s="8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8"/>
      <c r="R256" s="8"/>
      <c r="S256" s="1"/>
      <c r="T256" s="6">
        <f t="shared" ca="1" si="6"/>
        <v>0</v>
      </c>
      <c r="U256" s="1" t="str">
        <f t="shared" si="7"/>
        <v/>
      </c>
      <c r="V256" s="1"/>
      <c r="W256" s="1"/>
    </row>
    <row r="257" spans="1:23">
      <c r="A257" s="1"/>
      <c r="B257" s="8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8"/>
      <c r="R257" s="8"/>
      <c r="S257" s="1"/>
      <c r="T257" s="6">
        <f t="shared" ca="1" si="6"/>
        <v>0</v>
      </c>
      <c r="U257" s="1" t="str">
        <f t="shared" si="7"/>
        <v/>
      </c>
      <c r="V257" s="1"/>
      <c r="W257" s="1"/>
    </row>
    <row r="258" spans="1:23">
      <c r="A258" s="1"/>
      <c r="B258" s="8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8"/>
      <c r="R258" s="8"/>
      <c r="S258" s="1"/>
      <c r="T258" s="6">
        <f t="shared" ref="T258:T297" ca="1" si="8">IF(AND(S258&lt;&gt;"Clôturée",Q258&lt;&gt;"",TODAY()&gt;Q258),TODAY()-Q258,0)</f>
        <v>0</v>
      </c>
      <c r="U258" s="1" t="str">
        <f t="shared" ref="U258:U297" si="9">IF(M258="Critique","P1",IF(M258="Majeure","P2",IF(M258="Mineure","P3","")))</f>
        <v/>
      </c>
      <c r="V258" s="1"/>
      <c r="W258" s="1"/>
    </row>
    <row r="259" spans="1:23">
      <c r="A259" s="1"/>
      <c r="B259" s="8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8"/>
      <c r="R259" s="8"/>
      <c r="S259" s="1"/>
      <c r="T259" s="6">
        <f t="shared" ca="1" si="8"/>
        <v>0</v>
      </c>
      <c r="U259" s="1" t="str">
        <f t="shared" si="9"/>
        <v/>
      </c>
      <c r="V259" s="1"/>
      <c r="W259" s="1"/>
    </row>
    <row r="260" spans="1:23">
      <c r="A260" s="1"/>
      <c r="B260" s="8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8"/>
      <c r="R260" s="8"/>
      <c r="S260" s="1"/>
      <c r="T260" s="6">
        <f t="shared" ca="1" si="8"/>
        <v>0</v>
      </c>
      <c r="U260" s="1" t="str">
        <f t="shared" si="9"/>
        <v/>
      </c>
      <c r="V260" s="1"/>
      <c r="W260" s="1"/>
    </row>
    <row r="261" spans="1:23">
      <c r="A261" s="1"/>
      <c r="B261" s="8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8"/>
      <c r="R261" s="8"/>
      <c r="S261" s="1"/>
      <c r="T261" s="6">
        <f t="shared" ca="1" si="8"/>
        <v>0</v>
      </c>
      <c r="U261" s="1" t="str">
        <f t="shared" si="9"/>
        <v/>
      </c>
      <c r="V261" s="1"/>
      <c r="W261" s="1"/>
    </row>
    <row r="262" spans="1:23">
      <c r="A262" s="1"/>
      <c r="B262" s="8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8"/>
      <c r="R262" s="8"/>
      <c r="S262" s="1"/>
      <c r="T262" s="6">
        <f t="shared" ca="1" si="8"/>
        <v>0</v>
      </c>
      <c r="U262" s="1" t="str">
        <f t="shared" si="9"/>
        <v/>
      </c>
      <c r="V262" s="1"/>
      <c r="W262" s="1"/>
    </row>
    <row r="263" spans="1:23">
      <c r="A263" s="1"/>
      <c r="B263" s="8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8"/>
      <c r="R263" s="8"/>
      <c r="S263" s="1"/>
      <c r="T263" s="6">
        <f t="shared" ca="1" si="8"/>
        <v>0</v>
      </c>
      <c r="U263" s="1" t="str">
        <f t="shared" si="9"/>
        <v/>
      </c>
      <c r="V263" s="1"/>
      <c r="W263" s="1"/>
    </row>
    <row r="264" spans="1:23">
      <c r="A264" s="1"/>
      <c r="B264" s="8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8"/>
      <c r="R264" s="8"/>
      <c r="S264" s="1"/>
      <c r="T264" s="6">
        <f t="shared" ca="1" si="8"/>
        <v>0</v>
      </c>
      <c r="U264" s="1" t="str">
        <f t="shared" si="9"/>
        <v/>
      </c>
      <c r="V264" s="1"/>
      <c r="W264" s="1"/>
    </row>
    <row r="265" spans="1:23">
      <c r="A265" s="1"/>
      <c r="B265" s="8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8"/>
      <c r="R265" s="8"/>
      <c r="S265" s="1"/>
      <c r="T265" s="6">
        <f t="shared" ca="1" si="8"/>
        <v>0</v>
      </c>
      <c r="U265" s="1" t="str">
        <f t="shared" si="9"/>
        <v/>
      </c>
      <c r="V265" s="1"/>
      <c r="W265" s="1"/>
    </row>
    <row r="266" spans="1:23">
      <c r="A266" s="1"/>
      <c r="B266" s="8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8"/>
      <c r="R266" s="8"/>
      <c r="S266" s="1"/>
      <c r="T266" s="6">
        <f t="shared" ca="1" si="8"/>
        <v>0</v>
      </c>
      <c r="U266" s="1" t="str">
        <f t="shared" si="9"/>
        <v/>
      </c>
      <c r="V266" s="1"/>
      <c r="W266" s="1"/>
    </row>
    <row r="267" spans="1:23">
      <c r="A267" s="1"/>
      <c r="B267" s="8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8"/>
      <c r="R267" s="8"/>
      <c r="S267" s="1"/>
      <c r="T267" s="6">
        <f t="shared" ca="1" si="8"/>
        <v>0</v>
      </c>
      <c r="U267" s="1" t="str">
        <f t="shared" si="9"/>
        <v/>
      </c>
      <c r="V267" s="1"/>
      <c r="W267" s="1"/>
    </row>
    <row r="268" spans="1:23">
      <c r="A268" s="1"/>
      <c r="B268" s="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8"/>
      <c r="R268" s="8"/>
      <c r="S268" s="1"/>
      <c r="T268" s="6">
        <f t="shared" ca="1" si="8"/>
        <v>0</v>
      </c>
      <c r="U268" s="1" t="str">
        <f t="shared" si="9"/>
        <v/>
      </c>
      <c r="V268" s="1"/>
      <c r="W268" s="1"/>
    </row>
    <row r="269" spans="1:23">
      <c r="A269" s="1"/>
      <c r="B269" s="8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8"/>
      <c r="R269" s="8"/>
      <c r="S269" s="1"/>
      <c r="T269" s="6">
        <f t="shared" ca="1" si="8"/>
        <v>0</v>
      </c>
      <c r="U269" s="1" t="str">
        <f t="shared" si="9"/>
        <v/>
      </c>
      <c r="V269" s="1"/>
      <c r="W269" s="1"/>
    </row>
    <row r="270" spans="1:23">
      <c r="A270" s="1"/>
      <c r="B270" s="8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8"/>
      <c r="R270" s="8"/>
      <c r="S270" s="1"/>
      <c r="T270" s="6">
        <f t="shared" ca="1" si="8"/>
        <v>0</v>
      </c>
      <c r="U270" s="1" t="str">
        <f t="shared" si="9"/>
        <v/>
      </c>
      <c r="V270" s="1"/>
      <c r="W270" s="1"/>
    </row>
    <row r="271" spans="1:23">
      <c r="A271" s="1"/>
      <c r="B271" s="8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8"/>
      <c r="R271" s="8"/>
      <c r="S271" s="1"/>
      <c r="T271" s="6">
        <f t="shared" ca="1" si="8"/>
        <v>0</v>
      </c>
      <c r="U271" s="1" t="str">
        <f t="shared" si="9"/>
        <v/>
      </c>
      <c r="V271" s="1"/>
      <c r="W271" s="1"/>
    </row>
    <row r="272" spans="1:23">
      <c r="A272" s="1"/>
      <c r="B272" s="8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8"/>
      <c r="R272" s="8"/>
      <c r="S272" s="1"/>
      <c r="T272" s="6">
        <f t="shared" ca="1" si="8"/>
        <v>0</v>
      </c>
      <c r="U272" s="1" t="str">
        <f t="shared" si="9"/>
        <v/>
      </c>
      <c r="V272" s="1"/>
      <c r="W272" s="1"/>
    </row>
    <row r="273" spans="1:23">
      <c r="A273" s="1"/>
      <c r="B273" s="8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8"/>
      <c r="R273" s="8"/>
      <c r="S273" s="1"/>
      <c r="T273" s="6">
        <f t="shared" ca="1" si="8"/>
        <v>0</v>
      </c>
      <c r="U273" s="1" t="str">
        <f t="shared" si="9"/>
        <v/>
      </c>
      <c r="V273" s="1"/>
      <c r="W273" s="1"/>
    </row>
    <row r="274" spans="1:23">
      <c r="A274" s="1"/>
      <c r="B274" s="8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8"/>
      <c r="R274" s="8"/>
      <c r="S274" s="1"/>
      <c r="T274" s="6">
        <f t="shared" ca="1" si="8"/>
        <v>0</v>
      </c>
      <c r="U274" s="1" t="str">
        <f t="shared" si="9"/>
        <v/>
      </c>
      <c r="V274" s="1"/>
      <c r="W274" s="1"/>
    </row>
    <row r="275" spans="1:23">
      <c r="A275" s="1"/>
      <c r="B275" s="8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8"/>
      <c r="R275" s="8"/>
      <c r="S275" s="1"/>
      <c r="T275" s="6">
        <f t="shared" ca="1" si="8"/>
        <v>0</v>
      </c>
      <c r="U275" s="1" t="str">
        <f t="shared" si="9"/>
        <v/>
      </c>
      <c r="V275" s="1"/>
      <c r="W275" s="1"/>
    </row>
    <row r="276" spans="1:23">
      <c r="A276" s="1"/>
      <c r="B276" s="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8"/>
      <c r="R276" s="8"/>
      <c r="S276" s="1"/>
      <c r="T276" s="6">
        <f t="shared" ca="1" si="8"/>
        <v>0</v>
      </c>
      <c r="U276" s="1" t="str">
        <f t="shared" si="9"/>
        <v/>
      </c>
      <c r="V276" s="1"/>
      <c r="W276" s="1"/>
    </row>
    <row r="277" spans="1:23">
      <c r="A277" s="1"/>
      <c r="B277" s="8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8"/>
      <c r="R277" s="8"/>
      <c r="S277" s="1"/>
      <c r="T277" s="6">
        <f t="shared" ca="1" si="8"/>
        <v>0</v>
      </c>
      <c r="U277" s="1" t="str">
        <f t="shared" si="9"/>
        <v/>
      </c>
      <c r="V277" s="1"/>
      <c r="W277" s="1"/>
    </row>
    <row r="278" spans="1:23">
      <c r="A278" s="1"/>
      <c r="B278" s="8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8"/>
      <c r="R278" s="8"/>
      <c r="S278" s="1"/>
      <c r="T278" s="6">
        <f t="shared" ca="1" si="8"/>
        <v>0</v>
      </c>
      <c r="U278" s="1" t="str">
        <f t="shared" si="9"/>
        <v/>
      </c>
      <c r="V278" s="1"/>
      <c r="W278" s="1"/>
    </row>
    <row r="279" spans="1:23">
      <c r="A279" s="1"/>
      <c r="B279" s="8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8"/>
      <c r="R279" s="8"/>
      <c r="S279" s="1"/>
      <c r="T279" s="6">
        <f t="shared" ca="1" si="8"/>
        <v>0</v>
      </c>
      <c r="U279" s="1" t="str">
        <f t="shared" si="9"/>
        <v/>
      </c>
      <c r="V279" s="1"/>
      <c r="W279" s="1"/>
    </row>
    <row r="280" spans="1:23">
      <c r="A280" s="1"/>
      <c r="B280" s="8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8"/>
      <c r="R280" s="8"/>
      <c r="S280" s="1"/>
      <c r="T280" s="6">
        <f t="shared" ca="1" si="8"/>
        <v>0</v>
      </c>
      <c r="U280" s="1" t="str">
        <f t="shared" si="9"/>
        <v/>
      </c>
      <c r="V280" s="1"/>
      <c r="W280" s="1"/>
    </row>
    <row r="281" spans="1:23">
      <c r="A281" s="1"/>
      <c r="B281" s="8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8"/>
      <c r="R281" s="8"/>
      <c r="S281" s="1"/>
      <c r="T281" s="6">
        <f t="shared" ca="1" si="8"/>
        <v>0</v>
      </c>
      <c r="U281" s="1" t="str">
        <f t="shared" si="9"/>
        <v/>
      </c>
      <c r="V281" s="1"/>
      <c r="W281" s="1"/>
    </row>
    <row r="282" spans="1:23">
      <c r="A282" s="1"/>
      <c r="B282" s="8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8"/>
      <c r="R282" s="8"/>
      <c r="S282" s="1"/>
      <c r="T282" s="6">
        <f t="shared" ca="1" si="8"/>
        <v>0</v>
      </c>
      <c r="U282" s="1" t="str">
        <f t="shared" si="9"/>
        <v/>
      </c>
      <c r="V282" s="1"/>
      <c r="W282" s="1"/>
    </row>
    <row r="283" spans="1:23">
      <c r="A283" s="1"/>
      <c r="B283" s="8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8"/>
      <c r="R283" s="8"/>
      <c r="S283" s="1"/>
      <c r="T283" s="6">
        <f t="shared" ca="1" si="8"/>
        <v>0</v>
      </c>
      <c r="U283" s="1" t="str">
        <f t="shared" si="9"/>
        <v/>
      </c>
      <c r="V283" s="1"/>
      <c r="W283" s="1"/>
    </row>
    <row r="284" spans="1:23">
      <c r="A284" s="1"/>
      <c r="B284" s="8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8"/>
      <c r="R284" s="8"/>
      <c r="S284" s="1"/>
      <c r="T284" s="6">
        <f t="shared" ca="1" si="8"/>
        <v>0</v>
      </c>
      <c r="U284" s="1" t="str">
        <f t="shared" si="9"/>
        <v/>
      </c>
      <c r="V284" s="1"/>
      <c r="W284" s="1"/>
    </row>
    <row r="285" spans="1:23">
      <c r="A285" s="1"/>
      <c r="B285" s="8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8"/>
      <c r="R285" s="8"/>
      <c r="S285" s="1"/>
      <c r="T285" s="6">
        <f t="shared" ca="1" si="8"/>
        <v>0</v>
      </c>
      <c r="U285" s="1" t="str">
        <f t="shared" si="9"/>
        <v/>
      </c>
      <c r="V285" s="1"/>
      <c r="W285" s="1"/>
    </row>
    <row r="286" spans="1:23">
      <c r="A286" s="1"/>
      <c r="B286" s="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8"/>
      <c r="R286" s="8"/>
      <c r="S286" s="1"/>
      <c r="T286" s="6">
        <f t="shared" ca="1" si="8"/>
        <v>0</v>
      </c>
      <c r="U286" s="1" t="str">
        <f t="shared" si="9"/>
        <v/>
      </c>
      <c r="V286" s="1"/>
      <c r="W286" s="1"/>
    </row>
    <row r="287" spans="1:23">
      <c r="A287" s="1"/>
      <c r="B287" s="8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8"/>
      <c r="R287" s="8"/>
      <c r="S287" s="1"/>
      <c r="T287" s="6">
        <f t="shared" ca="1" si="8"/>
        <v>0</v>
      </c>
      <c r="U287" s="1" t="str">
        <f t="shared" si="9"/>
        <v/>
      </c>
      <c r="V287" s="1"/>
      <c r="W287" s="1"/>
    </row>
    <row r="288" spans="1:23">
      <c r="A288" s="1"/>
      <c r="B288" s="8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8"/>
      <c r="R288" s="8"/>
      <c r="S288" s="1"/>
      <c r="T288" s="6">
        <f t="shared" ca="1" si="8"/>
        <v>0</v>
      </c>
      <c r="U288" s="1" t="str">
        <f t="shared" si="9"/>
        <v/>
      </c>
      <c r="V288" s="1"/>
      <c r="W288" s="1"/>
    </row>
    <row r="289" spans="1:23">
      <c r="A289" s="1"/>
      <c r="B289" s="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8"/>
      <c r="R289" s="8"/>
      <c r="S289" s="1"/>
      <c r="T289" s="6">
        <f t="shared" ca="1" si="8"/>
        <v>0</v>
      </c>
      <c r="U289" s="1" t="str">
        <f t="shared" si="9"/>
        <v/>
      </c>
      <c r="V289" s="1"/>
      <c r="W289" s="1"/>
    </row>
    <row r="290" spans="1:23">
      <c r="A290" s="1"/>
      <c r="B290" s="8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8"/>
      <c r="R290" s="8"/>
      <c r="S290" s="1"/>
      <c r="T290" s="6">
        <f t="shared" ca="1" si="8"/>
        <v>0</v>
      </c>
      <c r="U290" s="1" t="str">
        <f t="shared" si="9"/>
        <v/>
      </c>
      <c r="V290" s="1"/>
      <c r="W290" s="1"/>
    </row>
    <row r="291" spans="1:23">
      <c r="A291" s="1"/>
      <c r="B291" s="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8"/>
      <c r="R291" s="8"/>
      <c r="S291" s="1"/>
      <c r="T291" s="6">
        <f t="shared" ca="1" si="8"/>
        <v>0</v>
      </c>
      <c r="U291" s="1" t="str">
        <f t="shared" si="9"/>
        <v/>
      </c>
      <c r="V291" s="1"/>
      <c r="W291" s="1"/>
    </row>
    <row r="292" spans="1:23">
      <c r="A292" s="1"/>
      <c r="B292" s="8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8"/>
      <c r="R292" s="8"/>
      <c r="S292" s="1"/>
      <c r="T292" s="6">
        <f t="shared" ca="1" si="8"/>
        <v>0</v>
      </c>
      <c r="U292" s="1" t="str">
        <f t="shared" si="9"/>
        <v/>
      </c>
      <c r="V292" s="1"/>
      <c r="W292" s="1"/>
    </row>
    <row r="293" spans="1:23">
      <c r="A293" s="1"/>
      <c r="B293" s="8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8"/>
      <c r="R293" s="8"/>
      <c r="S293" s="1"/>
      <c r="T293" s="6">
        <f t="shared" ca="1" si="8"/>
        <v>0</v>
      </c>
      <c r="U293" s="1" t="str">
        <f t="shared" si="9"/>
        <v/>
      </c>
      <c r="V293" s="1"/>
      <c r="W293" s="1"/>
    </row>
    <row r="294" spans="1:23">
      <c r="A294" s="1"/>
      <c r="B294" s="8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8"/>
      <c r="R294" s="8"/>
      <c r="S294" s="1"/>
      <c r="T294" s="6">
        <f t="shared" ca="1" si="8"/>
        <v>0</v>
      </c>
      <c r="U294" s="1" t="str">
        <f t="shared" si="9"/>
        <v/>
      </c>
      <c r="V294" s="1"/>
      <c r="W294" s="1"/>
    </row>
    <row r="295" spans="1:23">
      <c r="A295" s="1"/>
      <c r="B295" s="8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8"/>
      <c r="R295" s="8"/>
      <c r="S295" s="1"/>
      <c r="T295" s="6">
        <f t="shared" ca="1" si="8"/>
        <v>0</v>
      </c>
      <c r="U295" s="1" t="str">
        <f t="shared" si="9"/>
        <v/>
      </c>
      <c r="V295" s="1"/>
      <c r="W295" s="1"/>
    </row>
    <row r="296" spans="1:23">
      <c r="A296" s="1"/>
      <c r="B296" s="8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8"/>
      <c r="R296" s="8"/>
      <c r="S296" s="1"/>
      <c r="T296" s="6">
        <f t="shared" ca="1" si="8"/>
        <v>0</v>
      </c>
      <c r="U296" s="1" t="str">
        <f t="shared" si="9"/>
        <v/>
      </c>
      <c r="V296" s="1"/>
      <c r="W296" s="1"/>
    </row>
    <row r="297" spans="1:23">
      <c r="A297" s="1"/>
      <c r="B297" s="8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8"/>
      <c r="R297" s="8"/>
      <c r="S297" s="1"/>
      <c r="T297" s="6">
        <f t="shared" ca="1" si="8"/>
        <v>0</v>
      </c>
      <c r="U297" s="1" t="str">
        <f t="shared" si="9"/>
        <v/>
      </c>
      <c r="V297" s="1"/>
      <c r="W297" s="1"/>
    </row>
  </sheetData>
  <conditionalFormatting sqref="L2:L297">
    <cfRule type="expression" dxfId="3" priority="1">
      <formula>L2="Non conforme"</formula>
    </cfRule>
    <cfRule type="expression" dxfId="2" priority="2">
      <formula>L2="Conforme"</formula>
    </cfRule>
  </conditionalFormatting>
  <conditionalFormatting sqref="M2:M297">
    <cfRule type="expression" dxfId="1" priority="3">
      <formula>M2="Critique"</formula>
    </cfRule>
  </conditionalFormatting>
  <conditionalFormatting sqref="T2:T297">
    <cfRule type="cellIs" dxfId="0" priority="4" operator="greaterThan">
      <formula>0</formula>
    </cfRule>
  </conditionalFormatting>
  <dataValidations count="9">
    <dataValidation type="list" allowBlank="1" showErrorMessage="1" errorTitle="Valeur non autorisée" error="Veuillez choisir une valeur depuis la liste dynamique REF_AGENCES." sqref="C2:C1000" xr:uid="{00000000-0002-0000-1000-000000000000}">
      <formula1>REF_AGENCES</formula1>
    </dataValidation>
    <dataValidation type="list" allowBlank="1" showErrorMessage="1" errorTitle="Valeur non autorisée" error="Veuillez choisir une valeur depuis la liste dynamique REF_CYCLES." sqref="D2:D1000" xr:uid="{00000000-0002-0000-1000-000001000000}">
      <formula1>REF_CYCLES</formula1>
    </dataValidation>
    <dataValidation type="list" allowBlank="1" showErrorMessage="1" errorTitle="Valeur non autorisée" error="Veuillez choisir une valeur depuis la liste dynamique REF_FREQUENCES." sqref="H2:H1000" xr:uid="{00000000-0002-0000-1000-000002000000}">
      <formula1>REF_FREQUENCES</formula1>
    </dataValidation>
    <dataValidation type="list" allowBlank="1" showErrorMessage="1" errorTitle="Valeur non autorisée" error="Veuillez choisir une valeur depuis la liste dynamique REF_RESPONSABLES." sqref="I2:I1000 P2:P1000" xr:uid="{00000000-0002-0000-1000-000003000000}">
      <formula1>REF_RESPONSABLES</formula1>
    </dataValidation>
    <dataValidation type="list" allowBlank="1" showErrorMessage="1" errorTitle="Valeur non autorisée" error="Veuillez choisir une valeur depuis la liste dynamique REF_NIVEAUX_RISQUE." sqref="J2:J1000" xr:uid="{00000000-0002-0000-1000-000004000000}">
      <formula1>REF_NIVEAUX_RISQUE</formula1>
    </dataValidation>
    <dataValidation type="list" allowBlank="1" showErrorMessage="1" errorTitle="Valeur non autorisée" error="Veuillez choisir une valeur depuis la liste dynamique REF_RESULTATS_CONTROLE." sqref="L2:L1000" xr:uid="{00000000-0002-0000-1000-000005000000}">
      <formula1>REF_RESULTATS_CONTROLE</formula1>
    </dataValidation>
    <dataValidation type="list" allowBlank="1" showErrorMessage="1" errorTitle="Valeur non autorisée" error="Veuillez choisir une valeur depuis la liste dynamique REF_GRAVITES_ANOMALIE." sqref="M2:M1000" xr:uid="{00000000-0002-0000-1000-000006000000}">
      <formula1>REF_GRAVITES_ANOMALIE</formula1>
    </dataValidation>
    <dataValidation type="list" allowBlank="1" showErrorMessage="1" errorTitle="Valeur non autorisée" error="Veuillez choisir une valeur depuis la liste dynamique REF_STATUTS_ACTION." sqref="S2:S1000" xr:uid="{00000000-0002-0000-1000-000008000000}">
      <formula1>REF_STATUTS_ACTION</formula1>
    </dataValidation>
    <dataValidation type="list" allowBlank="1" showErrorMessage="1" errorTitle="Valeur non autorisée" error="Veuillez choisir une valeur depuis la liste dynamique REF_PRIORITES." sqref="U2:U1000" xr:uid="{00000000-0002-0000-1000-000009000000}">
      <formula1>REF_PRIORITES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ACCUEIL</vt:lpstr>
      <vt:lpstr>PARAMETRES</vt:lpstr>
      <vt:lpstr>MODELE_BD</vt:lpstr>
      <vt:lpstr>DASHBOARD</vt:lpstr>
      <vt:lpstr>CREDIT(CRE)</vt:lpstr>
      <vt:lpstr>PLAN_CONTROLE</vt:lpstr>
      <vt:lpstr>CARTHOGRAPHIE_EVALUATION</vt:lpstr>
      <vt:lpstr>INCIDENTS_FRAUDES</vt:lpstr>
      <vt:lpstr>SUIVI_RECOMMANDATION</vt:lpstr>
      <vt:lpstr>EPARGNE(EPA)</vt:lpstr>
      <vt:lpstr>CAISSE_GUICHET(CAI)</vt:lpstr>
      <vt:lpstr>TRESOR_BANQUE (TRE)</vt:lpstr>
      <vt:lpstr>COMPTABLE_FINANCE(COM)</vt:lpstr>
      <vt:lpstr>RH</vt:lpstr>
      <vt:lpstr>ACHAT_PATRIMOINE (ACH)</vt:lpstr>
      <vt:lpstr>SI_SECURITE(SI)</vt:lpstr>
      <vt:lpstr>REPORTING_CONTROLE(REP)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MUPANZI</dc:creator>
  <cp:lastModifiedBy>Benjamin MUPANZI KITSHI</cp:lastModifiedBy>
  <dcterms:created xsi:type="dcterms:W3CDTF">2026-07-02T12:57:35Z</dcterms:created>
  <dcterms:modified xsi:type="dcterms:W3CDTF">2026-07-02T14:34:36Z</dcterms:modified>
</cp:coreProperties>
</file>